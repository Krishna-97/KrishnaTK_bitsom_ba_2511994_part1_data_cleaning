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T.K.KRISHNA\BITS Business Analytics and AI Course\Assignments\Capstone project\part-1\"/>
    </mc:Choice>
  </mc:AlternateContent>
  <xr:revisionPtr revIDLastSave="0" documentId="13_ncr:20001_{6C615015-D600-4BE1-B3D9-100B45BA2C5B}" xr6:coauthVersionLast="47" xr6:coauthVersionMax="47" xr10:uidLastSave="{00000000-0000-0000-0000-000000000000}"/>
  <bookViews>
    <workbookView xWindow="-110" yWindow="-110" windowWidth="19420" windowHeight="10300" firstSheet="4" activeTab="4" xr2:uid="{00000000-000D-0000-FFFF-FFFF00000000}"/>
  </bookViews>
  <sheets>
    <sheet name="data" sheetId="8" r:id="rId1"/>
    <sheet name="Missing_Value_Summary" sheetId="1" r:id="rId2"/>
    <sheet name="Duplicate_Summary" sheetId="2" r:id="rId3"/>
    <sheet name="Invalid_Discount_Summary" sheetId="3" r:id="rId4"/>
    <sheet name="Sales_Profit_Calculation_Mismat" sheetId="6" r:id="rId5"/>
    <sheet name="Final_Clean_vs_Flagged" sheetId="7" r:id="rId6"/>
  </sheets>
  <externalReferences>
    <externalReference r:id="rId7"/>
  </externalReferences>
  <calcPr calcId="191029"/>
  <fileRecoveryPr repairLoad="1"/>
</workbook>
</file>

<file path=xl/calcChain.xml><?xml version="1.0" encoding="utf-8"?>
<calcChain xmlns="http://schemas.openxmlformats.org/spreadsheetml/2006/main">
  <c r="B5" i="7" l="1"/>
  <c r="B4" i="7"/>
  <c r="B3" i="7"/>
  <c r="B4" i="3"/>
  <c r="B3" i="3"/>
  <c r="B2" i="3"/>
  <c r="B2" i="6"/>
  <c r="B3" i="6"/>
  <c r="B27" i="1"/>
  <c r="B17" i="1"/>
  <c r="B14" i="1"/>
  <c r="B8" i="1"/>
  <c r="B2" i="1"/>
  <c r="AB933" i="8"/>
  <c r="Z933" i="8"/>
  <c r="Y933" i="8"/>
  <c r="X933" i="8"/>
  <c r="W933" i="8"/>
  <c r="V933" i="8"/>
  <c r="U933" i="8"/>
  <c r="T933" i="8"/>
  <c r="P933" i="8"/>
  <c r="N933" i="8"/>
  <c r="AA933" i="8" s="1"/>
  <c r="AC933" i="8" s="1"/>
  <c r="M933" i="8"/>
  <c r="K933" i="8"/>
  <c r="J933" i="8"/>
  <c r="I933" i="8"/>
  <c r="H933" i="8"/>
  <c r="G933" i="8"/>
  <c r="F933" i="8"/>
  <c r="E933" i="8"/>
  <c r="AB932" i="8"/>
  <c r="Y932" i="8"/>
  <c r="X932" i="8"/>
  <c r="W932" i="8"/>
  <c r="V932" i="8"/>
  <c r="U932" i="8"/>
  <c r="T932" i="8"/>
  <c r="P932" i="8"/>
  <c r="Z932" i="8" s="1"/>
  <c r="N932" i="8"/>
  <c r="M932" i="8"/>
  <c r="K932" i="8"/>
  <c r="J932" i="8"/>
  <c r="I932" i="8"/>
  <c r="H932" i="8"/>
  <c r="G932" i="8"/>
  <c r="F932" i="8"/>
  <c r="E932" i="8"/>
  <c r="AB931" i="8"/>
  <c r="Z931" i="8"/>
  <c r="Y931" i="8"/>
  <c r="X931" i="8"/>
  <c r="W931" i="8"/>
  <c r="V931" i="8"/>
  <c r="U931" i="8"/>
  <c r="T931" i="8"/>
  <c r="P931" i="8"/>
  <c r="N931" i="8"/>
  <c r="AA931" i="8" s="1"/>
  <c r="AC931" i="8" s="1"/>
  <c r="M931" i="8"/>
  <c r="K931" i="8"/>
  <c r="J931" i="8"/>
  <c r="I931" i="8"/>
  <c r="H931" i="8"/>
  <c r="G931" i="8"/>
  <c r="F931" i="8"/>
  <c r="E931" i="8"/>
  <c r="AB930" i="8"/>
  <c r="Y930" i="8"/>
  <c r="X930" i="8"/>
  <c r="W930" i="8"/>
  <c r="V930" i="8"/>
  <c r="U930" i="8"/>
  <c r="T930" i="8"/>
  <c r="P930" i="8"/>
  <c r="N930" i="8"/>
  <c r="M930" i="8"/>
  <c r="K930" i="8"/>
  <c r="J930" i="8"/>
  <c r="I930" i="8"/>
  <c r="H930" i="8"/>
  <c r="G930" i="8"/>
  <c r="F930" i="8"/>
  <c r="E930" i="8"/>
  <c r="AB929" i="8"/>
  <c r="Y929" i="8"/>
  <c r="X929" i="8"/>
  <c r="W929" i="8"/>
  <c r="V929" i="8"/>
  <c r="U929" i="8"/>
  <c r="T929" i="8"/>
  <c r="P929" i="8"/>
  <c r="Z929" i="8" s="1"/>
  <c r="N929" i="8"/>
  <c r="AA929" i="8" s="1"/>
  <c r="AC929" i="8" s="1"/>
  <c r="M929" i="8"/>
  <c r="K929" i="8"/>
  <c r="J929" i="8"/>
  <c r="I929" i="8"/>
  <c r="H929" i="8"/>
  <c r="G929" i="8"/>
  <c r="F929" i="8"/>
  <c r="E929" i="8"/>
  <c r="AB928" i="8"/>
  <c r="Y928" i="8"/>
  <c r="X928" i="8"/>
  <c r="W928" i="8"/>
  <c r="V928" i="8"/>
  <c r="U928" i="8"/>
  <c r="T928" i="8"/>
  <c r="P928" i="8"/>
  <c r="Z928" i="8" s="1"/>
  <c r="N928" i="8"/>
  <c r="M928" i="8"/>
  <c r="K928" i="8"/>
  <c r="J928" i="8"/>
  <c r="I928" i="8"/>
  <c r="H928" i="8"/>
  <c r="G928" i="8"/>
  <c r="F928" i="8"/>
  <c r="E928" i="8"/>
  <c r="AB927" i="8"/>
  <c r="Y927" i="8"/>
  <c r="X927" i="8"/>
  <c r="W927" i="8"/>
  <c r="V927" i="8"/>
  <c r="U927" i="8"/>
  <c r="T927" i="8"/>
  <c r="P927" i="8"/>
  <c r="AA927" i="8" s="1"/>
  <c r="N927" i="8"/>
  <c r="M927" i="8"/>
  <c r="K927" i="8"/>
  <c r="J927" i="8"/>
  <c r="I927" i="8"/>
  <c r="H927" i="8"/>
  <c r="G927" i="8"/>
  <c r="F927" i="8"/>
  <c r="E927" i="8"/>
  <c r="AB926" i="8"/>
  <c r="Y926" i="8"/>
  <c r="X926" i="8"/>
  <c r="W926" i="8"/>
  <c r="V926" i="8"/>
  <c r="U926" i="8"/>
  <c r="T926" i="8"/>
  <c r="P926" i="8"/>
  <c r="Z926" i="8" s="1"/>
  <c r="N926" i="8"/>
  <c r="M926" i="8"/>
  <c r="K926" i="8"/>
  <c r="J926" i="8"/>
  <c r="I926" i="8"/>
  <c r="H926" i="8"/>
  <c r="G926" i="8"/>
  <c r="F926" i="8"/>
  <c r="E926" i="8"/>
  <c r="AB925" i="8"/>
  <c r="Y925" i="8"/>
  <c r="X925" i="8"/>
  <c r="W925" i="8"/>
  <c r="V925" i="8"/>
  <c r="U925" i="8"/>
  <c r="T925" i="8"/>
  <c r="P925" i="8"/>
  <c r="AA925" i="8" s="1"/>
  <c r="N925" i="8"/>
  <c r="M925" i="8"/>
  <c r="K925" i="8"/>
  <c r="J925" i="8"/>
  <c r="I925" i="8"/>
  <c r="H925" i="8"/>
  <c r="G925" i="8"/>
  <c r="F925" i="8"/>
  <c r="E925" i="8"/>
  <c r="AB924" i="8"/>
  <c r="AA924" i="8"/>
  <c r="AC924" i="8" s="1"/>
  <c r="Y924" i="8"/>
  <c r="X924" i="8"/>
  <c r="W924" i="8"/>
  <c r="V924" i="8"/>
  <c r="U924" i="8"/>
  <c r="T924" i="8"/>
  <c r="P924" i="8"/>
  <c r="Z924" i="8" s="1"/>
  <c r="N924" i="8"/>
  <c r="M924" i="8"/>
  <c r="K924" i="8"/>
  <c r="J924" i="8"/>
  <c r="I924" i="8"/>
  <c r="H924" i="8"/>
  <c r="G924" i="8"/>
  <c r="F924" i="8"/>
  <c r="E924" i="8"/>
  <c r="AB923" i="8"/>
  <c r="Y923" i="8"/>
  <c r="X923" i="8"/>
  <c r="W923" i="8"/>
  <c r="V923" i="8"/>
  <c r="U923" i="8"/>
  <c r="T923" i="8"/>
  <c r="P923" i="8"/>
  <c r="AA923" i="8" s="1"/>
  <c r="N923" i="8"/>
  <c r="M923" i="8"/>
  <c r="K923" i="8"/>
  <c r="J923" i="8"/>
  <c r="I923" i="8"/>
  <c r="H923" i="8"/>
  <c r="G923" i="8"/>
  <c r="F923" i="8"/>
  <c r="E923" i="8"/>
  <c r="AB922" i="8"/>
  <c r="Y922" i="8"/>
  <c r="X922" i="8"/>
  <c r="W922" i="8"/>
  <c r="V922" i="8"/>
  <c r="U922" i="8"/>
  <c r="T922" i="8"/>
  <c r="P922" i="8"/>
  <c r="Z922" i="8" s="1"/>
  <c r="N922" i="8"/>
  <c r="M922" i="8"/>
  <c r="K922" i="8"/>
  <c r="J922" i="8"/>
  <c r="I922" i="8"/>
  <c r="H922" i="8"/>
  <c r="G922" i="8"/>
  <c r="F922" i="8"/>
  <c r="E922" i="8"/>
  <c r="AB921" i="8"/>
  <c r="Y921" i="8"/>
  <c r="X921" i="8"/>
  <c r="W921" i="8"/>
  <c r="V921" i="8"/>
  <c r="U921" i="8"/>
  <c r="T921" i="8"/>
  <c r="P921" i="8"/>
  <c r="AA921" i="8" s="1"/>
  <c r="N921" i="8"/>
  <c r="M921" i="8"/>
  <c r="K921" i="8"/>
  <c r="J921" i="8"/>
  <c r="I921" i="8"/>
  <c r="H921" i="8"/>
  <c r="G921" i="8"/>
  <c r="F921" i="8"/>
  <c r="E921" i="8"/>
  <c r="AB920" i="8"/>
  <c r="AA920" i="8"/>
  <c r="AC920" i="8" s="1"/>
  <c r="Y920" i="8"/>
  <c r="X920" i="8"/>
  <c r="W920" i="8"/>
  <c r="V920" i="8"/>
  <c r="U920" i="8"/>
  <c r="T920" i="8"/>
  <c r="P920" i="8"/>
  <c r="Z920" i="8" s="1"/>
  <c r="N920" i="8"/>
  <c r="M920" i="8"/>
  <c r="K920" i="8"/>
  <c r="J920" i="8"/>
  <c r="I920" i="8"/>
  <c r="H920" i="8"/>
  <c r="G920" i="8"/>
  <c r="F920" i="8"/>
  <c r="E920" i="8"/>
  <c r="AB919" i="8"/>
  <c r="Y919" i="8"/>
  <c r="X919" i="8"/>
  <c r="W919" i="8"/>
  <c r="V919" i="8"/>
  <c r="U919" i="8"/>
  <c r="T919" i="8"/>
  <c r="P919" i="8"/>
  <c r="AA919" i="8" s="1"/>
  <c r="AC919" i="8" s="1"/>
  <c r="N919" i="8"/>
  <c r="M919" i="8"/>
  <c r="K919" i="8"/>
  <c r="J919" i="8"/>
  <c r="I919" i="8"/>
  <c r="H919" i="8"/>
  <c r="G919" i="8"/>
  <c r="F919" i="8"/>
  <c r="E919" i="8"/>
  <c r="AB918" i="8"/>
  <c r="AA918" i="8"/>
  <c r="AC918" i="8" s="1"/>
  <c r="Y918" i="8"/>
  <c r="X918" i="8"/>
  <c r="W918" i="8"/>
  <c r="V918" i="8"/>
  <c r="U918" i="8"/>
  <c r="T918" i="8"/>
  <c r="P918" i="8"/>
  <c r="Z918" i="8" s="1"/>
  <c r="N918" i="8"/>
  <c r="M918" i="8"/>
  <c r="K918" i="8"/>
  <c r="J918" i="8"/>
  <c r="I918" i="8"/>
  <c r="H918" i="8"/>
  <c r="G918" i="8"/>
  <c r="F918" i="8"/>
  <c r="E918" i="8"/>
  <c r="AB917" i="8"/>
  <c r="Y917" i="8"/>
  <c r="X917" i="8"/>
  <c r="W917" i="8"/>
  <c r="V917" i="8"/>
  <c r="U917" i="8"/>
  <c r="T917" i="8"/>
  <c r="P917" i="8"/>
  <c r="AA917" i="8" s="1"/>
  <c r="N917" i="8"/>
  <c r="M917" i="8"/>
  <c r="K917" i="8"/>
  <c r="J917" i="8"/>
  <c r="I917" i="8"/>
  <c r="H917" i="8"/>
  <c r="G917" i="8"/>
  <c r="F917" i="8"/>
  <c r="E917" i="8"/>
  <c r="AB916" i="8"/>
  <c r="Y916" i="8"/>
  <c r="X916" i="8"/>
  <c r="W916" i="8"/>
  <c r="V916" i="8"/>
  <c r="U916" i="8"/>
  <c r="T916" i="8"/>
  <c r="P916" i="8"/>
  <c r="Z916" i="8" s="1"/>
  <c r="N916" i="8"/>
  <c r="M916" i="8"/>
  <c r="K916" i="8"/>
  <c r="J916" i="8"/>
  <c r="I916" i="8"/>
  <c r="H916" i="8"/>
  <c r="G916" i="8"/>
  <c r="F916" i="8"/>
  <c r="E916" i="8"/>
  <c r="AB915" i="8"/>
  <c r="Y915" i="8"/>
  <c r="X915" i="8"/>
  <c r="W915" i="8"/>
  <c r="V915" i="8"/>
  <c r="U915" i="8"/>
  <c r="T915" i="8"/>
  <c r="P915" i="8"/>
  <c r="AA915" i="8" s="1"/>
  <c r="N915" i="8"/>
  <c r="M915" i="8"/>
  <c r="K915" i="8"/>
  <c r="J915" i="8"/>
  <c r="I915" i="8"/>
  <c r="H915" i="8"/>
  <c r="G915" i="8"/>
  <c r="F915" i="8"/>
  <c r="E915" i="8"/>
  <c r="AB914" i="8"/>
  <c r="Y914" i="8"/>
  <c r="X914" i="8"/>
  <c r="W914" i="8"/>
  <c r="V914" i="8"/>
  <c r="U914" i="8"/>
  <c r="T914" i="8"/>
  <c r="P914" i="8"/>
  <c r="N914" i="8"/>
  <c r="M914" i="8"/>
  <c r="K914" i="8"/>
  <c r="J914" i="8"/>
  <c r="I914" i="8"/>
  <c r="H914" i="8"/>
  <c r="G914" i="8"/>
  <c r="F914" i="8"/>
  <c r="E914" i="8"/>
  <c r="AB913" i="8"/>
  <c r="Y913" i="8"/>
  <c r="X913" i="8"/>
  <c r="W913" i="8"/>
  <c r="V913" i="8"/>
  <c r="U913" i="8"/>
  <c r="T913" i="8"/>
  <c r="P913" i="8"/>
  <c r="AA913" i="8" s="1"/>
  <c r="N913" i="8"/>
  <c r="M913" i="8"/>
  <c r="K913" i="8"/>
  <c r="J913" i="8"/>
  <c r="I913" i="8"/>
  <c r="H913" i="8"/>
  <c r="G913" i="8"/>
  <c r="F913" i="8"/>
  <c r="E913" i="8"/>
  <c r="AB912" i="8"/>
  <c r="Y912" i="8"/>
  <c r="X912" i="8"/>
  <c r="W912" i="8"/>
  <c r="V912" i="8"/>
  <c r="U912" i="8"/>
  <c r="T912" i="8"/>
  <c r="P912" i="8"/>
  <c r="Z912" i="8" s="1"/>
  <c r="N912" i="8"/>
  <c r="M912" i="8"/>
  <c r="K912" i="8"/>
  <c r="J912" i="8"/>
  <c r="I912" i="8"/>
  <c r="H912" i="8"/>
  <c r="G912" i="8"/>
  <c r="F912" i="8"/>
  <c r="E912" i="8"/>
  <c r="AB911" i="8"/>
  <c r="Y911" i="8"/>
  <c r="X911" i="8"/>
  <c r="W911" i="8"/>
  <c r="V911" i="8"/>
  <c r="U911" i="8"/>
  <c r="T911" i="8"/>
  <c r="P911" i="8"/>
  <c r="AA911" i="8" s="1"/>
  <c r="N911" i="8"/>
  <c r="M911" i="8"/>
  <c r="K911" i="8"/>
  <c r="J911" i="8"/>
  <c r="I911" i="8"/>
  <c r="H911" i="8"/>
  <c r="G911" i="8"/>
  <c r="F911" i="8"/>
  <c r="E911" i="8"/>
  <c r="AB910" i="8"/>
  <c r="Y910" i="8"/>
  <c r="X910" i="8"/>
  <c r="W910" i="8"/>
  <c r="V910" i="8"/>
  <c r="U910" i="8"/>
  <c r="T910" i="8"/>
  <c r="P910" i="8"/>
  <c r="Z910" i="8" s="1"/>
  <c r="N910" i="8"/>
  <c r="M910" i="8"/>
  <c r="K910" i="8"/>
  <c r="J910" i="8"/>
  <c r="I910" i="8"/>
  <c r="H910" i="8"/>
  <c r="G910" i="8"/>
  <c r="F910" i="8"/>
  <c r="E910" i="8"/>
  <c r="AB909" i="8"/>
  <c r="Y909" i="8"/>
  <c r="X909" i="8"/>
  <c r="W909" i="8"/>
  <c r="V909" i="8"/>
  <c r="U909" i="8"/>
  <c r="T909" i="8"/>
  <c r="P909" i="8"/>
  <c r="AA909" i="8" s="1"/>
  <c r="N909" i="8"/>
  <c r="M909" i="8"/>
  <c r="K909" i="8"/>
  <c r="J909" i="8"/>
  <c r="I909" i="8"/>
  <c r="H909" i="8"/>
  <c r="G909" i="8"/>
  <c r="F909" i="8"/>
  <c r="E909" i="8"/>
  <c r="AB908" i="8"/>
  <c r="AA908" i="8"/>
  <c r="AC908" i="8" s="1"/>
  <c r="Y908" i="8"/>
  <c r="X908" i="8"/>
  <c r="W908" i="8"/>
  <c r="V908" i="8"/>
  <c r="U908" i="8"/>
  <c r="T908" i="8"/>
  <c r="P908" i="8"/>
  <c r="Z908" i="8" s="1"/>
  <c r="N908" i="8"/>
  <c r="M908" i="8"/>
  <c r="K908" i="8"/>
  <c r="J908" i="8"/>
  <c r="I908" i="8"/>
  <c r="H908" i="8"/>
  <c r="G908" i="8"/>
  <c r="F908" i="8"/>
  <c r="E908" i="8"/>
  <c r="AB907" i="8"/>
  <c r="Y907" i="8"/>
  <c r="X907" i="8"/>
  <c r="W907" i="8"/>
  <c r="V907" i="8"/>
  <c r="U907" i="8"/>
  <c r="T907" i="8"/>
  <c r="P907" i="8"/>
  <c r="AA907" i="8" s="1"/>
  <c r="N907" i="8"/>
  <c r="M907" i="8"/>
  <c r="K907" i="8"/>
  <c r="J907" i="8"/>
  <c r="I907" i="8"/>
  <c r="H907" i="8"/>
  <c r="G907" i="8"/>
  <c r="F907" i="8"/>
  <c r="E907" i="8"/>
  <c r="AB906" i="8"/>
  <c r="Y906" i="8"/>
  <c r="X906" i="8"/>
  <c r="W906" i="8"/>
  <c r="V906" i="8"/>
  <c r="U906" i="8"/>
  <c r="T906" i="8"/>
  <c r="P906" i="8"/>
  <c r="Z906" i="8" s="1"/>
  <c r="N906" i="8"/>
  <c r="M906" i="8"/>
  <c r="K906" i="8"/>
  <c r="J906" i="8"/>
  <c r="I906" i="8"/>
  <c r="H906" i="8"/>
  <c r="G906" i="8"/>
  <c r="F906" i="8"/>
  <c r="E906" i="8"/>
  <c r="AB905" i="8"/>
  <c r="Y905" i="8"/>
  <c r="X905" i="8"/>
  <c r="W905" i="8"/>
  <c r="V905" i="8"/>
  <c r="U905" i="8"/>
  <c r="T905" i="8"/>
  <c r="P905" i="8"/>
  <c r="AA905" i="8" s="1"/>
  <c r="N905" i="8"/>
  <c r="M905" i="8"/>
  <c r="K905" i="8"/>
  <c r="J905" i="8"/>
  <c r="I905" i="8"/>
  <c r="H905" i="8"/>
  <c r="G905" i="8"/>
  <c r="F905" i="8"/>
  <c r="E905" i="8"/>
  <c r="AB904" i="8"/>
  <c r="AA904" i="8"/>
  <c r="AC904" i="8" s="1"/>
  <c r="Y904" i="8"/>
  <c r="X904" i="8"/>
  <c r="W904" i="8"/>
  <c r="V904" i="8"/>
  <c r="U904" i="8"/>
  <c r="T904" i="8"/>
  <c r="P904" i="8"/>
  <c r="Z904" i="8" s="1"/>
  <c r="N904" i="8"/>
  <c r="M904" i="8"/>
  <c r="K904" i="8"/>
  <c r="J904" i="8"/>
  <c r="I904" i="8"/>
  <c r="H904" i="8"/>
  <c r="G904" i="8"/>
  <c r="F904" i="8"/>
  <c r="E904" i="8"/>
  <c r="AB903" i="8"/>
  <c r="Y903" i="8"/>
  <c r="X903" i="8"/>
  <c r="W903" i="8"/>
  <c r="V903" i="8"/>
  <c r="U903" i="8"/>
  <c r="T903" i="8"/>
  <c r="P903" i="8"/>
  <c r="AA903" i="8" s="1"/>
  <c r="N903" i="8"/>
  <c r="M903" i="8"/>
  <c r="K903" i="8"/>
  <c r="J903" i="8"/>
  <c r="I903" i="8"/>
  <c r="H903" i="8"/>
  <c r="G903" i="8"/>
  <c r="F903" i="8"/>
  <c r="E903" i="8"/>
  <c r="AB902" i="8"/>
  <c r="AA902" i="8"/>
  <c r="AC902" i="8" s="1"/>
  <c r="Y902" i="8"/>
  <c r="X902" i="8"/>
  <c r="W902" i="8"/>
  <c r="V902" i="8"/>
  <c r="U902" i="8"/>
  <c r="T902" i="8"/>
  <c r="P902" i="8"/>
  <c r="Z902" i="8" s="1"/>
  <c r="N902" i="8"/>
  <c r="M902" i="8"/>
  <c r="K902" i="8"/>
  <c r="J902" i="8"/>
  <c r="I902" i="8"/>
  <c r="H902" i="8"/>
  <c r="G902" i="8"/>
  <c r="F902" i="8"/>
  <c r="E902" i="8"/>
  <c r="AB901" i="8"/>
  <c r="Y901" i="8"/>
  <c r="X901" i="8"/>
  <c r="W901" i="8"/>
  <c r="V901" i="8"/>
  <c r="U901" i="8"/>
  <c r="T901" i="8"/>
  <c r="P901" i="8"/>
  <c r="AA901" i="8" s="1"/>
  <c r="N901" i="8"/>
  <c r="M901" i="8"/>
  <c r="K901" i="8"/>
  <c r="J901" i="8"/>
  <c r="I901" i="8"/>
  <c r="H901" i="8"/>
  <c r="G901" i="8"/>
  <c r="F901" i="8"/>
  <c r="E901" i="8"/>
  <c r="AB900" i="8"/>
  <c r="AA900" i="8"/>
  <c r="AC900" i="8" s="1"/>
  <c r="Y900" i="8"/>
  <c r="X900" i="8"/>
  <c r="W900" i="8"/>
  <c r="V900" i="8"/>
  <c r="U900" i="8"/>
  <c r="T900" i="8"/>
  <c r="P900" i="8"/>
  <c r="Z900" i="8" s="1"/>
  <c r="N900" i="8"/>
  <c r="M900" i="8"/>
  <c r="K900" i="8"/>
  <c r="J900" i="8"/>
  <c r="I900" i="8"/>
  <c r="H900" i="8"/>
  <c r="G900" i="8"/>
  <c r="F900" i="8"/>
  <c r="E900" i="8"/>
  <c r="AB899" i="8"/>
  <c r="Y899" i="8"/>
  <c r="X899" i="8"/>
  <c r="W899" i="8"/>
  <c r="V899" i="8"/>
  <c r="U899" i="8"/>
  <c r="T899" i="8"/>
  <c r="P899" i="8"/>
  <c r="AA899" i="8" s="1"/>
  <c r="N899" i="8"/>
  <c r="M899" i="8"/>
  <c r="K899" i="8"/>
  <c r="J899" i="8"/>
  <c r="I899" i="8"/>
  <c r="H899" i="8"/>
  <c r="G899" i="8"/>
  <c r="F899" i="8"/>
  <c r="E899" i="8"/>
  <c r="AB898" i="8"/>
  <c r="Y898" i="8"/>
  <c r="X898" i="8"/>
  <c r="W898" i="8"/>
  <c r="V898" i="8"/>
  <c r="U898" i="8"/>
  <c r="T898" i="8"/>
  <c r="P898" i="8"/>
  <c r="N898" i="8"/>
  <c r="M898" i="8"/>
  <c r="K898" i="8"/>
  <c r="J898" i="8"/>
  <c r="I898" i="8"/>
  <c r="H898" i="8"/>
  <c r="G898" i="8"/>
  <c r="F898" i="8"/>
  <c r="E898" i="8"/>
  <c r="AB897" i="8"/>
  <c r="Y897" i="8"/>
  <c r="X897" i="8"/>
  <c r="W897" i="8"/>
  <c r="V897" i="8"/>
  <c r="U897" i="8"/>
  <c r="T897" i="8"/>
  <c r="P897" i="8"/>
  <c r="AA897" i="8" s="1"/>
  <c r="N897" i="8"/>
  <c r="M897" i="8"/>
  <c r="K897" i="8"/>
  <c r="J897" i="8"/>
  <c r="I897" i="8"/>
  <c r="H897" i="8"/>
  <c r="G897" i="8"/>
  <c r="F897" i="8"/>
  <c r="E897" i="8"/>
  <c r="AB896" i="8"/>
  <c r="Y896" i="8"/>
  <c r="X896" i="8"/>
  <c r="W896" i="8"/>
  <c r="V896" i="8"/>
  <c r="U896" i="8"/>
  <c r="T896" i="8"/>
  <c r="P896" i="8"/>
  <c r="Z896" i="8" s="1"/>
  <c r="N896" i="8"/>
  <c r="M896" i="8"/>
  <c r="K896" i="8"/>
  <c r="J896" i="8"/>
  <c r="I896" i="8"/>
  <c r="H896" i="8"/>
  <c r="G896" i="8"/>
  <c r="F896" i="8"/>
  <c r="E896" i="8"/>
  <c r="AB895" i="8"/>
  <c r="Y895" i="8"/>
  <c r="X895" i="8"/>
  <c r="W895" i="8"/>
  <c r="V895" i="8"/>
  <c r="U895" i="8"/>
  <c r="T895" i="8"/>
  <c r="P895" i="8"/>
  <c r="AA895" i="8" s="1"/>
  <c r="N895" i="8"/>
  <c r="M895" i="8"/>
  <c r="K895" i="8"/>
  <c r="J895" i="8"/>
  <c r="I895" i="8"/>
  <c r="H895" i="8"/>
  <c r="G895" i="8"/>
  <c r="F895" i="8"/>
  <c r="E895" i="8"/>
  <c r="AB894" i="8"/>
  <c r="Y894" i="8"/>
  <c r="X894" i="8"/>
  <c r="W894" i="8"/>
  <c r="V894" i="8"/>
  <c r="U894" i="8"/>
  <c r="T894" i="8"/>
  <c r="P894" i="8"/>
  <c r="Z894" i="8" s="1"/>
  <c r="N894" i="8"/>
  <c r="M894" i="8"/>
  <c r="K894" i="8"/>
  <c r="J894" i="8"/>
  <c r="I894" i="8"/>
  <c r="H894" i="8"/>
  <c r="G894" i="8"/>
  <c r="F894" i="8"/>
  <c r="E894" i="8"/>
  <c r="AB893" i="8"/>
  <c r="Y893" i="8"/>
  <c r="X893" i="8"/>
  <c r="W893" i="8"/>
  <c r="V893" i="8"/>
  <c r="U893" i="8"/>
  <c r="T893" i="8"/>
  <c r="P893" i="8"/>
  <c r="AA893" i="8" s="1"/>
  <c r="AC893" i="8" s="1"/>
  <c r="N893" i="8"/>
  <c r="M893" i="8"/>
  <c r="K893" i="8"/>
  <c r="J893" i="8"/>
  <c r="I893" i="8"/>
  <c r="H893" i="8"/>
  <c r="G893" i="8"/>
  <c r="F893" i="8"/>
  <c r="E893" i="8"/>
  <c r="AB892" i="8"/>
  <c r="AA892" i="8"/>
  <c r="AC892" i="8" s="1"/>
  <c r="Y892" i="8"/>
  <c r="X892" i="8"/>
  <c r="W892" i="8"/>
  <c r="V892" i="8"/>
  <c r="U892" i="8"/>
  <c r="T892" i="8"/>
  <c r="P892" i="8"/>
  <c r="Z892" i="8" s="1"/>
  <c r="N892" i="8"/>
  <c r="M892" i="8"/>
  <c r="K892" i="8"/>
  <c r="J892" i="8"/>
  <c r="I892" i="8"/>
  <c r="H892" i="8"/>
  <c r="G892" i="8"/>
  <c r="F892" i="8"/>
  <c r="E892" i="8"/>
  <c r="AB891" i="8"/>
  <c r="Y891" i="8"/>
  <c r="X891" i="8"/>
  <c r="W891" i="8"/>
  <c r="V891" i="8"/>
  <c r="U891" i="8"/>
  <c r="T891" i="8"/>
  <c r="P891" i="8"/>
  <c r="AA891" i="8" s="1"/>
  <c r="N891" i="8"/>
  <c r="M891" i="8"/>
  <c r="K891" i="8"/>
  <c r="J891" i="8"/>
  <c r="I891" i="8"/>
  <c r="H891" i="8"/>
  <c r="G891" i="8"/>
  <c r="F891" i="8"/>
  <c r="E891" i="8"/>
  <c r="AB890" i="8"/>
  <c r="Y890" i="8"/>
  <c r="X890" i="8"/>
  <c r="W890" i="8"/>
  <c r="V890" i="8"/>
  <c r="U890" i="8"/>
  <c r="T890" i="8"/>
  <c r="P890" i="8"/>
  <c r="Z890" i="8" s="1"/>
  <c r="N890" i="8"/>
  <c r="M890" i="8"/>
  <c r="K890" i="8"/>
  <c r="J890" i="8"/>
  <c r="I890" i="8"/>
  <c r="H890" i="8"/>
  <c r="G890" i="8"/>
  <c r="F890" i="8"/>
  <c r="E890" i="8"/>
  <c r="AB889" i="8"/>
  <c r="Y889" i="8"/>
  <c r="X889" i="8"/>
  <c r="W889" i="8"/>
  <c r="V889" i="8"/>
  <c r="U889" i="8"/>
  <c r="T889" i="8"/>
  <c r="P889" i="8"/>
  <c r="AA889" i="8" s="1"/>
  <c r="N889" i="8"/>
  <c r="M889" i="8"/>
  <c r="K889" i="8"/>
  <c r="J889" i="8"/>
  <c r="I889" i="8"/>
  <c r="H889" i="8"/>
  <c r="G889" i="8"/>
  <c r="F889" i="8"/>
  <c r="E889" i="8"/>
  <c r="AB888" i="8"/>
  <c r="AA888" i="8"/>
  <c r="AC888" i="8" s="1"/>
  <c r="Y888" i="8"/>
  <c r="X888" i="8"/>
  <c r="W888" i="8"/>
  <c r="V888" i="8"/>
  <c r="U888" i="8"/>
  <c r="T888" i="8"/>
  <c r="P888" i="8"/>
  <c r="Z888" i="8" s="1"/>
  <c r="N888" i="8"/>
  <c r="M888" i="8"/>
  <c r="K888" i="8"/>
  <c r="J888" i="8"/>
  <c r="I888" i="8"/>
  <c r="H888" i="8"/>
  <c r="G888" i="8"/>
  <c r="F888" i="8"/>
  <c r="E888" i="8"/>
  <c r="AB887" i="8"/>
  <c r="Y887" i="8"/>
  <c r="X887" i="8"/>
  <c r="W887" i="8"/>
  <c r="V887" i="8"/>
  <c r="U887" i="8"/>
  <c r="T887" i="8"/>
  <c r="P887" i="8"/>
  <c r="AA887" i="8" s="1"/>
  <c r="N887" i="8"/>
  <c r="M887" i="8"/>
  <c r="K887" i="8"/>
  <c r="J887" i="8"/>
  <c r="I887" i="8"/>
  <c r="H887" i="8"/>
  <c r="G887" i="8"/>
  <c r="F887" i="8"/>
  <c r="E887" i="8"/>
  <c r="AB886" i="8"/>
  <c r="AA886" i="8"/>
  <c r="AC886" i="8" s="1"/>
  <c r="Y886" i="8"/>
  <c r="X886" i="8"/>
  <c r="W886" i="8"/>
  <c r="V886" i="8"/>
  <c r="U886" i="8"/>
  <c r="T886" i="8"/>
  <c r="P886" i="8"/>
  <c r="Z886" i="8" s="1"/>
  <c r="N886" i="8"/>
  <c r="M886" i="8"/>
  <c r="K886" i="8"/>
  <c r="J886" i="8"/>
  <c r="I886" i="8"/>
  <c r="H886" i="8"/>
  <c r="G886" i="8"/>
  <c r="F886" i="8"/>
  <c r="E886" i="8"/>
  <c r="AB885" i="8"/>
  <c r="Y885" i="8"/>
  <c r="X885" i="8"/>
  <c r="W885" i="8"/>
  <c r="V885" i="8"/>
  <c r="U885" i="8"/>
  <c r="T885" i="8"/>
  <c r="P885" i="8"/>
  <c r="AA885" i="8" s="1"/>
  <c r="N885" i="8"/>
  <c r="M885" i="8"/>
  <c r="K885" i="8"/>
  <c r="J885" i="8"/>
  <c r="I885" i="8"/>
  <c r="H885" i="8"/>
  <c r="G885" i="8"/>
  <c r="F885" i="8"/>
  <c r="E885" i="8"/>
  <c r="AB884" i="8"/>
  <c r="AA884" i="8"/>
  <c r="AC884" i="8" s="1"/>
  <c r="Y884" i="8"/>
  <c r="X884" i="8"/>
  <c r="W884" i="8"/>
  <c r="V884" i="8"/>
  <c r="U884" i="8"/>
  <c r="T884" i="8"/>
  <c r="P884" i="8"/>
  <c r="Z884" i="8" s="1"/>
  <c r="N884" i="8"/>
  <c r="M884" i="8"/>
  <c r="K884" i="8"/>
  <c r="J884" i="8"/>
  <c r="I884" i="8"/>
  <c r="H884" i="8"/>
  <c r="G884" i="8"/>
  <c r="F884" i="8"/>
  <c r="E884" i="8"/>
  <c r="AB883" i="8"/>
  <c r="Y883" i="8"/>
  <c r="X883" i="8"/>
  <c r="W883" i="8"/>
  <c r="V883" i="8"/>
  <c r="U883" i="8"/>
  <c r="T883" i="8"/>
  <c r="P883" i="8"/>
  <c r="AA883" i="8" s="1"/>
  <c r="AC883" i="8" s="1"/>
  <c r="N883" i="8"/>
  <c r="M883" i="8"/>
  <c r="K883" i="8"/>
  <c r="J883" i="8"/>
  <c r="I883" i="8"/>
  <c r="H883" i="8"/>
  <c r="G883" i="8"/>
  <c r="F883" i="8"/>
  <c r="E883" i="8"/>
  <c r="AB882" i="8"/>
  <c r="Y882" i="8"/>
  <c r="X882" i="8"/>
  <c r="W882" i="8"/>
  <c r="V882" i="8"/>
  <c r="U882" i="8"/>
  <c r="T882" i="8"/>
  <c r="P882" i="8"/>
  <c r="N882" i="8"/>
  <c r="M882" i="8"/>
  <c r="K882" i="8"/>
  <c r="J882" i="8"/>
  <c r="I882" i="8"/>
  <c r="H882" i="8"/>
  <c r="G882" i="8"/>
  <c r="F882" i="8"/>
  <c r="E882" i="8"/>
  <c r="AB881" i="8"/>
  <c r="Y881" i="8"/>
  <c r="X881" i="8"/>
  <c r="W881" i="8"/>
  <c r="V881" i="8"/>
  <c r="U881" i="8"/>
  <c r="T881" i="8"/>
  <c r="P881" i="8"/>
  <c r="AA881" i="8" s="1"/>
  <c r="N881" i="8"/>
  <c r="M881" i="8"/>
  <c r="K881" i="8"/>
  <c r="J881" i="8"/>
  <c r="I881" i="8"/>
  <c r="H881" i="8"/>
  <c r="G881" i="8"/>
  <c r="F881" i="8"/>
  <c r="E881" i="8"/>
  <c r="AB880" i="8"/>
  <c r="Y880" i="8"/>
  <c r="X880" i="8"/>
  <c r="W880" i="8"/>
  <c r="V880" i="8"/>
  <c r="U880" i="8"/>
  <c r="T880" i="8"/>
  <c r="P880" i="8"/>
  <c r="Z880" i="8" s="1"/>
  <c r="N880" i="8"/>
  <c r="M880" i="8"/>
  <c r="K880" i="8"/>
  <c r="J880" i="8"/>
  <c r="I880" i="8"/>
  <c r="H880" i="8"/>
  <c r="G880" i="8"/>
  <c r="F880" i="8"/>
  <c r="E880" i="8"/>
  <c r="AB879" i="8"/>
  <c r="Y879" i="8"/>
  <c r="X879" i="8"/>
  <c r="W879" i="8"/>
  <c r="V879" i="8"/>
  <c r="U879" i="8"/>
  <c r="T879" i="8"/>
  <c r="P879" i="8"/>
  <c r="AA879" i="8" s="1"/>
  <c r="N879" i="8"/>
  <c r="M879" i="8"/>
  <c r="K879" i="8"/>
  <c r="J879" i="8"/>
  <c r="I879" i="8"/>
  <c r="H879" i="8"/>
  <c r="G879" i="8"/>
  <c r="F879" i="8"/>
  <c r="E879" i="8"/>
  <c r="AB878" i="8"/>
  <c r="Y878" i="8"/>
  <c r="X878" i="8"/>
  <c r="W878" i="8"/>
  <c r="V878" i="8"/>
  <c r="U878" i="8"/>
  <c r="T878" i="8"/>
  <c r="P878" i="8"/>
  <c r="Z878" i="8" s="1"/>
  <c r="N878" i="8"/>
  <c r="M878" i="8"/>
  <c r="K878" i="8"/>
  <c r="J878" i="8"/>
  <c r="I878" i="8"/>
  <c r="H878" i="8"/>
  <c r="G878" i="8"/>
  <c r="F878" i="8"/>
  <c r="E878" i="8"/>
  <c r="AB877" i="8"/>
  <c r="Y877" i="8"/>
  <c r="X877" i="8"/>
  <c r="W877" i="8"/>
  <c r="V877" i="8"/>
  <c r="U877" i="8"/>
  <c r="T877" i="8"/>
  <c r="P877" i="8"/>
  <c r="AA877" i="8" s="1"/>
  <c r="N877" i="8"/>
  <c r="M877" i="8"/>
  <c r="K877" i="8"/>
  <c r="J877" i="8"/>
  <c r="I877" i="8"/>
  <c r="H877" i="8"/>
  <c r="G877" i="8"/>
  <c r="F877" i="8"/>
  <c r="E877" i="8"/>
  <c r="AB876" i="8"/>
  <c r="AA876" i="8"/>
  <c r="AC876" i="8" s="1"/>
  <c r="Y876" i="8"/>
  <c r="X876" i="8"/>
  <c r="W876" i="8"/>
  <c r="V876" i="8"/>
  <c r="U876" i="8"/>
  <c r="T876" i="8"/>
  <c r="P876" i="8"/>
  <c r="Z876" i="8" s="1"/>
  <c r="N876" i="8"/>
  <c r="M876" i="8"/>
  <c r="K876" i="8"/>
  <c r="J876" i="8"/>
  <c r="I876" i="8"/>
  <c r="H876" i="8"/>
  <c r="G876" i="8"/>
  <c r="F876" i="8"/>
  <c r="E876" i="8"/>
  <c r="AB875" i="8"/>
  <c r="Y875" i="8"/>
  <c r="X875" i="8"/>
  <c r="W875" i="8"/>
  <c r="V875" i="8"/>
  <c r="U875" i="8"/>
  <c r="T875" i="8"/>
  <c r="P875" i="8"/>
  <c r="AA875" i="8" s="1"/>
  <c r="N875" i="8"/>
  <c r="M875" i="8"/>
  <c r="K875" i="8"/>
  <c r="J875" i="8"/>
  <c r="I875" i="8"/>
  <c r="H875" i="8"/>
  <c r="G875" i="8"/>
  <c r="F875" i="8"/>
  <c r="E875" i="8"/>
  <c r="AB874" i="8"/>
  <c r="Y874" i="8"/>
  <c r="X874" i="8"/>
  <c r="W874" i="8"/>
  <c r="V874" i="8"/>
  <c r="U874" i="8"/>
  <c r="T874" i="8"/>
  <c r="P874" i="8"/>
  <c r="Z874" i="8" s="1"/>
  <c r="N874" i="8"/>
  <c r="M874" i="8"/>
  <c r="K874" i="8"/>
  <c r="J874" i="8"/>
  <c r="I874" i="8"/>
  <c r="H874" i="8"/>
  <c r="G874" i="8"/>
  <c r="F874" i="8"/>
  <c r="E874" i="8"/>
  <c r="AB873" i="8"/>
  <c r="Y873" i="8"/>
  <c r="X873" i="8"/>
  <c r="W873" i="8"/>
  <c r="V873" i="8"/>
  <c r="U873" i="8"/>
  <c r="T873" i="8"/>
  <c r="P873" i="8"/>
  <c r="AA873" i="8" s="1"/>
  <c r="N873" i="8"/>
  <c r="M873" i="8"/>
  <c r="K873" i="8"/>
  <c r="J873" i="8"/>
  <c r="I873" i="8"/>
  <c r="H873" i="8"/>
  <c r="G873" i="8"/>
  <c r="F873" i="8"/>
  <c r="E873" i="8"/>
  <c r="AB872" i="8"/>
  <c r="AA872" i="8"/>
  <c r="AC872" i="8" s="1"/>
  <c r="Y872" i="8"/>
  <c r="X872" i="8"/>
  <c r="W872" i="8"/>
  <c r="V872" i="8"/>
  <c r="U872" i="8"/>
  <c r="T872" i="8"/>
  <c r="P872" i="8"/>
  <c r="Z872" i="8" s="1"/>
  <c r="N872" i="8"/>
  <c r="M872" i="8"/>
  <c r="K872" i="8"/>
  <c r="J872" i="8"/>
  <c r="I872" i="8"/>
  <c r="H872" i="8"/>
  <c r="G872" i="8"/>
  <c r="F872" i="8"/>
  <c r="E872" i="8"/>
  <c r="AB871" i="8"/>
  <c r="Y871" i="8"/>
  <c r="X871" i="8"/>
  <c r="W871" i="8"/>
  <c r="V871" i="8"/>
  <c r="U871" i="8"/>
  <c r="T871" i="8"/>
  <c r="P871" i="8"/>
  <c r="AA871" i="8" s="1"/>
  <c r="N871" i="8"/>
  <c r="M871" i="8"/>
  <c r="K871" i="8"/>
  <c r="J871" i="8"/>
  <c r="I871" i="8"/>
  <c r="H871" i="8"/>
  <c r="G871" i="8"/>
  <c r="F871" i="8"/>
  <c r="E871" i="8"/>
  <c r="AB870" i="8"/>
  <c r="AA870" i="8"/>
  <c r="AC870" i="8" s="1"/>
  <c r="Y870" i="8"/>
  <c r="X870" i="8"/>
  <c r="W870" i="8"/>
  <c r="V870" i="8"/>
  <c r="U870" i="8"/>
  <c r="T870" i="8"/>
  <c r="P870" i="8"/>
  <c r="Z870" i="8" s="1"/>
  <c r="N870" i="8"/>
  <c r="M870" i="8"/>
  <c r="K870" i="8"/>
  <c r="J870" i="8"/>
  <c r="I870" i="8"/>
  <c r="H870" i="8"/>
  <c r="G870" i="8"/>
  <c r="F870" i="8"/>
  <c r="E870" i="8"/>
  <c r="AB869" i="8"/>
  <c r="Y869" i="8"/>
  <c r="X869" i="8"/>
  <c r="W869" i="8"/>
  <c r="V869" i="8"/>
  <c r="U869" i="8"/>
  <c r="T869" i="8"/>
  <c r="P869" i="8"/>
  <c r="AA869" i="8" s="1"/>
  <c r="N869" i="8"/>
  <c r="M869" i="8"/>
  <c r="K869" i="8"/>
  <c r="J869" i="8"/>
  <c r="I869" i="8"/>
  <c r="H869" i="8"/>
  <c r="G869" i="8"/>
  <c r="F869" i="8"/>
  <c r="E869" i="8"/>
  <c r="AB868" i="8"/>
  <c r="AA868" i="8"/>
  <c r="AC868" i="8" s="1"/>
  <c r="Y868" i="8"/>
  <c r="X868" i="8"/>
  <c r="W868" i="8"/>
  <c r="V868" i="8"/>
  <c r="U868" i="8"/>
  <c r="T868" i="8"/>
  <c r="P868" i="8"/>
  <c r="Z868" i="8" s="1"/>
  <c r="N868" i="8"/>
  <c r="M868" i="8"/>
  <c r="K868" i="8"/>
  <c r="J868" i="8"/>
  <c r="I868" i="8"/>
  <c r="H868" i="8"/>
  <c r="G868" i="8"/>
  <c r="F868" i="8"/>
  <c r="E868" i="8"/>
  <c r="AB867" i="8"/>
  <c r="Y867" i="8"/>
  <c r="X867" i="8"/>
  <c r="W867" i="8"/>
  <c r="V867" i="8"/>
  <c r="U867" i="8"/>
  <c r="T867" i="8"/>
  <c r="P867" i="8"/>
  <c r="AA867" i="8" s="1"/>
  <c r="AC867" i="8" s="1"/>
  <c r="N867" i="8"/>
  <c r="M867" i="8"/>
  <c r="K867" i="8"/>
  <c r="J867" i="8"/>
  <c r="I867" i="8"/>
  <c r="H867" i="8"/>
  <c r="G867" i="8"/>
  <c r="F867" i="8"/>
  <c r="E867" i="8"/>
  <c r="AB866" i="8"/>
  <c r="Y866" i="8"/>
  <c r="X866" i="8"/>
  <c r="W866" i="8"/>
  <c r="V866" i="8"/>
  <c r="U866" i="8"/>
  <c r="T866" i="8"/>
  <c r="P866" i="8"/>
  <c r="N866" i="8"/>
  <c r="M866" i="8"/>
  <c r="K866" i="8"/>
  <c r="J866" i="8"/>
  <c r="I866" i="8"/>
  <c r="H866" i="8"/>
  <c r="G866" i="8"/>
  <c r="F866" i="8"/>
  <c r="E866" i="8"/>
  <c r="AB865" i="8"/>
  <c r="Y865" i="8"/>
  <c r="X865" i="8"/>
  <c r="W865" i="8"/>
  <c r="V865" i="8"/>
  <c r="U865" i="8"/>
  <c r="T865" i="8"/>
  <c r="P865" i="8"/>
  <c r="AA865" i="8" s="1"/>
  <c r="N865" i="8"/>
  <c r="M865" i="8"/>
  <c r="K865" i="8"/>
  <c r="J865" i="8"/>
  <c r="I865" i="8"/>
  <c r="H865" i="8"/>
  <c r="G865" i="8"/>
  <c r="F865" i="8"/>
  <c r="E865" i="8"/>
  <c r="AB864" i="8"/>
  <c r="Y864" i="8"/>
  <c r="X864" i="8"/>
  <c r="W864" i="8"/>
  <c r="V864" i="8"/>
  <c r="U864" i="8"/>
  <c r="T864" i="8"/>
  <c r="P864" i="8"/>
  <c r="Z864" i="8" s="1"/>
  <c r="N864" i="8"/>
  <c r="M864" i="8"/>
  <c r="K864" i="8"/>
  <c r="J864" i="8"/>
  <c r="I864" i="8"/>
  <c r="H864" i="8"/>
  <c r="G864" i="8"/>
  <c r="F864" i="8"/>
  <c r="E864" i="8"/>
  <c r="AB863" i="8"/>
  <c r="Y863" i="8"/>
  <c r="X863" i="8"/>
  <c r="W863" i="8"/>
  <c r="V863" i="8"/>
  <c r="U863" i="8"/>
  <c r="T863" i="8"/>
  <c r="P863" i="8"/>
  <c r="AA863" i="8" s="1"/>
  <c r="N863" i="8"/>
  <c r="M863" i="8"/>
  <c r="K863" i="8"/>
  <c r="J863" i="8"/>
  <c r="I863" i="8"/>
  <c r="H863" i="8"/>
  <c r="G863" i="8"/>
  <c r="F863" i="8"/>
  <c r="E863" i="8"/>
  <c r="AB862" i="8"/>
  <c r="AA862" i="8"/>
  <c r="AC862" i="8" s="1"/>
  <c r="Y862" i="8"/>
  <c r="X862" i="8"/>
  <c r="W862" i="8"/>
  <c r="V862" i="8"/>
  <c r="U862" i="8"/>
  <c r="T862" i="8"/>
  <c r="P862" i="8"/>
  <c r="Z862" i="8" s="1"/>
  <c r="N862" i="8"/>
  <c r="M862" i="8"/>
  <c r="K862" i="8"/>
  <c r="J862" i="8"/>
  <c r="I862" i="8"/>
  <c r="H862" i="8"/>
  <c r="G862" i="8"/>
  <c r="F862" i="8"/>
  <c r="E862" i="8"/>
  <c r="AB861" i="8"/>
  <c r="Y861" i="8"/>
  <c r="X861" i="8"/>
  <c r="W861" i="8"/>
  <c r="V861" i="8"/>
  <c r="U861" i="8"/>
  <c r="T861" i="8"/>
  <c r="P861" i="8"/>
  <c r="AA861" i="8" s="1"/>
  <c r="N861" i="8"/>
  <c r="M861" i="8"/>
  <c r="K861" i="8"/>
  <c r="J861" i="8"/>
  <c r="I861" i="8"/>
  <c r="H861" i="8"/>
  <c r="G861" i="8"/>
  <c r="F861" i="8"/>
  <c r="E861" i="8"/>
  <c r="AB860" i="8"/>
  <c r="AA860" i="8"/>
  <c r="AC860" i="8" s="1"/>
  <c r="Y860" i="8"/>
  <c r="X860" i="8"/>
  <c r="W860" i="8"/>
  <c r="V860" i="8"/>
  <c r="U860" i="8"/>
  <c r="T860" i="8"/>
  <c r="P860" i="8"/>
  <c r="Z860" i="8" s="1"/>
  <c r="N860" i="8"/>
  <c r="M860" i="8"/>
  <c r="K860" i="8"/>
  <c r="J860" i="8"/>
  <c r="I860" i="8"/>
  <c r="H860" i="8"/>
  <c r="G860" i="8"/>
  <c r="F860" i="8"/>
  <c r="E860" i="8"/>
  <c r="AB859" i="8"/>
  <c r="Y859" i="8"/>
  <c r="X859" i="8"/>
  <c r="W859" i="8"/>
  <c r="V859" i="8"/>
  <c r="U859" i="8"/>
  <c r="T859" i="8"/>
  <c r="P859" i="8"/>
  <c r="AA859" i="8" s="1"/>
  <c r="AC859" i="8" s="1"/>
  <c r="N859" i="8"/>
  <c r="M859" i="8"/>
  <c r="K859" i="8"/>
  <c r="J859" i="8"/>
  <c r="I859" i="8"/>
  <c r="H859" i="8"/>
  <c r="G859" i="8"/>
  <c r="F859" i="8"/>
  <c r="E859" i="8"/>
  <c r="AB858" i="8"/>
  <c r="Y858" i="8"/>
  <c r="X858" i="8"/>
  <c r="W858" i="8"/>
  <c r="V858" i="8"/>
  <c r="U858" i="8"/>
  <c r="T858" i="8"/>
  <c r="P858" i="8"/>
  <c r="Z858" i="8" s="1"/>
  <c r="N858" i="8"/>
  <c r="M858" i="8"/>
  <c r="K858" i="8"/>
  <c r="J858" i="8"/>
  <c r="I858" i="8"/>
  <c r="H858" i="8"/>
  <c r="G858" i="8"/>
  <c r="F858" i="8"/>
  <c r="E858" i="8"/>
  <c r="AB857" i="8"/>
  <c r="Y857" i="8"/>
  <c r="X857" i="8"/>
  <c r="W857" i="8"/>
  <c r="V857" i="8"/>
  <c r="U857" i="8"/>
  <c r="T857" i="8"/>
  <c r="P857" i="8"/>
  <c r="AA857" i="8" s="1"/>
  <c r="N857" i="8"/>
  <c r="M857" i="8"/>
  <c r="K857" i="8"/>
  <c r="J857" i="8"/>
  <c r="I857" i="8"/>
  <c r="H857" i="8"/>
  <c r="G857" i="8"/>
  <c r="F857" i="8"/>
  <c r="E857" i="8"/>
  <c r="AB856" i="8"/>
  <c r="AA856" i="8"/>
  <c r="AC856" i="8" s="1"/>
  <c r="Y856" i="8"/>
  <c r="X856" i="8"/>
  <c r="W856" i="8"/>
  <c r="V856" i="8"/>
  <c r="U856" i="8"/>
  <c r="T856" i="8"/>
  <c r="P856" i="8"/>
  <c r="Z856" i="8" s="1"/>
  <c r="N856" i="8"/>
  <c r="M856" i="8"/>
  <c r="K856" i="8"/>
  <c r="J856" i="8"/>
  <c r="I856" i="8"/>
  <c r="H856" i="8"/>
  <c r="G856" i="8"/>
  <c r="F856" i="8"/>
  <c r="E856" i="8"/>
  <c r="AB855" i="8"/>
  <c r="Y855" i="8"/>
  <c r="X855" i="8"/>
  <c r="W855" i="8"/>
  <c r="V855" i="8"/>
  <c r="U855" i="8"/>
  <c r="T855" i="8"/>
  <c r="P855" i="8"/>
  <c r="AA855" i="8" s="1"/>
  <c r="N855" i="8"/>
  <c r="M855" i="8"/>
  <c r="K855" i="8"/>
  <c r="J855" i="8"/>
  <c r="I855" i="8"/>
  <c r="H855" i="8"/>
  <c r="G855" i="8"/>
  <c r="F855" i="8"/>
  <c r="E855" i="8"/>
  <c r="AB854" i="8"/>
  <c r="AA854" i="8"/>
  <c r="AC854" i="8" s="1"/>
  <c r="Y854" i="8"/>
  <c r="X854" i="8"/>
  <c r="W854" i="8"/>
  <c r="V854" i="8"/>
  <c r="U854" i="8"/>
  <c r="T854" i="8"/>
  <c r="P854" i="8"/>
  <c r="Z854" i="8" s="1"/>
  <c r="N854" i="8"/>
  <c r="M854" i="8"/>
  <c r="K854" i="8"/>
  <c r="J854" i="8"/>
  <c r="I854" i="8"/>
  <c r="H854" i="8"/>
  <c r="G854" i="8"/>
  <c r="F854" i="8"/>
  <c r="E854" i="8"/>
  <c r="AB853" i="8"/>
  <c r="Y853" i="8"/>
  <c r="X853" i="8"/>
  <c r="W853" i="8"/>
  <c r="V853" i="8"/>
  <c r="U853" i="8"/>
  <c r="T853" i="8"/>
  <c r="P853" i="8"/>
  <c r="AA853" i="8" s="1"/>
  <c r="N853" i="8"/>
  <c r="M853" i="8"/>
  <c r="K853" i="8"/>
  <c r="J853" i="8"/>
  <c r="I853" i="8"/>
  <c r="H853" i="8"/>
  <c r="G853" i="8"/>
  <c r="F853" i="8"/>
  <c r="E853" i="8"/>
  <c r="AB852" i="8"/>
  <c r="AA852" i="8"/>
  <c r="AC852" i="8" s="1"/>
  <c r="Y852" i="8"/>
  <c r="X852" i="8"/>
  <c r="W852" i="8"/>
  <c r="V852" i="8"/>
  <c r="U852" i="8"/>
  <c r="T852" i="8"/>
  <c r="P852" i="8"/>
  <c r="Z852" i="8" s="1"/>
  <c r="N852" i="8"/>
  <c r="M852" i="8"/>
  <c r="K852" i="8"/>
  <c r="J852" i="8"/>
  <c r="I852" i="8"/>
  <c r="H852" i="8"/>
  <c r="G852" i="8"/>
  <c r="F852" i="8"/>
  <c r="E852" i="8"/>
  <c r="AB851" i="8"/>
  <c r="Y851" i="8"/>
  <c r="X851" i="8"/>
  <c r="W851" i="8"/>
  <c r="V851" i="8"/>
  <c r="U851" i="8"/>
  <c r="T851" i="8"/>
  <c r="P851" i="8"/>
  <c r="AA851" i="8" s="1"/>
  <c r="N851" i="8"/>
  <c r="M851" i="8"/>
  <c r="K851" i="8"/>
  <c r="J851" i="8"/>
  <c r="I851" i="8"/>
  <c r="H851" i="8"/>
  <c r="G851" i="8"/>
  <c r="F851" i="8"/>
  <c r="E851" i="8"/>
  <c r="AB850" i="8"/>
  <c r="Y850" i="8"/>
  <c r="X850" i="8"/>
  <c r="W850" i="8"/>
  <c r="V850" i="8"/>
  <c r="U850" i="8"/>
  <c r="T850" i="8"/>
  <c r="P850" i="8"/>
  <c r="N850" i="8"/>
  <c r="M850" i="8"/>
  <c r="K850" i="8"/>
  <c r="J850" i="8"/>
  <c r="I850" i="8"/>
  <c r="H850" i="8"/>
  <c r="G850" i="8"/>
  <c r="F850" i="8"/>
  <c r="E850" i="8"/>
  <c r="AB849" i="8"/>
  <c r="Y849" i="8"/>
  <c r="X849" i="8"/>
  <c r="W849" i="8"/>
  <c r="V849" i="8"/>
  <c r="U849" i="8"/>
  <c r="T849" i="8"/>
  <c r="P849" i="8"/>
  <c r="AA849" i="8" s="1"/>
  <c r="N849" i="8"/>
  <c r="M849" i="8"/>
  <c r="K849" i="8"/>
  <c r="J849" i="8"/>
  <c r="I849" i="8"/>
  <c r="H849" i="8"/>
  <c r="G849" i="8"/>
  <c r="F849" i="8"/>
  <c r="E849" i="8"/>
  <c r="AB848" i="8"/>
  <c r="Y848" i="8"/>
  <c r="X848" i="8"/>
  <c r="W848" i="8"/>
  <c r="V848" i="8"/>
  <c r="U848" i="8"/>
  <c r="T848" i="8"/>
  <c r="P848" i="8"/>
  <c r="Z848" i="8" s="1"/>
  <c r="N848" i="8"/>
  <c r="M848" i="8"/>
  <c r="K848" i="8"/>
  <c r="J848" i="8"/>
  <c r="I848" i="8"/>
  <c r="H848" i="8"/>
  <c r="G848" i="8"/>
  <c r="F848" i="8"/>
  <c r="E848" i="8"/>
  <c r="AB847" i="8"/>
  <c r="Y847" i="8"/>
  <c r="X847" i="8"/>
  <c r="W847" i="8"/>
  <c r="V847" i="8"/>
  <c r="U847" i="8"/>
  <c r="T847" i="8"/>
  <c r="P847" i="8"/>
  <c r="AA847" i="8" s="1"/>
  <c r="N847" i="8"/>
  <c r="M847" i="8"/>
  <c r="K847" i="8"/>
  <c r="J847" i="8"/>
  <c r="I847" i="8"/>
  <c r="H847" i="8"/>
  <c r="G847" i="8"/>
  <c r="F847" i="8"/>
  <c r="E847" i="8"/>
  <c r="AB846" i="8"/>
  <c r="AA846" i="8"/>
  <c r="AC846" i="8" s="1"/>
  <c r="Y846" i="8"/>
  <c r="X846" i="8"/>
  <c r="W846" i="8"/>
  <c r="V846" i="8"/>
  <c r="U846" i="8"/>
  <c r="T846" i="8"/>
  <c r="P846" i="8"/>
  <c r="Z846" i="8" s="1"/>
  <c r="N846" i="8"/>
  <c r="M846" i="8"/>
  <c r="K846" i="8"/>
  <c r="J846" i="8"/>
  <c r="I846" i="8"/>
  <c r="H846" i="8"/>
  <c r="G846" i="8"/>
  <c r="F846" i="8"/>
  <c r="E846" i="8"/>
  <c r="AB845" i="8"/>
  <c r="Y845" i="8"/>
  <c r="X845" i="8"/>
  <c r="W845" i="8"/>
  <c r="V845" i="8"/>
  <c r="U845" i="8"/>
  <c r="T845" i="8"/>
  <c r="P845" i="8"/>
  <c r="AA845" i="8" s="1"/>
  <c r="N845" i="8"/>
  <c r="M845" i="8"/>
  <c r="K845" i="8"/>
  <c r="J845" i="8"/>
  <c r="I845" i="8"/>
  <c r="H845" i="8"/>
  <c r="G845" i="8"/>
  <c r="F845" i="8"/>
  <c r="E845" i="8"/>
  <c r="AB844" i="8"/>
  <c r="AA844" i="8"/>
  <c r="AC844" i="8" s="1"/>
  <c r="Y844" i="8"/>
  <c r="X844" i="8"/>
  <c r="W844" i="8"/>
  <c r="V844" i="8"/>
  <c r="U844" i="8"/>
  <c r="T844" i="8"/>
  <c r="P844" i="8"/>
  <c r="Z844" i="8" s="1"/>
  <c r="N844" i="8"/>
  <c r="M844" i="8"/>
  <c r="K844" i="8"/>
  <c r="J844" i="8"/>
  <c r="I844" i="8"/>
  <c r="H844" i="8"/>
  <c r="G844" i="8"/>
  <c r="F844" i="8"/>
  <c r="E844" i="8"/>
  <c r="AB843" i="8"/>
  <c r="Y843" i="8"/>
  <c r="X843" i="8"/>
  <c r="W843" i="8"/>
  <c r="V843" i="8"/>
  <c r="U843" i="8"/>
  <c r="T843" i="8"/>
  <c r="P843" i="8"/>
  <c r="AA843" i="8" s="1"/>
  <c r="N843" i="8"/>
  <c r="M843" i="8"/>
  <c r="K843" i="8"/>
  <c r="J843" i="8"/>
  <c r="I843" i="8"/>
  <c r="H843" i="8"/>
  <c r="G843" i="8"/>
  <c r="F843" i="8"/>
  <c r="E843" i="8"/>
  <c r="AB842" i="8"/>
  <c r="Y842" i="8"/>
  <c r="X842" i="8"/>
  <c r="W842" i="8"/>
  <c r="V842" i="8"/>
  <c r="U842" i="8"/>
  <c r="T842" i="8"/>
  <c r="P842" i="8"/>
  <c r="Z842" i="8" s="1"/>
  <c r="N842" i="8"/>
  <c r="M842" i="8"/>
  <c r="K842" i="8"/>
  <c r="J842" i="8"/>
  <c r="I842" i="8"/>
  <c r="H842" i="8"/>
  <c r="G842" i="8"/>
  <c r="F842" i="8"/>
  <c r="E842" i="8"/>
  <c r="AB841" i="8"/>
  <c r="Y841" i="8"/>
  <c r="X841" i="8"/>
  <c r="W841" i="8"/>
  <c r="V841" i="8"/>
  <c r="U841" i="8"/>
  <c r="T841" i="8"/>
  <c r="P841" i="8"/>
  <c r="AA841" i="8" s="1"/>
  <c r="N841" i="8"/>
  <c r="M841" i="8"/>
  <c r="K841" i="8"/>
  <c r="J841" i="8"/>
  <c r="I841" i="8"/>
  <c r="H841" i="8"/>
  <c r="G841" i="8"/>
  <c r="F841" i="8"/>
  <c r="E841" i="8"/>
  <c r="AB840" i="8"/>
  <c r="AA840" i="8"/>
  <c r="AC840" i="8" s="1"/>
  <c r="Y840" i="8"/>
  <c r="X840" i="8"/>
  <c r="W840" i="8"/>
  <c r="V840" i="8"/>
  <c r="U840" i="8"/>
  <c r="T840" i="8"/>
  <c r="P840" i="8"/>
  <c r="Z840" i="8" s="1"/>
  <c r="N840" i="8"/>
  <c r="M840" i="8"/>
  <c r="K840" i="8"/>
  <c r="J840" i="8"/>
  <c r="I840" i="8"/>
  <c r="H840" i="8"/>
  <c r="G840" i="8"/>
  <c r="F840" i="8"/>
  <c r="E840" i="8"/>
  <c r="AB839" i="8"/>
  <c r="Y839" i="8"/>
  <c r="X839" i="8"/>
  <c r="W839" i="8"/>
  <c r="V839" i="8"/>
  <c r="U839" i="8"/>
  <c r="T839" i="8"/>
  <c r="P839" i="8"/>
  <c r="AA839" i="8" s="1"/>
  <c r="N839" i="8"/>
  <c r="M839" i="8"/>
  <c r="K839" i="8"/>
  <c r="J839" i="8"/>
  <c r="I839" i="8"/>
  <c r="H839" i="8"/>
  <c r="G839" i="8"/>
  <c r="F839" i="8"/>
  <c r="E839" i="8"/>
  <c r="AB838" i="8"/>
  <c r="AA838" i="8"/>
  <c r="AC838" i="8" s="1"/>
  <c r="Y838" i="8"/>
  <c r="X838" i="8"/>
  <c r="W838" i="8"/>
  <c r="V838" i="8"/>
  <c r="U838" i="8"/>
  <c r="T838" i="8"/>
  <c r="P838" i="8"/>
  <c r="Z838" i="8" s="1"/>
  <c r="N838" i="8"/>
  <c r="M838" i="8"/>
  <c r="K838" i="8"/>
  <c r="J838" i="8"/>
  <c r="I838" i="8"/>
  <c r="H838" i="8"/>
  <c r="G838" i="8"/>
  <c r="F838" i="8"/>
  <c r="E838" i="8"/>
  <c r="AB837" i="8"/>
  <c r="Y837" i="8"/>
  <c r="X837" i="8"/>
  <c r="W837" i="8"/>
  <c r="V837" i="8"/>
  <c r="U837" i="8"/>
  <c r="T837" i="8"/>
  <c r="P837" i="8"/>
  <c r="AA837" i="8" s="1"/>
  <c r="AC837" i="8" s="1"/>
  <c r="N837" i="8"/>
  <c r="M837" i="8"/>
  <c r="K837" i="8"/>
  <c r="J837" i="8"/>
  <c r="I837" i="8"/>
  <c r="H837" i="8"/>
  <c r="G837" i="8"/>
  <c r="F837" i="8"/>
  <c r="E837" i="8"/>
  <c r="AB836" i="8"/>
  <c r="AA836" i="8"/>
  <c r="AC836" i="8" s="1"/>
  <c r="Y836" i="8"/>
  <c r="X836" i="8"/>
  <c r="W836" i="8"/>
  <c r="V836" i="8"/>
  <c r="U836" i="8"/>
  <c r="T836" i="8"/>
  <c r="P836" i="8"/>
  <c r="Z836" i="8" s="1"/>
  <c r="N836" i="8"/>
  <c r="M836" i="8"/>
  <c r="K836" i="8"/>
  <c r="J836" i="8"/>
  <c r="I836" i="8"/>
  <c r="H836" i="8"/>
  <c r="G836" i="8"/>
  <c r="F836" i="8"/>
  <c r="E836" i="8"/>
  <c r="AB835" i="8"/>
  <c r="Y835" i="8"/>
  <c r="X835" i="8"/>
  <c r="W835" i="8"/>
  <c r="V835" i="8"/>
  <c r="U835" i="8"/>
  <c r="T835" i="8"/>
  <c r="P835" i="8"/>
  <c r="AA835" i="8" s="1"/>
  <c r="N835" i="8"/>
  <c r="M835" i="8"/>
  <c r="K835" i="8"/>
  <c r="J835" i="8"/>
  <c r="I835" i="8"/>
  <c r="H835" i="8"/>
  <c r="G835" i="8"/>
  <c r="F835" i="8"/>
  <c r="E835" i="8"/>
  <c r="AB834" i="8"/>
  <c r="Y834" i="8"/>
  <c r="X834" i="8"/>
  <c r="W834" i="8"/>
  <c r="V834" i="8"/>
  <c r="U834" i="8"/>
  <c r="T834" i="8"/>
  <c r="P834" i="8"/>
  <c r="N834" i="8"/>
  <c r="M834" i="8"/>
  <c r="K834" i="8"/>
  <c r="J834" i="8"/>
  <c r="I834" i="8"/>
  <c r="H834" i="8"/>
  <c r="G834" i="8"/>
  <c r="F834" i="8"/>
  <c r="E834" i="8"/>
  <c r="AB833" i="8"/>
  <c r="Y833" i="8"/>
  <c r="X833" i="8"/>
  <c r="W833" i="8"/>
  <c r="V833" i="8"/>
  <c r="U833" i="8"/>
  <c r="T833" i="8"/>
  <c r="P833" i="8"/>
  <c r="AA833" i="8" s="1"/>
  <c r="AC833" i="8" s="1"/>
  <c r="N833" i="8"/>
  <c r="M833" i="8"/>
  <c r="K833" i="8"/>
  <c r="J833" i="8"/>
  <c r="I833" i="8"/>
  <c r="H833" i="8"/>
  <c r="G833" i="8"/>
  <c r="F833" i="8"/>
  <c r="E833" i="8"/>
  <c r="AB832" i="8"/>
  <c r="Y832" i="8"/>
  <c r="X832" i="8"/>
  <c r="W832" i="8"/>
  <c r="V832" i="8"/>
  <c r="U832" i="8"/>
  <c r="T832" i="8"/>
  <c r="P832" i="8"/>
  <c r="Z832" i="8" s="1"/>
  <c r="N832" i="8"/>
  <c r="M832" i="8"/>
  <c r="K832" i="8"/>
  <c r="J832" i="8"/>
  <c r="I832" i="8"/>
  <c r="H832" i="8"/>
  <c r="G832" i="8"/>
  <c r="F832" i="8"/>
  <c r="E832" i="8"/>
  <c r="AB831" i="8"/>
  <c r="Y831" i="8"/>
  <c r="X831" i="8"/>
  <c r="W831" i="8"/>
  <c r="V831" i="8"/>
  <c r="U831" i="8"/>
  <c r="T831" i="8"/>
  <c r="P831" i="8"/>
  <c r="AA831" i="8" s="1"/>
  <c r="N831" i="8"/>
  <c r="M831" i="8"/>
  <c r="K831" i="8"/>
  <c r="J831" i="8"/>
  <c r="I831" i="8"/>
  <c r="H831" i="8"/>
  <c r="G831" i="8"/>
  <c r="F831" i="8"/>
  <c r="E831" i="8"/>
  <c r="AB830" i="8"/>
  <c r="AA830" i="8"/>
  <c r="AC830" i="8" s="1"/>
  <c r="Y830" i="8"/>
  <c r="X830" i="8"/>
  <c r="W830" i="8"/>
  <c r="V830" i="8"/>
  <c r="U830" i="8"/>
  <c r="T830" i="8"/>
  <c r="P830" i="8"/>
  <c r="Z830" i="8" s="1"/>
  <c r="N830" i="8"/>
  <c r="M830" i="8"/>
  <c r="K830" i="8"/>
  <c r="J830" i="8"/>
  <c r="I830" i="8"/>
  <c r="H830" i="8"/>
  <c r="G830" i="8"/>
  <c r="F830" i="8"/>
  <c r="E830" i="8"/>
  <c r="AB829" i="8"/>
  <c r="Y829" i="8"/>
  <c r="X829" i="8"/>
  <c r="W829" i="8"/>
  <c r="V829" i="8"/>
  <c r="U829" i="8"/>
  <c r="T829" i="8"/>
  <c r="P829" i="8"/>
  <c r="AA829" i="8" s="1"/>
  <c r="AC829" i="8" s="1"/>
  <c r="N829" i="8"/>
  <c r="M829" i="8"/>
  <c r="K829" i="8"/>
  <c r="J829" i="8"/>
  <c r="I829" i="8"/>
  <c r="H829" i="8"/>
  <c r="G829" i="8"/>
  <c r="F829" i="8"/>
  <c r="E829" i="8"/>
  <c r="AB828" i="8"/>
  <c r="AA828" i="8"/>
  <c r="AC828" i="8" s="1"/>
  <c r="Y828" i="8"/>
  <c r="X828" i="8"/>
  <c r="W828" i="8"/>
  <c r="V828" i="8"/>
  <c r="U828" i="8"/>
  <c r="T828" i="8"/>
  <c r="P828" i="8"/>
  <c r="Z828" i="8" s="1"/>
  <c r="N828" i="8"/>
  <c r="M828" i="8"/>
  <c r="K828" i="8"/>
  <c r="J828" i="8"/>
  <c r="I828" i="8"/>
  <c r="H828" i="8"/>
  <c r="G828" i="8"/>
  <c r="F828" i="8"/>
  <c r="E828" i="8"/>
  <c r="AB827" i="8"/>
  <c r="Y827" i="8"/>
  <c r="X827" i="8"/>
  <c r="W827" i="8"/>
  <c r="V827" i="8"/>
  <c r="U827" i="8"/>
  <c r="T827" i="8"/>
  <c r="P827" i="8"/>
  <c r="AA827" i="8" s="1"/>
  <c r="N827" i="8"/>
  <c r="M827" i="8"/>
  <c r="K827" i="8"/>
  <c r="J827" i="8"/>
  <c r="I827" i="8"/>
  <c r="H827" i="8"/>
  <c r="G827" i="8"/>
  <c r="F827" i="8"/>
  <c r="E827" i="8"/>
  <c r="AB826" i="8"/>
  <c r="Y826" i="8"/>
  <c r="X826" i="8"/>
  <c r="W826" i="8"/>
  <c r="V826" i="8"/>
  <c r="U826" i="8"/>
  <c r="T826" i="8"/>
  <c r="P826" i="8"/>
  <c r="Z826" i="8" s="1"/>
  <c r="N826" i="8"/>
  <c r="M826" i="8"/>
  <c r="K826" i="8"/>
  <c r="J826" i="8"/>
  <c r="I826" i="8"/>
  <c r="H826" i="8"/>
  <c r="G826" i="8"/>
  <c r="F826" i="8"/>
  <c r="E826" i="8"/>
  <c r="AB825" i="8"/>
  <c r="Y825" i="8"/>
  <c r="X825" i="8"/>
  <c r="W825" i="8"/>
  <c r="V825" i="8"/>
  <c r="U825" i="8"/>
  <c r="T825" i="8"/>
  <c r="P825" i="8"/>
  <c r="AA825" i="8" s="1"/>
  <c r="N825" i="8"/>
  <c r="M825" i="8"/>
  <c r="K825" i="8"/>
  <c r="J825" i="8"/>
  <c r="I825" i="8"/>
  <c r="H825" i="8"/>
  <c r="G825" i="8"/>
  <c r="F825" i="8"/>
  <c r="E825" i="8"/>
  <c r="AB824" i="8"/>
  <c r="AA824" i="8"/>
  <c r="AC824" i="8" s="1"/>
  <c r="Y824" i="8"/>
  <c r="X824" i="8"/>
  <c r="W824" i="8"/>
  <c r="V824" i="8"/>
  <c r="U824" i="8"/>
  <c r="T824" i="8"/>
  <c r="P824" i="8"/>
  <c r="Z824" i="8" s="1"/>
  <c r="N824" i="8"/>
  <c r="M824" i="8"/>
  <c r="K824" i="8"/>
  <c r="J824" i="8"/>
  <c r="I824" i="8"/>
  <c r="H824" i="8"/>
  <c r="G824" i="8"/>
  <c r="F824" i="8"/>
  <c r="E824" i="8"/>
  <c r="AB823" i="8"/>
  <c r="Y823" i="8"/>
  <c r="X823" i="8"/>
  <c r="W823" i="8"/>
  <c r="V823" i="8"/>
  <c r="U823" i="8"/>
  <c r="T823" i="8"/>
  <c r="P823" i="8"/>
  <c r="AA823" i="8" s="1"/>
  <c r="AC823" i="8" s="1"/>
  <c r="N823" i="8"/>
  <c r="M823" i="8"/>
  <c r="K823" i="8"/>
  <c r="J823" i="8"/>
  <c r="I823" i="8"/>
  <c r="H823" i="8"/>
  <c r="G823" i="8"/>
  <c r="F823" i="8"/>
  <c r="E823" i="8"/>
  <c r="AB822" i="8"/>
  <c r="AA822" i="8"/>
  <c r="AC822" i="8" s="1"/>
  <c r="Y822" i="8"/>
  <c r="X822" i="8"/>
  <c r="W822" i="8"/>
  <c r="V822" i="8"/>
  <c r="U822" i="8"/>
  <c r="T822" i="8"/>
  <c r="P822" i="8"/>
  <c r="Z822" i="8" s="1"/>
  <c r="N822" i="8"/>
  <c r="M822" i="8"/>
  <c r="K822" i="8"/>
  <c r="J822" i="8"/>
  <c r="I822" i="8"/>
  <c r="H822" i="8"/>
  <c r="G822" i="8"/>
  <c r="F822" i="8"/>
  <c r="E822" i="8"/>
  <c r="AB821" i="8"/>
  <c r="Y821" i="8"/>
  <c r="X821" i="8"/>
  <c r="W821" i="8"/>
  <c r="V821" i="8"/>
  <c r="U821" i="8"/>
  <c r="T821" i="8"/>
  <c r="P821" i="8"/>
  <c r="N821" i="8"/>
  <c r="M821" i="8"/>
  <c r="K821" i="8"/>
  <c r="J821" i="8"/>
  <c r="I821" i="8"/>
  <c r="H821" i="8"/>
  <c r="G821" i="8"/>
  <c r="F821" i="8"/>
  <c r="E821" i="8"/>
  <c r="AB820" i="8"/>
  <c r="AA820" i="8"/>
  <c r="AC820" i="8" s="1"/>
  <c r="Y820" i="8"/>
  <c r="X820" i="8"/>
  <c r="W820" i="8"/>
  <c r="V820" i="8"/>
  <c r="U820" i="8"/>
  <c r="T820" i="8"/>
  <c r="P820" i="8"/>
  <c r="Z820" i="8" s="1"/>
  <c r="N820" i="8"/>
  <c r="M820" i="8"/>
  <c r="K820" i="8"/>
  <c r="J820" i="8"/>
  <c r="I820" i="8"/>
  <c r="H820" i="8"/>
  <c r="G820" i="8"/>
  <c r="F820" i="8"/>
  <c r="E820" i="8"/>
  <c r="AB819" i="8"/>
  <c r="AA819" i="8"/>
  <c r="AC819" i="8" s="1"/>
  <c r="Y819" i="8"/>
  <c r="X819" i="8"/>
  <c r="W819" i="8"/>
  <c r="V819" i="8"/>
  <c r="U819" i="8"/>
  <c r="T819" i="8"/>
  <c r="P819" i="8"/>
  <c r="Z819" i="8" s="1"/>
  <c r="N819" i="8"/>
  <c r="M819" i="8"/>
  <c r="K819" i="8"/>
  <c r="J819" i="8"/>
  <c r="I819" i="8"/>
  <c r="H819" i="8"/>
  <c r="G819" i="8"/>
  <c r="F819" i="8"/>
  <c r="E819" i="8"/>
  <c r="AB818" i="8"/>
  <c r="AA818" i="8"/>
  <c r="AC818" i="8" s="1"/>
  <c r="Y818" i="8"/>
  <c r="X818" i="8"/>
  <c r="W818" i="8"/>
  <c r="V818" i="8"/>
  <c r="U818" i="8"/>
  <c r="T818" i="8"/>
  <c r="P818" i="8"/>
  <c r="Z818" i="8" s="1"/>
  <c r="N818" i="8"/>
  <c r="M818" i="8"/>
  <c r="K818" i="8"/>
  <c r="J818" i="8"/>
  <c r="I818" i="8"/>
  <c r="H818" i="8"/>
  <c r="G818" i="8"/>
  <c r="F818" i="8"/>
  <c r="E818" i="8"/>
  <c r="AB817" i="8"/>
  <c r="Y817" i="8"/>
  <c r="X817" i="8"/>
  <c r="W817" i="8"/>
  <c r="V817" i="8"/>
  <c r="U817" i="8"/>
  <c r="T817" i="8"/>
  <c r="P817" i="8"/>
  <c r="Z817" i="8" s="1"/>
  <c r="N817" i="8"/>
  <c r="M817" i="8"/>
  <c r="K817" i="8"/>
  <c r="J817" i="8"/>
  <c r="I817" i="8"/>
  <c r="H817" i="8"/>
  <c r="G817" i="8"/>
  <c r="F817" i="8"/>
  <c r="E817" i="8"/>
  <c r="AB816" i="8"/>
  <c r="AA816" i="8"/>
  <c r="AC816" i="8" s="1"/>
  <c r="Y816" i="8"/>
  <c r="X816" i="8"/>
  <c r="W816" i="8"/>
  <c r="V816" i="8"/>
  <c r="U816" i="8"/>
  <c r="T816" i="8"/>
  <c r="P816" i="8"/>
  <c r="Z816" i="8" s="1"/>
  <c r="N816" i="8"/>
  <c r="M816" i="8"/>
  <c r="K816" i="8"/>
  <c r="J816" i="8"/>
  <c r="I816" i="8"/>
  <c r="H816" i="8"/>
  <c r="G816" i="8"/>
  <c r="F816" i="8"/>
  <c r="E816" i="8"/>
  <c r="AB815" i="8"/>
  <c r="AA815" i="8"/>
  <c r="AC815" i="8" s="1"/>
  <c r="Y815" i="8"/>
  <c r="X815" i="8"/>
  <c r="W815" i="8"/>
  <c r="V815" i="8"/>
  <c r="U815" i="8"/>
  <c r="T815" i="8"/>
  <c r="P815" i="8"/>
  <c r="Z815" i="8" s="1"/>
  <c r="N815" i="8"/>
  <c r="M815" i="8"/>
  <c r="K815" i="8"/>
  <c r="J815" i="8"/>
  <c r="I815" i="8"/>
  <c r="H815" i="8"/>
  <c r="G815" i="8"/>
  <c r="F815" i="8"/>
  <c r="E815" i="8"/>
  <c r="AB814" i="8"/>
  <c r="Y814" i="8"/>
  <c r="X814" i="8"/>
  <c r="W814" i="8"/>
  <c r="V814" i="8"/>
  <c r="U814" i="8"/>
  <c r="T814" i="8"/>
  <c r="P814" i="8"/>
  <c r="Z814" i="8" s="1"/>
  <c r="N814" i="8"/>
  <c r="M814" i="8"/>
  <c r="K814" i="8"/>
  <c r="J814" i="8"/>
  <c r="I814" i="8"/>
  <c r="H814" i="8"/>
  <c r="G814" i="8"/>
  <c r="F814" i="8"/>
  <c r="E814" i="8"/>
  <c r="AB813" i="8"/>
  <c r="Y813" i="8"/>
  <c r="X813" i="8"/>
  <c r="W813" i="8"/>
  <c r="V813" i="8"/>
  <c r="U813" i="8"/>
  <c r="T813" i="8"/>
  <c r="P813" i="8"/>
  <c r="Z813" i="8" s="1"/>
  <c r="N813" i="8"/>
  <c r="M813" i="8"/>
  <c r="K813" i="8"/>
  <c r="J813" i="8"/>
  <c r="I813" i="8"/>
  <c r="H813" i="8"/>
  <c r="G813" i="8"/>
  <c r="F813" i="8"/>
  <c r="E813" i="8"/>
  <c r="AB812" i="8"/>
  <c r="AA812" i="8"/>
  <c r="AC812" i="8" s="1"/>
  <c r="Y812" i="8"/>
  <c r="X812" i="8"/>
  <c r="W812" i="8"/>
  <c r="V812" i="8"/>
  <c r="U812" i="8"/>
  <c r="T812" i="8"/>
  <c r="P812" i="8"/>
  <c r="Z812" i="8" s="1"/>
  <c r="N812" i="8"/>
  <c r="M812" i="8"/>
  <c r="K812" i="8"/>
  <c r="J812" i="8"/>
  <c r="I812" i="8"/>
  <c r="H812" i="8"/>
  <c r="G812" i="8"/>
  <c r="F812" i="8"/>
  <c r="E812" i="8"/>
  <c r="AB811" i="8"/>
  <c r="AA811" i="8"/>
  <c r="AC811" i="8" s="1"/>
  <c r="Y811" i="8"/>
  <c r="X811" i="8"/>
  <c r="W811" i="8"/>
  <c r="V811" i="8"/>
  <c r="U811" i="8"/>
  <c r="T811" i="8"/>
  <c r="P811" i="8"/>
  <c r="Z811" i="8" s="1"/>
  <c r="N811" i="8"/>
  <c r="M811" i="8"/>
  <c r="K811" i="8"/>
  <c r="J811" i="8"/>
  <c r="I811" i="8"/>
  <c r="H811" i="8"/>
  <c r="G811" i="8"/>
  <c r="F811" i="8"/>
  <c r="E811" i="8"/>
  <c r="AB810" i="8"/>
  <c r="Y810" i="8"/>
  <c r="X810" i="8"/>
  <c r="W810" i="8"/>
  <c r="V810" i="8"/>
  <c r="U810" i="8"/>
  <c r="T810" i="8"/>
  <c r="P810" i="8"/>
  <c r="Z810" i="8" s="1"/>
  <c r="N810" i="8"/>
  <c r="M810" i="8"/>
  <c r="K810" i="8"/>
  <c r="J810" i="8"/>
  <c r="I810" i="8"/>
  <c r="H810" i="8"/>
  <c r="G810" i="8"/>
  <c r="F810" i="8"/>
  <c r="E810" i="8"/>
  <c r="AB809" i="8"/>
  <c r="Y809" i="8"/>
  <c r="X809" i="8"/>
  <c r="W809" i="8"/>
  <c r="V809" i="8"/>
  <c r="U809" i="8"/>
  <c r="T809" i="8"/>
  <c r="P809" i="8"/>
  <c r="Z809" i="8" s="1"/>
  <c r="N809" i="8"/>
  <c r="M809" i="8"/>
  <c r="K809" i="8"/>
  <c r="J809" i="8"/>
  <c r="I809" i="8"/>
  <c r="H809" i="8"/>
  <c r="G809" i="8"/>
  <c r="F809" i="8"/>
  <c r="E809" i="8"/>
  <c r="AB808" i="8"/>
  <c r="AA808" i="8"/>
  <c r="AC808" i="8" s="1"/>
  <c r="Y808" i="8"/>
  <c r="X808" i="8"/>
  <c r="W808" i="8"/>
  <c r="V808" i="8"/>
  <c r="U808" i="8"/>
  <c r="T808" i="8"/>
  <c r="P808" i="8"/>
  <c r="Z808" i="8" s="1"/>
  <c r="N808" i="8"/>
  <c r="M808" i="8"/>
  <c r="K808" i="8"/>
  <c r="J808" i="8"/>
  <c r="I808" i="8"/>
  <c r="H808" i="8"/>
  <c r="G808" i="8"/>
  <c r="F808" i="8"/>
  <c r="E808" i="8"/>
  <c r="AB807" i="8"/>
  <c r="AA807" i="8"/>
  <c r="AC807" i="8" s="1"/>
  <c r="Y807" i="8"/>
  <c r="X807" i="8"/>
  <c r="W807" i="8"/>
  <c r="V807" i="8"/>
  <c r="U807" i="8"/>
  <c r="T807" i="8"/>
  <c r="P807" i="8"/>
  <c r="Z807" i="8" s="1"/>
  <c r="N807" i="8"/>
  <c r="M807" i="8"/>
  <c r="K807" i="8"/>
  <c r="J807" i="8"/>
  <c r="I807" i="8"/>
  <c r="H807" i="8"/>
  <c r="G807" i="8"/>
  <c r="F807" i="8"/>
  <c r="E807" i="8"/>
  <c r="AB806" i="8"/>
  <c r="Y806" i="8"/>
  <c r="X806" i="8"/>
  <c r="W806" i="8"/>
  <c r="V806" i="8"/>
  <c r="U806" i="8"/>
  <c r="T806" i="8"/>
  <c r="P806" i="8"/>
  <c r="Z806" i="8" s="1"/>
  <c r="N806" i="8"/>
  <c r="M806" i="8"/>
  <c r="K806" i="8"/>
  <c r="J806" i="8"/>
  <c r="I806" i="8"/>
  <c r="H806" i="8"/>
  <c r="G806" i="8"/>
  <c r="F806" i="8"/>
  <c r="E806" i="8"/>
  <c r="AB805" i="8"/>
  <c r="Y805" i="8"/>
  <c r="X805" i="8"/>
  <c r="W805" i="8"/>
  <c r="V805" i="8"/>
  <c r="U805" i="8"/>
  <c r="T805" i="8"/>
  <c r="P805" i="8"/>
  <c r="Z805" i="8" s="1"/>
  <c r="N805" i="8"/>
  <c r="M805" i="8"/>
  <c r="K805" i="8"/>
  <c r="J805" i="8"/>
  <c r="I805" i="8"/>
  <c r="H805" i="8"/>
  <c r="G805" i="8"/>
  <c r="F805" i="8"/>
  <c r="E805" i="8"/>
  <c r="AB804" i="8"/>
  <c r="AA804" i="8"/>
  <c r="AC804" i="8" s="1"/>
  <c r="Y804" i="8"/>
  <c r="X804" i="8"/>
  <c r="W804" i="8"/>
  <c r="V804" i="8"/>
  <c r="U804" i="8"/>
  <c r="T804" i="8"/>
  <c r="P804" i="8"/>
  <c r="Z804" i="8" s="1"/>
  <c r="N804" i="8"/>
  <c r="M804" i="8"/>
  <c r="K804" i="8"/>
  <c r="J804" i="8"/>
  <c r="I804" i="8"/>
  <c r="H804" i="8"/>
  <c r="G804" i="8"/>
  <c r="F804" i="8"/>
  <c r="E804" i="8"/>
  <c r="AB803" i="8"/>
  <c r="AA803" i="8"/>
  <c r="AC803" i="8" s="1"/>
  <c r="Y803" i="8"/>
  <c r="X803" i="8"/>
  <c r="W803" i="8"/>
  <c r="V803" i="8"/>
  <c r="U803" i="8"/>
  <c r="T803" i="8"/>
  <c r="P803" i="8"/>
  <c r="Z803" i="8" s="1"/>
  <c r="N803" i="8"/>
  <c r="M803" i="8"/>
  <c r="K803" i="8"/>
  <c r="J803" i="8"/>
  <c r="I803" i="8"/>
  <c r="H803" i="8"/>
  <c r="G803" i="8"/>
  <c r="F803" i="8"/>
  <c r="E803" i="8"/>
  <c r="AB802" i="8"/>
  <c r="Y802" i="8"/>
  <c r="X802" i="8"/>
  <c r="W802" i="8"/>
  <c r="V802" i="8"/>
  <c r="U802" i="8"/>
  <c r="T802" i="8"/>
  <c r="P802" i="8"/>
  <c r="Z802" i="8" s="1"/>
  <c r="N802" i="8"/>
  <c r="M802" i="8"/>
  <c r="K802" i="8"/>
  <c r="J802" i="8"/>
  <c r="I802" i="8"/>
  <c r="H802" i="8"/>
  <c r="G802" i="8"/>
  <c r="F802" i="8"/>
  <c r="E802" i="8"/>
  <c r="AB801" i="8"/>
  <c r="Y801" i="8"/>
  <c r="X801" i="8"/>
  <c r="W801" i="8"/>
  <c r="V801" i="8"/>
  <c r="U801" i="8"/>
  <c r="T801" i="8"/>
  <c r="P801" i="8"/>
  <c r="Z801" i="8" s="1"/>
  <c r="N801" i="8"/>
  <c r="M801" i="8"/>
  <c r="K801" i="8"/>
  <c r="J801" i="8"/>
  <c r="I801" i="8"/>
  <c r="H801" i="8"/>
  <c r="G801" i="8"/>
  <c r="F801" i="8"/>
  <c r="E801" i="8"/>
  <c r="AB800" i="8"/>
  <c r="AA800" i="8"/>
  <c r="AC800" i="8" s="1"/>
  <c r="Y800" i="8"/>
  <c r="X800" i="8"/>
  <c r="W800" i="8"/>
  <c r="V800" i="8"/>
  <c r="U800" i="8"/>
  <c r="T800" i="8"/>
  <c r="P800" i="8"/>
  <c r="Z800" i="8" s="1"/>
  <c r="N800" i="8"/>
  <c r="M800" i="8"/>
  <c r="K800" i="8"/>
  <c r="J800" i="8"/>
  <c r="I800" i="8"/>
  <c r="H800" i="8"/>
  <c r="G800" i="8"/>
  <c r="F800" i="8"/>
  <c r="E800" i="8"/>
  <c r="AB799" i="8"/>
  <c r="AA799" i="8"/>
  <c r="AC799" i="8" s="1"/>
  <c r="Y799" i="8"/>
  <c r="X799" i="8"/>
  <c r="W799" i="8"/>
  <c r="V799" i="8"/>
  <c r="U799" i="8"/>
  <c r="T799" i="8"/>
  <c r="P799" i="8"/>
  <c r="Z799" i="8" s="1"/>
  <c r="N799" i="8"/>
  <c r="M799" i="8"/>
  <c r="K799" i="8"/>
  <c r="J799" i="8"/>
  <c r="I799" i="8"/>
  <c r="H799" i="8"/>
  <c r="G799" i="8"/>
  <c r="F799" i="8"/>
  <c r="E799" i="8"/>
  <c r="AB798" i="8"/>
  <c r="Y798" i="8"/>
  <c r="X798" i="8"/>
  <c r="W798" i="8"/>
  <c r="V798" i="8"/>
  <c r="U798" i="8"/>
  <c r="T798" i="8"/>
  <c r="P798" i="8"/>
  <c r="Z798" i="8" s="1"/>
  <c r="N798" i="8"/>
  <c r="M798" i="8"/>
  <c r="K798" i="8"/>
  <c r="J798" i="8"/>
  <c r="I798" i="8"/>
  <c r="H798" i="8"/>
  <c r="G798" i="8"/>
  <c r="F798" i="8"/>
  <c r="E798" i="8"/>
  <c r="AB797" i="8"/>
  <c r="Y797" i="8"/>
  <c r="X797" i="8"/>
  <c r="W797" i="8"/>
  <c r="V797" i="8"/>
  <c r="U797" i="8"/>
  <c r="T797" i="8"/>
  <c r="P797" i="8"/>
  <c r="Z797" i="8" s="1"/>
  <c r="N797" i="8"/>
  <c r="M797" i="8"/>
  <c r="K797" i="8"/>
  <c r="J797" i="8"/>
  <c r="I797" i="8"/>
  <c r="H797" i="8"/>
  <c r="G797" i="8"/>
  <c r="F797" i="8"/>
  <c r="E797" i="8"/>
  <c r="AB796" i="8"/>
  <c r="Y796" i="8"/>
  <c r="X796" i="8"/>
  <c r="W796" i="8"/>
  <c r="V796" i="8"/>
  <c r="U796" i="8"/>
  <c r="T796" i="8"/>
  <c r="P796" i="8"/>
  <c r="Z796" i="8" s="1"/>
  <c r="N796" i="8"/>
  <c r="M796" i="8"/>
  <c r="K796" i="8"/>
  <c r="J796" i="8"/>
  <c r="I796" i="8"/>
  <c r="H796" i="8"/>
  <c r="G796" i="8"/>
  <c r="F796" i="8"/>
  <c r="E796" i="8"/>
  <c r="AB795" i="8"/>
  <c r="AA795" i="8"/>
  <c r="AC795" i="8" s="1"/>
  <c r="Y795" i="8"/>
  <c r="X795" i="8"/>
  <c r="W795" i="8"/>
  <c r="V795" i="8"/>
  <c r="U795" i="8"/>
  <c r="T795" i="8"/>
  <c r="P795" i="8"/>
  <c r="Z795" i="8" s="1"/>
  <c r="N795" i="8"/>
  <c r="M795" i="8"/>
  <c r="K795" i="8"/>
  <c r="J795" i="8"/>
  <c r="I795" i="8"/>
  <c r="H795" i="8"/>
  <c r="G795" i="8"/>
  <c r="F795" i="8"/>
  <c r="E795" i="8"/>
  <c r="AB794" i="8"/>
  <c r="Y794" i="8"/>
  <c r="X794" i="8"/>
  <c r="W794" i="8"/>
  <c r="V794" i="8"/>
  <c r="U794" i="8"/>
  <c r="T794" i="8"/>
  <c r="P794" i="8"/>
  <c r="Z794" i="8" s="1"/>
  <c r="N794" i="8"/>
  <c r="M794" i="8"/>
  <c r="K794" i="8"/>
  <c r="J794" i="8"/>
  <c r="I794" i="8"/>
  <c r="H794" i="8"/>
  <c r="G794" i="8"/>
  <c r="F794" i="8"/>
  <c r="E794" i="8"/>
  <c r="AB793" i="8"/>
  <c r="Y793" i="8"/>
  <c r="X793" i="8"/>
  <c r="W793" i="8"/>
  <c r="V793" i="8"/>
  <c r="U793" i="8"/>
  <c r="T793" i="8"/>
  <c r="P793" i="8"/>
  <c r="Z793" i="8" s="1"/>
  <c r="N793" i="8"/>
  <c r="M793" i="8"/>
  <c r="K793" i="8"/>
  <c r="J793" i="8"/>
  <c r="I793" i="8"/>
  <c r="H793" i="8"/>
  <c r="G793" i="8"/>
  <c r="F793" i="8"/>
  <c r="E793" i="8"/>
  <c r="AB792" i="8"/>
  <c r="Y792" i="8"/>
  <c r="X792" i="8"/>
  <c r="W792" i="8"/>
  <c r="V792" i="8"/>
  <c r="U792" i="8"/>
  <c r="T792" i="8"/>
  <c r="P792" i="8"/>
  <c r="Z792" i="8" s="1"/>
  <c r="N792" i="8"/>
  <c r="M792" i="8"/>
  <c r="K792" i="8"/>
  <c r="J792" i="8"/>
  <c r="I792" i="8"/>
  <c r="H792" i="8"/>
  <c r="G792" i="8"/>
  <c r="F792" i="8"/>
  <c r="E792" i="8"/>
  <c r="AB791" i="8"/>
  <c r="AA791" i="8"/>
  <c r="AC791" i="8" s="1"/>
  <c r="Y791" i="8"/>
  <c r="X791" i="8"/>
  <c r="W791" i="8"/>
  <c r="V791" i="8"/>
  <c r="U791" i="8"/>
  <c r="T791" i="8"/>
  <c r="P791" i="8"/>
  <c r="Z791" i="8" s="1"/>
  <c r="N791" i="8"/>
  <c r="M791" i="8"/>
  <c r="K791" i="8"/>
  <c r="J791" i="8"/>
  <c r="I791" i="8"/>
  <c r="H791" i="8"/>
  <c r="G791" i="8"/>
  <c r="F791" i="8"/>
  <c r="E791" i="8"/>
  <c r="AB790" i="8"/>
  <c r="Y790" i="8"/>
  <c r="X790" i="8"/>
  <c r="W790" i="8"/>
  <c r="V790" i="8"/>
  <c r="U790" i="8"/>
  <c r="T790" i="8"/>
  <c r="P790" i="8"/>
  <c r="Z790" i="8" s="1"/>
  <c r="N790" i="8"/>
  <c r="M790" i="8"/>
  <c r="K790" i="8"/>
  <c r="J790" i="8"/>
  <c r="I790" i="8"/>
  <c r="H790" i="8"/>
  <c r="G790" i="8"/>
  <c r="F790" i="8"/>
  <c r="E790" i="8"/>
  <c r="AB789" i="8"/>
  <c r="Y789" i="8"/>
  <c r="X789" i="8"/>
  <c r="W789" i="8"/>
  <c r="V789" i="8"/>
  <c r="U789" i="8"/>
  <c r="T789" i="8"/>
  <c r="P789" i="8"/>
  <c r="Z789" i="8" s="1"/>
  <c r="N789" i="8"/>
  <c r="M789" i="8"/>
  <c r="K789" i="8"/>
  <c r="J789" i="8"/>
  <c r="I789" i="8"/>
  <c r="H789" i="8"/>
  <c r="G789" i="8"/>
  <c r="F789" i="8"/>
  <c r="E789" i="8"/>
  <c r="AB788" i="8"/>
  <c r="Y788" i="8"/>
  <c r="X788" i="8"/>
  <c r="W788" i="8"/>
  <c r="V788" i="8"/>
  <c r="U788" i="8"/>
  <c r="T788" i="8"/>
  <c r="P788" i="8"/>
  <c r="Z788" i="8" s="1"/>
  <c r="N788" i="8"/>
  <c r="M788" i="8"/>
  <c r="K788" i="8"/>
  <c r="J788" i="8"/>
  <c r="I788" i="8"/>
  <c r="H788" i="8"/>
  <c r="G788" i="8"/>
  <c r="F788" i="8"/>
  <c r="E788" i="8"/>
  <c r="AB787" i="8"/>
  <c r="AA787" i="8"/>
  <c r="AC787" i="8" s="1"/>
  <c r="Y787" i="8"/>
  <c r="X787" i="8"/>
  <c r="W787" i="8"/>
  <c r="V787" i="8"/>
  <c r="U787" i="8"/>
  <c r="T787" i="8"/>
  <c r="P787" i="8"/>
  <c r="Z787" i="8" s="1"/>
  <c r="N787" i="8"/>
  <c r="M787" i="8"/>
  <c r="K787" i="8"/>
  <c r="J787" i="8"/>
  <c r="I787" i="8"/>
  <c r="H787" i="8"/>
  <c r="G787" i="8"/>
  <c r="F787" i="8"/>
  <c r="E787" i="8"/>
  <c r="AB786" i="8"/>
  <c r="Y786" i="8"/>
  <c r="X786" i="8"/>
  <c r="W786" i="8"/>
  <c r="V786" i="8"/>
  <c r="U786" i="8"/>
  <c r="T786" i="8"/>
  <c r="P786" i="8"/>
  <c r="Z786" i="8" s="1"/>
  <c r="N786" i="8"/>
  <c r="M786" i="8"/>
  <c r="K786" i="8"/>
  <c r="J786" i="8"/>
  <c r="I786" i="8"/>
  <c r="H786" i="8"/>
  <c r="G786" i="8"/>
  <c r="F786" i="8"/>
  <c r="E786" i="8"/>
  <c r="AB785" i="8"/>
  <c r="Y785" i="8"/>
  <c r="X785" i="8"/>
  <c r="W785" i="8"/>
  <c r="V785" i="8"/>
  <c r="U785" i="8"/>
  <c r="T785" i="8"/>
  <c r="P785" i="8"/>
  <c r="Z785" i="8" s="1"/>
  <c r="N785" i="8"/>
  <c r="M785" i="8"/>
  <c r="K785" i="8"/>
  <c r="J785" i="8"/>
  <c r="I785" i="8"/>
  <c r="H785" i="8"/>
  <c r="G785" i="8"/>
  <c r="F785" i="8"/>
  <c r="E785" i="8"/>
  <c r="AB784" i="8"/>
  <c r="Y784" i="8"/>
  <c r="X784" i="8"/>
  <c r="W784" i="8"/>
  <c r="V784" i="8"/>
  <c r="U784" i="8"/>
  <c r="T784" i="8"/>
  <c r="P784" i="8"/>
  <c r="Z784" i="8" s="1"/>
  <c r="N784" i="8"/>
  <c r="M784" i="8"/>
  <c r="K784" i="8"/>
  <c r="J784" i="8"/>
  <c r="I784" i="8"/>
  <c r="H784" i="8"/>
  <c r="G784" i="8"/>
  <c r="F784" i="8"/>
  <c r="E784" i="8"/>
  <c r="AB783" i="8"/>
  <c r="AA783" i="8"/>
  <c r="AC783" i="8" s="1"/>
  <c r="Y783" i="8"/>
  <c r="X783" i="8"/>
  <c r="W783" i="8"/>
  <c r="V783" i="8"/>
  <c r="U783" i="8"/>
  <c r="T783" i="8"/>
  <c r="P783" i="8"/>
  <c r="Z783" i="8" s="1"/>
  <c r="N783" i="8"/>
  <c r="M783" i="8"/>
  <c r="K783" i="8"/>
  <c r="J783" i="8"/>
  <c r="I783" i="8"/>
  <c r="H783" i="8"/>
  <c r="G783" i="8"/>
  <c r="F783" i="8"/>
  <c r="E783" i="8"/>
  <c r="AB782" i="8"/>
  <c r="Y782" i="8"/>
  <c r="X782" i="8"/>
  <c r="W782" i="8"/>
  <c r="V782" i="8"/>
  <c r="U782" i="8"/>
  <c r="T782" i="8"/>
  <c r="P782" i="8"/>
  <c r="Z782" i="8" s="1"/>
  <c r="N782" i="8"/>
  <c r="M782" i="8"/>
  <c r="K782" i="8"/>
  <c r="J782" i="8"/>
  <c r="I782" i="8"/>
  <c r="H782" i="8"/>
  <c r="G782" i="8"/>
  <c r="F782" i="8"/>
  <c r="E782" i="8"/>
  <c r="AB781" i="8"/>
  <c r="Y781" i="8"/>
  <c r="X781" i="8"/>
  <c r="W781" i="8"/>
  <c r="V781" i="8"/>
  <c r="U781" i="8"/>
  <c r="T781" i="8"/>
  <c r="P781" i="8"/>
  <c r="Z781" i="8" s="1"/>
  <c r="N781" i="8"/>
  <c r="M781" i="8"/>
  <c r="K781" i="8"/>
  <c r="J781" i="8"/>
  <c r="I781" i="8"/>
  <c r="H781" i="8"/>
  <c r="G781" i="8"/>
  <c r="F781" i="8"/>
  <c r="E781" i="8"/>
  <c r="AB780" i="8"/>
  <c r="Y780" i="8"/>
  <c r="X780" i="8"/>
  <c r="W780" i="8"/>
  <c r="V780" i="8"/>
  <c r="U780" i="8"/>
  <c r="T780" i="8"/>
  <c r="P780" i="8"/>
  <c r="Z780" i="8" s="1"/>
  <c r="N780" i="8"/>
  <c r="M780" i="8"/>
  <c r="K780" i="8"/>
  <c r="J780" i="8"/>
  <c r="I780" i="8"/>
  <c r="H780" i="8"/>
  <c r="G780" i="8"/>
  <c r="F780" i="8"/>
  <c r="E780" i="8"/>
  <c r="AB779" i="8"/>
  <c r="AA779" i="8"/>
  <c r="AC779" i="8" s="1"/>
  <c r="Y779" i="8"/>
  <c r="X779" i="8"/>
  <c r="W779" i="8"/>
  <c r="V779" i="8"/>
  <c r="U779" i="8"/>
  <c r="T779" i="8"/>
  <c r="P779" i="8"/>
  <c r="Z779" i="8" s="1"/>
  <c r="N779" i="8"/>
  <c r="M779" i="8"/>
  <c r="K779" i="8"/>
  <c r="J779" i="8"/>
  <c r="I779" i="8"/>
  <c r="H779" i="8"/>
  <c r="G779" i="8"/>
  <c r="F779" i="8"/>
  <c r="E779" i="8"/>
  <c r="AB778" i="8"/>
  <c r="Y778" i="8"/>
  <c r="X778" i="8"/>
  <c r="W778" i="8"/>
  <c r="V778" i="8"/>
  <c r="U778" i="8"/>
  <c r="T778" i="8"/>
  <c r="P778" i="8"/>
  <c r="Z778" i="8" s="1"/>
  <c r="N778" i="8"/>
  <c r="M778" i="8"/>
  <c r="K778" i="8"/>
  <c r="J778" i="8"/>
  <c r="I778" i="8"/>
  <c r="H778" i="8"/>
  <c r="G778" i="8"/>
  <c r="F778" i="8"/>
  <c r="E778" i="8"/>
  <c r="AC777" i="8"/>
  <c r="AB777" i="8"/>
  <c r="AA777" i="8"/>
  <c r="Y777" i="8"/>
  <c r="X777" i="8"/>
  <c r="W777" i="8"/>
  <c r="V777" i="8"/>
  <c r="U777" i="8"/>
  <c r="T777" i="8"/>
  <c r="P777" i="8"/>
  <c r="Z777" i="8" s="1"/>
  <c r="N777" i="8"/>
  <c r="M777" i="8"/>
  <c r="K777" i="8"/>
  <c r="J777" i="8"/>
  <c r="I777" i="8"/>
  <c r="H777" i="8"/>
  <c r="G777" i="8"/>
  <c r="F777" i="8"/>
  <c r="E777" i="8"/>
  <c r="AB776" i="8"/>
  <c r="AA776" i="8"/>
  <c r="Y776" i="8"/>
  <c r="X776" i="8"/>
  <c r="W776" i="8"/>
  <c r="V776" i="8"/>
  <c r="U776" i="8"/>
  <c r="T776" i="8"/>
  <c r="P776" i="8"/>
  <c r="Z776" i="8" s="1"/>
  <c r="N776" i="8"/>
  <c r="M776" i="8"/>
  <c r="K776" i="8"/>
  <c r="J776" i="8"/>
  <c r="I776" i="8"/>
  <c r="H776" i="8"/>
  <c r="G776" i="8"/>
  <c r="F776" i="8"/>
  <c r="E776" i="8"/>
  <c r="AB775" i="8"/>
  <c r="Y775" i="8"/>
  <c r="X775" i="8"/>
  <c r="W775" i="8"/>
  <c r="V775" i="8"/>
  <c r="U775" i="8"/>
  <c r="T775" i="8"/>
  <c r="P775" i="8"/>
  <c r="Z775" i="8" s="1"/>
  <c r="N775" i="8"/>
  <c r="M775" i="8"/>
  <c r="K775" i="8"/>
  <c r="J775" i="8"/>
  <c r="I775" i="8"/>
  <c r="H775" i="8"/>
  <c r="G775" i="8"/>
  <c r="F775" i="8"/>
  <c r="E775" i="8"/>
  <c r="AB774" i="8"/>
  <c r="Y774" i="8"/>
  <c r="X774" i="8"/>
  <c r="W774" i="8"/>
  <c r="V774" i="8"/>
  <c r="U774" i="8"/>
  <c r="T774" i="8"/>
  <c r="P774" i="8"/>
  <c r="Z774" i="8" s="1"/>
  <c r="N774" i="8"/>
  <c r="M774" i="8"/>
  <c r="K774" i="8"/>
  <c r="J774" i="8"/>
  <c r="I774" i="8"/>
  <c r="H774" i="8"/>
  <c r="G774" i="8"/>
  <c r="F774" i="8"/>
  <c r="E774" i="8"/>
  <c r="AB773" i="8"/>
  <c r="AA773" i="8"/>
  <c r="AC773" i="8" s="1"/>
  <c r="Y773" i="8"/>
  <c r="X773" i="8"/>
  <c r="W773" i="8"/>
  <c r="V773" i="8"/>
  <c r="U773" i="8"/>
  <c r="T773" i="8"/>
  <c r="P773" i="8"/>
  <c r="Z773" i="8" s="1"/>
  <c r="N773" i="8"/>
  <c r="M773" i="8"/>
  <c r="K773" i="8"/>
  <c r="J773" i="8"/>
  <c r="I773" i="8"/>
  <c r="H773" i="8"/>
  <c r="G773" i="8"/>
  <c r="F773" i="8"/>
  <c r="E773" i="8"/>
  <c r="AB772" i="8"/>
  <c r="Y772" i="8"/>
  <c r="X772" i="8"/>
  <c r="W772" i="8"/>
  <c r="V772" i="8"/>
  <c r="U772" i="8"/>
  <c r="T772" i="8"/>
  <c r="P772" i="8"/>
  <c r="N772" i="8"/>
  <c r="M772" i="8"/>
  <c r="K772" i="8"/>
  <c r="J772" i="8"/>
  <c r="I772" i="8"/>
  <c r="H772" i="8"/>
  <c r="G772" i="8"/>
  <c r="F772" i="8"/>
  <c r="E772" i="8"/>
  <c r="AB771" i="8"/>
  <c r="Y771" i="8"/>
  <c r="X771" i="8"/>
  <c r="W771" i="8"/>
  <c r="V771" i="8"/>
  <c r="U771" i="8"/>
  <c r="T771" i="8"/>
  <c r="P771" i="8"/>
  <c r="Z771" i="8" s="1"/>
  <c r="N771" i="8"/>
  <c r="M771" i="8"/>
  <c r="K771" i="8"/>
  <c r="J771" i="8"/>
  <c r="I771" i="8"/>
  <c r="H771" i="8"/>
  <c r="G771" i="8"/>
  <c r="F771" i="8"/>
  <c r="E771" i="8"/>
  <c r="AB770" i="8"/>
  <c r="Y770" i="8"/>
  <c r="X770" i="8"/>
  <c r="W770" i="8"/>
  <c r="V770" i="8"/>
  <c r="U770" i="8"/>
  <c r="T770" i="8"/>
  <c r="P770" i="8"/>
  <c r="Z770" i="8" s="1"/>
  <c r="N770" i="8"/>
  <c r="M770" i="8"/>
  <c r="K770" i="8"/>
  <c r="J770" i="8"/>
  <c r="I770" i="8"/>
  <c r="H770" i="8"/>
  <c r="G770" i="8"/>
  <c r="F770" i="8"/>
  <c r="E770" i="8"/>
  <c r="AB769" i="8"/>
  <c r="Y769" i="8"/>
  <c r="X769" i="8"/>
  <c r="W769" i="8"/>
  <c r="V769" i="8"/>
  <c r="U769" i="8"/>
  <c r="T769" i="8"/>
  <c r="P769" i="8"/>
  <c r="N769" i="8"/>
  <c r="M769" i="8"/>
  <c r="K769" i="8"/>
  <c r="J769" i="8"/>
  <c r="I769" i="8"/>
  <c r="H769" i="8"/>
  <c r="G769" i="8"/>
  <c r="F769" i="8"/>
  <c r="E769" i="8"/>
  <c r="AB768" i="8"/>
  <c r="Y768" i="8"/>
  <c r="X768" i="8"/>
  <c r="W768" i="8"/>
  <c r="V768" i="8"/>
  <c r="U768" i="8"/>
  <c r="T768" i="8"/>
  <c r="P768" i="8"/>
  <c r="Z768" i="8" s="1"/>
  <c r="N768" i="8"/>
  <c r="M768" i="8"/>
  <c r="K768" i="8"/>
  <c r="J768" i="8"/>
  <c r="I768" i="8"/>
  <c r="H768" i="8"/>
  <c r="G768" i="8"/>
  <c r="F768" i="8"/>
  <c r="E768" i="8"/>
  <c r="AB767" i="8"/>
  <c r="Z767" i="8"/>
  <c r="Y767" i="8"/>
  <c r="X767" i="8"/>
  <c r="W767" i="8"/>
  <c r="V767" i="8"/>
  <c r="U767" i="8"/>
  <c r="T767" i="8"/>
  <c r="P767" i="8"/>
  <c r="N767" i="8"/>
  <c r="AA767" i="8" s="1"/>
  <c r="AC767" i="8" s="1"/>
  <c r="M767" i="8"/>
  <c r="K767" i="8"/>
  <c r="J767" i="8"/>
  <c r="I767" i="8"/>
  <c r="H767" i="8"/>
  <c r="G767" i="8"/>
  <c r="F767" i="8"/>
  <c r="E767" i="8"/>
  <c r="AB766" i="8"/>
  <c r="AA766" i="8"/>
  <c r="AC766" i="8" s="1"/>
  <c r="Y766" i="8"/>
  <c r="X766" i="8"/>
  <c r="W766" i="8"/>
  <c r="V766" i="8"/>
  <c r="U766" i="8"/>
  <c r="T766" i="8"/>
  <c r="P766" i="8"/>
  <c r="Z766" i="8" s="1"/>
  <c r="N766" i="8"/>
  <c r="M766" i="8"/>
  <c r="K766" i="8"/>
  <c r="J766" i="8"/>
  <c r="I766" i="8"/>
  <c r="H766" i="8"/>
  <c r="G766" i="8"/>
  <c r="F766" i="8"/>
  <c r="E766" i="8"/>
  <c r="AB765" i="8"/>
  <c r="Z765" i="8"/>
  <c r="Y765" i="8"/>
  <c r="X765" i="8"/>
  <c r="W765" i="8"/>
  <c r="V765" i="8"/>
  <c r="U765" i="8"/>
  <c r="T765" i="8"/>
  <c r="P765" i="8"/>
  <c r="N765" i="8"/>
  <c r="AA765" i="8" s="1"/>
  <c r="M765" i="8"/>
  <c r="K765" i="8"/>
  <c r="J765" i="8"/>
  <c r="I765" i="8"/>
  <c r="H765" i="8"/>
  <c r="G765" i="8"/>
  <c r="F765" i="8"/>
  <c r="E765" i="8"/>
  <c r="AC764" i="8"/>
  <c r="AB764" i="8"/>
  <c r="Y764" i="8"/>
  <c r="X764" i="8"/>
  <c r="W764" i="8"/>
  <c r="V764" i="8"/>
  <c r="U764" i="8"/>
  <c r="T764" i="8"/>
  <c r="P764" i="8"/>
  <c r="Z764" i="8" s="1"/>
  <c r="N764" i="8"/>
  <c r="AA764" i="8" s="1"/>
  <c r="M764" i="8"/>
  <c r="K764" i="8"/>
  <c r="J764" i="8"/>
  <c r="I764" i="8"/>
  <c r="H764" i="8"/>
  <c r="G764" i="8"/>
  <c r="F764" i="8"/>
  <c r="E764" i="8"/>
  <c r="AB763" i="8"/>
  <c r="Y763" i="8"/>
  <c r="X763" i="8"/>
  <c r="W763" i="8"/>
  <c r="V763" i="8"/>
  <c r="U763" i="8"/>
  <c r="T763" i="8"/>
  <c r="P763" i="8"/>
  <c r="AA763" i="8" s="1"/>
  <c r="N763" i="8"/>
  <c r="M763" i="8"/>
  <c r="K763" i="8"/>
  <c r="J763" i="8"/>
  <c r="I763" i="8"/>
  <c r="H763" i="8"/>
  <c r="G763" i="8"/>
  <c r="F763" i="8"/>
  <c r="E763" i="8"/>
  <c r="AB762" i="8"/>
  <c r="Y762" i="8"/>
  <c r="X762" i="8"/>
  <c r="W762" i="8"/>
  <c r="V762" i="8"/>
  <c r="U762" i="8"/>
  <c r="T762" i="8"/>
  <c r="P762" i="8"/>
  <c r="Z762" i="8" s="1"/>
  <c r="N762" i="8"/>
  <c r="M762" i="8"/>
  <c r="K762" i="8"/>
  <c r="J762" i="8"/>
  <c r="I762" i="8"/>
  <c r="H762" i="8"/>
  <c r="G762" i="8"/>
  <c r="F762" i="8"/>
  <c r="E762" i="8"/>
  <c r="AB761" i="8"/>
  <c r="Y761" i="8"/>
  <c r="X761" i="8"/>
  <c r="W761" i="8"/>
  <c r="V761" i="8"/>
  <c r="U761" i="8"/>
  <c r="T761" i="8"/>
  <c r="P761" i="8"/>
  <c r="AA761" i="8" s="1"/>
  <c r="N761" i="8"/>
  <c r="M761" i="8"/>
  <c r="K761" i="8"/>
  <c r="J761" i="8"/>
  <c r="I761" i="8"/>
  <c r="H761" i="8"/>
  <c r="G761" i="8"/>
  <c r="F761" i="8"/>
  <c r="E761" i="8"/>
  <c r="AB760" i="8"/>
  <c r="Y760" i="8"/>
  <c r="X760" i="8"/>
  <c r="W760" i="8"/>
  <c r="V760" i="8"/>
  <c r="U760" i="8"/>
  <c r="T760" i="8"/>
  <c r="P760" i="8"/>
  <c r="Z760" i="8" s="1"/>
  <c r="N760" i="8"/>
  <c r="M760" i="8"/>
  <c r="K760" i="8"/>
  <c r="J760" i="8"/>
  <c r="I760" i="8"/>
  <c r="H760" i="8"/>
  <c r="G760" i="8"/>
  <c r="F760" i="8"/>
  <c r="E760" i="8"/>
  <c r="AB759" i="8"/>
  <c r="Y759" i="8"/>
  <c r="X759" i="8"/>
  <c r="W759" i="8"/>
  <c r="V759" i="8"/>
  <c r="U759" i="8"/>
  <c r="T759" i="8"/>
  <c r="P759" i="8"/>
  <c r="AA759" i="8" s="1"/>
  <c r="N759" i="8"/>
  <c r="M759" i="8"/>
  <c r="K759" i="8"/>
  <c r="J759" i="8"/>
  <c r="I759" i="8"/>
  <c r="H759" i="8"/>
  <c r="G759" i="8"/>
  <c r="F759" i="8"/>
  <c r="E759" i="8"/>
  <c r="AB758" i="8"/>
  <c r="Y758" i="8"/>
  <c r="X758" i="8"/>
  <c r="W758" i="8"/>
  <c r="V758" i="8"/>
  <c r="U758" i="8"/>
  <c r="T758" i="8"/>
  <c r="P758" i="8"/>
  <c r="Z758" i="8" s="1"/>
  <c r="N758" i="8"/>
  <c r="M758" i="8"/>
  <c r="K758" i="8"/>
  <c r="J758" i="8"/>
  <c r="I758" i="8"/>
  <c r="H758" i="8"/>
  <c r="G758" i="8"/>
  <c r="F758" i="8"/>
  <c r="E758" i="8"/>
  <c r="AB757" i="8"/>
  <c r="Y757" i="8"/>
  <c r="X757" i="8"/>
  <c r="W757" i="8"/>
  <c r="V757" i="8"/>
  <c r="U757" i="8"/>
  <c r="T757" i="8"/>
  <c r="P757" i="8"/>
  <c r="AA757" i="8" s="1"/>
  <c r="N757" i="8"/>
  <c r="M757" i="8"/>
  <c r="K757" i="8"/>
  <c r="J757" i="8"/>
  <c r="I757" i="8"/>
  <c r="H757" i="8"/>
  <c r="G757" i="8"/>
  <c r="F757" i="8"/>
  <c r="E757" i="8"/>
  <c r="AB756" i="8"/>
  <c r="Y756" i="8"/>
  <c r="X756" i="8"/>
  <c r="W756" i="8"/>
  <c r="V756" i="8"/>
  <c r="U756" i="8"/>
  <c r="T756" i="8"/>
  <c r="P756" i="8"/>
  <c r="Z756" i="8" s="1"/>
  <c r="N756" i="8"/>
  <c r="M756" i="8"/>
  <c r="K756" i="8"/>
  <c r="J756" i="8"/>
  <c r="I756" i="8"/>
  <c r="H756" i="8"/>
  <c r="G756" i="8"/>
  <c r="F756" i="8"/>
  <c r="E756" i="8"/>
  <c r="AB755" i="8"/>
  <c r="Y755" i="8"/>
  <c r="X755" i="8"/>
  <c r="W755" i="8"/>
  <c r="V755" i="8"/>
  <c r="U755" i="8"/>
  <c r="T755" i="8"/>
  <c r="P755" i="8"/>
  <c r="AA755" i="8" s="1"/>
  <c r="N755" i="8"/>
  <c r="M755" i="8"/>
  <c r="K755" i="8"/>
  <c r="J755" i="8"/>
  <c r="I755" i="8"/>
  <c r="H755" i="8"/>
  <c r="G755" i="8"/>
  <c r="F755" i="8"/>
  <c r="E755" i="8"/>
  <c r="AB754" i="8"/>
  <c r="Y754" i="8"/>
  <c r="X754" i="8"/>
  <c r="W754" i="8"/>
  <c r="V754" i="8"/>
  <c r="U754" i="8"/>
  <c r="T754" i="8"/>
  <c r="P754" i="8"/>
  <c r="Z754" i="8" s="1"/>
  <c r="N754" i="8"/>
  <c r="M754" i="8"/>
  <c r="K754" i="8"/>
  <c r="J754" i="8"/>
  <c r="I754" i="8"/>
  <c r="H754" i="8"/>
  <c r="G754" i="8"/>
  <c r="F754" i="8"/>
  <c r="E754" i="8"/>
  <c r="AB753" i="8"/>
  <c r="Y753" i="8"/>
  <c r="X753" i="8"/>
  <c r="W753" i="8"/>
  <c r="V753" i="8"/>
  <c r="U753" i="8"/>
  <c r="T753" i="8"/>
  <c r="P753" i="8"/>
  <c r="AA753" i="8" s="1"/>
  <c r="N753" i="8"/>
  <c r="M753" i="8"/>
  <c r="K753" i="8"/>
  <c r="J753" i="8"/>
  <c r="I753" i="8"/>
  <c r="H753" i="8"/>
  <c r="G753" i="8"/>
  <c r="F753" i="8"/>
  <c r="E753" i="8"/>
  <c r="AB752" i="8"/>
  <c r="Y752" i="8"/>
  <c r="X752" i="8"/>
  <c r="W752" i="8"/>
  <c r="V752" i="8"/>
  <c r="U752" i="8"/>
  <c r="T752" i="8"/>
  <c r="P752" i="8"/>
  <c r="Z752" i="8" s="1"/>
  <c r="N752" i="8"/>
  <c r="M752" i="8"/>
  <c r="K752" i="8"/>
  <c r="J752" i="8"/>
  <c r="I752" i="8"/>
  <c r="H752" i="8"/>
  <c r="G752" i="8"/>
  <c r="F752" i="8"/>
  <c r="E752" i="8"/>
  <c r="AB751" i="8"/>
  <c r="Y751" i="8"/>
  <c r="X751" i="8"/>
  <c r="W751" i="8"/>
  <c r="V751" i="8"/>
  <c r="U751" i="8"/>
  <c r="T751" i="8"/>
  <c r="P751" i="8"/>
  <c r="AA751" i="8" s="1"/>
  <c r="N751" i="8"/>
  <c r="M751" i="8"/>
  <c r="K751" i="8"/>
  <c r="J751" i="8"/>
  <c r="I751" i="8"/>
  <c r="H751" i="8"/>
  <c r="G751" i="8"/>
  <c r="F751" i="8"/>
  <c r="E751" i="8"/>
  <c r="AB750" i="8"/>
  <c r="Y750" i="8"/>
  <c r="X750" i="8"/>
  <c r="W750" i="8"/>
  <c r="V750" i="8"/>
  <c r="U750" i="8"/>
  <c r="T750" i="8"/>
  <c r="P750" i="8"/>
  <c r="Z750" i="8" s="1"/>
  <c r="N750" i="8"/>
  <c r="M750" i="8"/>
  <c r="K750" i="8"/>
  <c r="J750" i="8"/>
  <c r="I750" i="8"/>
  <c r="H750" i="8"/>
  <c r="G750" i="8"/>
  <c r="F750" i="8"/>
  <c r="E750" i="8"/>
  <c r="AB749" i="8"/>
  <c r="Y749" i="8"/>
  <c r="X749" i="8"/>
  <c r="W749" i="8"/>
  <c r="V749" i="8"/>
  <c r="U749" i="8"/>
  <c r="T749" i="8"/>
  <c r="P749" i="8"/>
  <c r="AA749" i="8" s="1"/>
  <c r="N749" i="8"/>
  <c r="M749" i="8"/>
  <c r="K749" i="8"/>
  <c r="J749" i="8"/>
  <c r="I749" i="8"/>
  <c r="H749" i="8"/>
  <c r="G749" i="8"/>
  <c r="F749" i="8"/>
  <c r="E749" i="8"/>
  <c r="AB748" i="8"/>
  <c r="Y748" i="8"/>
  <c r="X748" i="8"/>
  <c r="W748" i="8"/>
  <c r="V748" i="8"/>
  <c r="U748" i="8"/>
  <c r="T748" i="8"/>
  <c r="P748" i="8"/>
  <c r="Z748" i="8" s="1"/>
  <c r="N748" i="8"/>
  <c r="M748" i="8"/>
  <c r="K748" i="8"/>
  <c r="J748" i="8"/>
  <c r="I748" i="8"/>
  <c r="H748" i="8"/>
  <c r="G748" i="8"/>
  <c r="F748" i="8"/>
  <c r="E748" i="8"/>
  <c r="AB747" i="8"/>
  <c r="Y747" i="8"/>
  <c r="X747" i="8"/>
  <c r="W747" i="8"/>
  <c r="V747" i="8"/>
  <c r="U747" i="8"/>
  <c r="T747" i="8"/>
  <c r="P747" i="8"/>
  <c r="AA747" i="8" s="1"/>
  <c r="N747" i="8"/>
  <c r="M747" i="8"/>
  <c r="K747" i="8"/>
  <c r="J747" i="8"/>
  <c r="I747" i="8"/>
  <c r="H747" i="8"/>
  <c r="G747" i="8"/>
  <c r="F747" i="8"/>
  <c r="E747" i="8"/>
  <c r="AB746" i="8"/>
  <c r="Y746" i="8"/>
  <c r="X746" i="8"/>
  <c r="W746" i="8"/>
  <c r="V746" i="8"/>
  <c r="U746" i="8"/>
  <c r="T746" i="8"/>
  <c r="P746" i="8"/>
  <c r="Z746" i="8" s="1"/>
  <c r="N746" i="8"/>
  <c r="M746" i="8"/>
  <c r="K746" i="8"/>
  <c r="J746" i="8"/>
  <c r="I746" i="8"/>
  <c r="H746" i="8"/>
  <c r="G746" i="8"/>
  <c r="F746" i="8"/>
  <c r="E746" i="8"/>
  <c r="AB745" i="8"/>
  <c r="Y745" i="8"/>
  <c r="X745" i="8"/>
  <c r="W745" i="8"/>
  <c r="V745" i="8"/>
  <c r="U745" i="8"/>
  <c r="T745" i="8"/>
  <c r="P745" i="8"/>
  <c r="AA745" i="8" s="1"/>
  <c r="N745" i="8"/>
  <c r="M745" i="8"/>
  <c r="K745" i="8"/>
  <c r="J745" i="8"/>
  <c r="I745" i="8"/>
  <c r="H745" i="8"/>
  <c r="G745" i="8"/>
  <c r="F745" i="8"/>
  <c r="E745" i="8"/>
  <c r="AB744" i="8"/>
  <c r="Y744" i="8"/>
  <c r="X744" i="8"/>
  <c r="W744" i="8"/>
  <c r="V744" i="8"/>
  <c r="U744" i="8"/>
  <c r="T744" i="8"/>
  <c r="P744" i="8"/>
  <c r="Z744" i="8" s="1"/>
  <c r="N744" i="8"/>
  <c r="M744" i="8"/>
  <c r="K744" i="8"/>
  <c r="J744" i="8"/>
  <c r="I744" i="8"/>
  <c r="H744" i="8"/>
  <c r="G744" i="8"/>
  <c r="F744" i="8"/>
  <c r="E744" i="8"/>
  <c r="AB743" i="8"/>
  <c r="Y743" i="8"/>
  <c r="X743" i="8"/>
  <c r="W743" i="8"/>
  <c r="V743" i="8"/>
  <c r="U743" i="8"/>
  <c r="T743" i="8"/>
  <c r="P743" i="8"/>
  <c r="AA743" i="8" s="1"/>
  <c r="N743" i="8"/>
  <c r="M743" i="8"/>
  <c r="K743" i="8"/>
  <c r="J743" i="8"/>
  <c r="I743" i="8"/>
  <c r="H743" i="8"/>
  <c r="G743" i="8"/>
  <c r="F743" i="8"/>
  <c r="E743" i="8"/>
  <c r="AB742" i="8"/>
  <c r="Y742" i="8"/>
  <c r="X742" i="8"/>
  <c r="W742" i="8"/>
  <c r="V742" i="8"/>
  <c r="U742" i="8"/>
  <c r="T742" i="8"/>
  <c r="P742" i="8"/>
  <c r="Z742" i="8" s="1"/>
  <c r="N742" i="8"/>
  <c r="M742" i="8"/>
  <c r="K742" i="8"/>
  <c r="J742" i="8"/>
  <c r="I742" i="8"/>
  <c r="H742" i="8"/>
  <c r="G742" i="8"/>
  <c r="F742" i="8"/>
  <c r="E742" i="8"/>
  <c r="AB741" i="8"/>
  <c r="Y741" i="8"/>
  <c r="X741" i="8"/>
  <c r="W741" i="8"/>
  <c r="V741" i="8"/>
  <c r="U741" i="8"/>
  <c r="T741" i="8"/>
  <c r="P741" i="8"/>
  <c r="AA741" i="8" s="1"/>
  <c r="N741" i="8"/>
  <c r="M741" i="8"/>
  <c r="K741" i="8"/>
  <c r="J741" i="8"/>
  <c r="I741" i="8"/>
  <c r="H741" i="8"/>
  <c r="G741" i="8"/>
  <c r="F741" i="8"/>
  <c r="E741" i="8"/>
  <c r="AB740" i="8"/>
  <c r="Y740" i="8"/>
  <c r="X740" i="8"/>
  <c r="W740" i="8"/>
  <c r="V740" i="8"/>
  <c r="U740" i="8"/>
  <c r="T740" i="8"/>
  <c r="P740" i="8"/>
  <c r="Z740" i="8" s="1"/>
  <c r="N740" i="8"/>
  <c r="M740" i="8"/>
  <c r="K740" i="8"/>
  <c r="J740" i="8"/>
  <c r="I740" i="8"/>
  <c r="H740" i="8"/>
  <c r="G740" i="8"/>
  <c r="F740" i="8"/>
  <c r="E740" i="8"/>
  <c r="AB739" i="8"/>
  <c r="Y739" i="8"/>
  <c r="X739" i="8"/>
  <c r="W739" i="8"/>
  <c r="V739" i="8"/>
  <c r="U739" i="8"/>
  <c r="T739" i="8"/>
  <c r="P739" i="8"/>
  <c r="AA739" i="8" s="1"/>
  <c r="N739" i="8"/>
  <c r="M739" i="8"/>
  <c r="K739" i="8"/>
  <c r="J739" i="8"/>
  <c r="I739" i="8"/>
  <c r="H739" i="8"/>
  <c r="G739" i="8"/>
  <c r="F739" i="8"/>
  <c r="E739" i="8"/>
  <c r="AB738" i="8"/>
  <c r="Y738" i="8"/>
  <c r="X738" i="8"/>
  <c r="W738" i="8"/>
  <c r="V738" i="8"/>
  <c r="U738" i="8"/>
  <c r="T738" i="8"/>
  <c r="P738" i="8"/>
  <c r="Z738" i="8" s="1"/>
  <c r="N738" i="8"/>
  <c r="M738" i="8"/>
  <c r="K738" i="8"/>
  <c r="J738" i="8"/>
  <c r="I738" i="8"/>
  <c r="H738" i="8"/>
  <c r="G738" i="8"/>
  <c r="F738" i="8"/>
  <c r="E738" i="8"/>
  <c r="AB737" i="8"/>
  <c r="Y737" i="8"/>
  <c r="X737" i="8"/>
  <c r="W737" i="8"/>
  <c r="V737" i="8"/>
  <c r="U737" i="8"/>
  <c r="T737" i="8"/>
  <c r="P737" i="8"/>
  <c r="AA737" i="8" s="1"/>
  <c r="N737" i="8"/>
  <c r="M737" i="8"/>
  <c r="K737" i="8"/>
  <c r="J737" i="8"/>
  <c r="I737" i="8"/>
  <c r="H737" i="8"/>
  <c r="G737" i="8"/>
  <c r="F737" i="8"/>
  <c r="E737" i="8"/>
  <c r="AB736" i="8"/>
  <c r="Y736" i="8"/>
  <c r="X736" i="8"/>
  <c r="W736" i="8"/>
  <c r="V736" i="8"/>
  <c r="U736" i="8"/>
  <c r="T736" i="8"/>
  <c r="P736" i="8"/>
  <c r="Z736" i="8" s="1"/>
  <c r="N736" i="8"/>
  <c r="M736" i="8"/>
  <c r="K736" i="8"/>
  <c r="J736" i="8"/>
  <c r="I736" i="8"/>
  <c r="H736" i="8"/>
  <c r="G736" i="8"/>
  <c r="F736" i="8"/>
  <c r="E736" i="8"/>
  <c r="AB735" i="8"/>
  <c r="Y735" i="8"/>
  <c r="X735" i="8"/>
  <c r="W735" i="8"/>
  <c r="V735" i="8"/>
  <c r="U735" i="8"/>
  <c r="T735" i="8"/>
  <c r="P735" i="8"/>
  <c r="AA735" i="8" s="1"/>
  <c r="N735" i="8"/>
  <c r="M735" i="8"/>
  <c r="K735" i="8"/>
  <c r="J735" i="8"/>
  <c r="I735" i="8"/>
  <c r="H735" i="8"/>
  <c r="G735" i="8"/>
  <c r="F735" i="8"/>
  <c r="E735" i="8"/>
  <c r="AB734" i="8"/>
  <c r="Y734" i="8"/>
  <c r="X734" i="8"/>
  <c r="W734" i="8"/>
  <c r="V734" i="8"/>
  <c r="U734" i="8"/>
  <c r="T734" i="8"/>
  <c r="P734" i="8"/>
  <c r="Z734" i="8" s="1"/>
  <c r="N734" i="8"/>
  <c r="M734" i="8"/>
  <c r="K734" i="8"/>
  <c r="J734" i="8"/>
  <c r="I734" i="8"/>
  <c r="H734" i="8"/>
  <c r="G734" i="8"/>
  <c r="F734" i="8"/>
  <c r="E734" i="8"/>
  <c r="AB733" i="8"/>
  <c r="Y733" i="8"/>
  <c r="X733" i="8"/>
  <c r="W733" i="8"/>
  <c r="V733" i="8"/>
  <c r="U733" i="8"/>
  <c r="T733" i="8"/>
  <c r="P733" i="8"/>
  <c r="AA733" i="8" s="1"/>
  <c r="N733" i="8"/>
  <c r="M733" i="8"/>
  <c r="K733" i="8"/>
  <c r="J733" i="8"/>
  <c r="I733" i="8"/>
  <c r="H733" i="8"/>
  <c r="G733" i="8"/>
  <c r="F733" i="8"/>
  <c r="E733" i="8"/>
  <c r="AB732" i="8"/>
  <c r="Y732" i="8"/>
  <c r="X732" i="8"/>
  <c r="W732" i="8"/>
  <c r="V732" i="8"/>
  <c r="U732" i="8"/>
  <c r="T732" i="8"/>
  <c r="P732" i="8"/>
  <c r="Z732" i="8" s="1"/>
  <c r="N732" i="8"/>
  <c r="M732" i="8"/>
  <c r="K732" i="8"/>
  <c r="J732" i="8"/>
  <c r="I732" i="8"/>
  <c r="H732" i="8"/>
  <c r="G732" i="8"/>
  <c r="F732" i="8"/>
  <c r="E732" i="8"/>
  <c r="AB731" i="8"/>
  <c r="Y731" i="8"/>
  <c r="X731" i="8"/>
  <c r="W731" i="8"/>
  <c r="V731" i="8"/>
  <c r="U731" i="8"/>
  <c r="T731" i="8"/>
  <c r="P731" i="8"/>
  <c r="AA731" i="8" s="1"/>
  <c r="N731" i="8"/>
  <c r="M731" i="8"/>
  <c r="K731" i="8"/>
  <c r="J731" i="8"/>
  <c r="I731" i="8"/>
  <c r="H731" i="8"/>
  <c r="G731" i="8"/>
  <c r="F731" i="8"/>
  <c r="E731" i="8"/>
  <c r="AB730" i="8"/>
  <c r="Y730" i="8"/>
  <c r="X730" i="8"/>
  <c r="W730" i="8"/>
  <c r="V730" i="8"/>
  <c r="U730" i="8"/>
  <c r="T730" i="8"/>
  <c r="P730" i="8"/>
  <c r="Z730" i="8" s="1"/>
  <c r="N730" i="8"/>
  <c r="M730" i="8"/>
  <c r="K730" i="8"/>
  <c r="J730" i="8"/>
  <c r="I730" i="8"/>
  <c r="H730" i="8"/>
  <c r="G730" i="8"/>
  <c r="F730" i="8"/>
  <c r="E730" i="8"/>
  <c r="AB729" i="8"/>
  <c r="Y729" i="8"/>
  <c r="X729" i="8"/>
  <c r="W729" i="8"/>
  <c r="V729" i="8"/>
  <c r="U729" i="8"/>
  <c r="T729" i="8"/>
  <c r="P729" i="8"/>
  <c r="AA729" i="8" s="1"/>
  <c r="N729" i="8"/>
  <c r="M729" i="8"/>
  <c r="K729" i="8"/>
  <c r="J729" i="8"/>
  <c r="I729" i="8"/>
  <c r="H729" i="8"/>
  <c r="G729" i="8"/>
  <c r="F729" i="8"/>
  <c r="E729" i="8"/>
  <c r="AB728" i="8"/>
  <c r="Y728" i="8"/>
  <c r="X728" i="8"/>
  <c r="W728" i="8"/>
  <c r="V728" i="8"/>
  <c r="U728" i="8"/>
  <c r="T728" i="8"/>
  <c r="P728" i="8"/>
  <c r="Z728" i="8" s="1"/>
  <c r="N728" i="8"/>
  <c r="M728" i="8"/>
  <c r="K728" i="8"/>
  <c r="J728" i="8"/>
  <c r="I728" i="8"/>
  <c r="H728" i="8"/>
  <c r="G728" i="8"/>
  <c r="F728" i="8"/>
  <c r="E728" i="8"/>
  <c r="AB727" i="8"/>
  <c r="Y727" i="8"/>
  <c r="X727" i="8"/>
  <c r="W727" i="8"/>
  <c r="V727" i="8"/>
  <c r="U727" i="8"/>
  <c r="T727" i="8"/>
  <c r="P727" i="8"/>
  <c r="AA727" i="8" s="1"/>
  <c r="N727" i="8"/>
  <c r="M727" i="8"/>
  <c r="K727" i="8"/>
  <c r="J727" i="8"/>
  <c r="I727" i="8"/>
  <c r="H727" i="8"/>
  <c r="G727" i="8"/>
  <c r="F727" i="8"/>
  <c r="E727" i="8"/>
  <c r="AB726" i="8"/>
  <c r="Y726" i="8"/>
  <c r="X726" i="8"/>
  <c r="W726" i="8"/>
  <c r="V726" i="8"/>
  <c r="U726" i="8"/>
  <c r="T726" i="8"/>
  <c r="P726" i="8"/>
  <c r="Z726" i="8" s="1"/>
  <c r="N726" i="8"/>
  <c r="M726" i="8"/>
  <c r="K726" i="8"/>
  <c r="J726" i="8"/>
  <c r="I726" i="8"/>
  <c r="H726" i="8"/>
  <c r="G726" i="8"/>
  <c r="F726" i="8"/>
  <c r="E726" i="8"/>
  <c r="AB725" i="8"/>
  <c r="Y725" i="8"/>
  <c r="X725" i="8"/>
  <c r="W725" i="8"/>
  <c r="V725" i="8"/>
  <c r="U725" i="8"/>
  <c r="T725" i="8"/>
  <c r="P725" i="8"/>
  <c r="AA725" i="8" s="1"/>
  <c r="N725" i="8"/>
  <c r="M725" i="8"/>
  <c r="K725" i="8"/>
  <c r="J725" i="8"/>
  <c r="I725" i="8"/>
  <c r="H725" i="8"/>
  <c r="G725" i="8"/>
  <c r="F725" i="8"/>
  <c r="E725" i="8"/>
  <c r="AB724" i="8"/>
  <c r="Y724" i="8"/>
  <c r="X724" i="8"/>
  <c r="W724" i="8"/>
  <c r="V724" i="8"/>
  <c r="U724" i="8"/>
  <c r="T724" i="8"/>
  <c r="P724" i="8"/>
  <c r="Z724" i="8" s="1"/>
  <c r="N724" i="8"/>
  <c r="M724" i="8"/>
  <c r="K724" i="8"/>
  <c r="J724" i="8"/>
  <c r="I724" i="8"/>
  <c r="H724" i="8"/>
  <c r="G724" i="8"/>
  <c r="F724" i="8"/>
  <c r="E724" i="8"/>
  <c r="AB723" i="8"/>
  <c r="Y723" i="8"/>
  <c r="X723" i="8"/>
  <c r="W723" i="8"/>
  <c r="V723" i="8"/>
  <c r="U723" i="8"/>
  <c r="T723" i="8"/>
  <c r="P723" i="8"/>
  <c r="AA723" i="8" s="1"/>
  <c r="N723" i="8"/>
  <c r="M723" i="8"/>
  <c r="K723" i="8"/>
  <c r="J723" i="8"/>
  <c r="I723" i="8"/>
  <c r="H723" i="8"/>
  <c r="G723" i="8"/>
  <c r="F723" i="8"/>
  <c r="E723" i="8"/>
  <c r="AB722" i="8"/>
  <c r="Y722" i="8"/>
  <c r="X722" i="8"/>
  <c r="W722" i="8"/>
  <c r="V722" i="8"/>
  <c r="U722" i="8"/>
  <c r="T722" i="8"/>
  <c r="P722" i="8"/>
  <c r="Z722" i="8" s="1"/>
  <c r="N722" i="8"/>
  <c r="M722" i="8"/>
  <c r="K722" i="8"/>
  <c r="J722" i="8"/>
  <c r="I722" i="8"/>
  <c r="H722" i="8"/>
  <c r="G722" i="8"/>
  <c r="F722" i="8"/>
  <c r="E722" i="8"/>
  <c r="AB721" i="8"/>
  <c r="Y721" i="8"/>
  <c r="X721" i="8"/>
  <c r="W721" i="8"/>
  <c r="V721" i="8"/>
  <c r="U721" i="8"/>
  <c r="T721" i="8"/>
  <c r="P721" i="8"/>
  <c r="AA721" i="8" s="1"/>
  <c r="N721" i="8"/>
  <c r="M721" i="8"/>
  <c r="K721" i="8"/>
  <c r="J721" i="8"/>
  <c r="I721" i="8"/>
  <c r="H721" i="8"/>
  <c r="G721" i="8"/>
  <c r="F721" i="8"/>
  <c r="E721" i="8"/>
  <c r="AB720" i="8"/>
  <c r="Y720" i="8"/>
  <c r="X720" i="8"/>
  <c r="W720" i="8"/>
  <c r="V720" i="8"/>
  <c r="U720" i="8"/>
  <c r="T720" i="8"/>
  <c r="P720" i="8"/>
  <c r="Z720" i="8" s="1"/>
  <c r="N720" i="8"/>
  <c r="M720" i="8"/>
  <c r="K720" i="8"/>
  <c r="J720" i="8"/>
  <c r="I720" i="8"/>
  <c r="H720" i="8"/>
  <c r="G720" i="8"/>
  <c r="F720" i="8"/>
  <c r="E720" i="8"/>
  <c r="AB719" i="8"/>
  <c r="Y719" i="8"/>
  <c r="X719" i="8"/>
  <c r="W719" i="8"/>
  <c r="V719" i="8"/>
  <c r="U719" i="8"/>
  <c r="T719" i="8"/>
  <c r="P719" i="8"/>
  <c r="AA719" i="8" s="1"/>
  <c r="AC719" i="8" s="1"/>
  <c r="N719" i="8"/>
  <c r="M719" i="8"/>
  <c r="K719" i="8"/>
  <c r="J719" i="8"/>
  <c r="I719" i="8"/>
  <c r="H719" i="8"/>
  <c r="G719" i="8"/>
  <c r="F719" i="8"/>
  <c r="E719" i="8"/>
  <c r="AB718" i="8"/>
  <c r="Y718" i="8"/>
  <c r="X718" i="8"/>
  <c r="W718" i="8"/>
  <c r="V718" i="8"/>
  <c r="U718" i="8"/>
  <c r="T718" i="8"/>
  <c r="P718" i="8"/>
  <c r="Z718" i="8" s="1"/>
  <c r="N718" i="8"/>
  <c r="M718" i="8"/>
  <c r="K718" i="8"/>
  <c r="J718" i="8"/>
  <c r="I718" i="8"/>
  <c r="H718" i="8"/>
  <c r="G718" i="8"/>
  <c r="F718" i="8"/>
  <c r="E718" i="8"/>
  <c r="AB717" i="8"/>
  <c r="Y717" i="8"/>
  <c r="X717" i="8"/>
  <c r="W717" i="8"/>
  <c r="V717" i="8"/>
  <c r="U717" i="8"/>
  <c r="T717" i="8"/>
  <c r="P717" i="8"/>
  <c r="AA717" i="8" s="1"/>
  <c r="N717" i="8"/>
  <c r="M717" i="8"/>
  <c r="K717" i="8"/>
  <c r="J717" i="8"/>
  <c r="I717" i="8"/>
  <c r="H717" i="8"/>
  <c r="G717" i="8"/>
  <c r="F717" i="8"/>
  <c r="E717" i="8"/>
  <c r="AB716" i="8"/>
  <c r="Y716" i="8"/>
  <c r="X716" i="8"/>
  <c r="W716" i="8"/>
  <c r="V716" i="8"/>
  <c r="U716" i="8"/>
  <c r="T716" i="8"/>
  <c r="P716" i="8"/>
  <c r="Z716" i="8" s="1"/>
  <c r="N716" i="8"/>
  <c r="M716" i="8"/>
  <c r="K716" i="8"/>
  <c r="J716" i="8"/>
  <c r="I716" i="8"/>
  <c r="H716" i="8"/>
  <c r="G716" i="8"/>
  <c r="F716" i="8"/>
  <c r="E716" i="8"/>
  <c r="AB715" i="8"/>
  <c r="Y715" i="8"/>
  <c r="X715" i="8"/>
  <c r="W715" i="8"/>
  <c r="V715" i="8"/>
  <c r="U715" i="8"/>
  <c r="T715" i="8"/>
  <c r="P715" i="8"/>
  <c r="AA715" i="8" s="1"/>
  <c r="N715" i="8"/>
  <c r="M715" i="8"/>
  <c r="K715" i="8"/>
  <c r="J715" i="8"/>
  <c r="I715" i="8"/>
  <c r="H715" i="8"/>
  <c r="G715" i="8"/>
  <c r="F715" i="8"/>
  <c r="E715" i="8"/>
  <c r="AB714" i="8"/>
  <c r="Y714" i="8"/>
  <c r="X714" i="8"/>
  <c r="W714" i="8"/>
  <c r="V714" i="8"/>
  <c r="U714" i="8"/>
  <c r="T714" i="8"/>
  <c r="P714" i="8"/>
  <c r="Z714" i="8" s="1"/>
  <c r="N714" i="8"/>
  <c r="M714" i="8"/>
  <c r="K714" i="8"/>
  <c r="J714" i="8"/>
  <c r="I714" i="8"/>
  <c r="H714" i="8"/>
  <c r="G714" i="8"/>
  <c r="F714" i="8"/>
  <c r="E714" i="8"/>
  <c r="AB713" i="8"/>
  <c r="Y713" i="8"/>
  <c r="X713" i="8"/>
  <c r="W713" i="8"/>
  <c r="V713" i="8"/>
  <c r="U713" i="8"/>
  <c r="T713" i="8"/>
  <c r="P713" i="8"/>
  <c r="AA713" i="8" s="1"/>
  <c r="N713" i="8"/>
  <c r="M713" i="8"/>
  <c r="K713" i="8"/>
  <c r="J713" i="8"/>
  <c r="I713" i="8"/>
  <c r="H713" i="8"/>
  <c r="G713" i="8"/>
  <c r="F713" i="8"/>
  <c r="E713" i="8"/>
  <c r="AB712" i="8"/>
  <c r="Y712" i="8"/>
  <c r="X712" i="8"/>
  <c r="W712" i="8"/>
  <c r="V712" i="8"/>
  <c r="U712" i="8"/>
  <c r="T712" i="8"/>
  <c r="P712" i="8"/>
  <c r="Z712" i="8" s="1"/>
  <c r="N712" i="8"/>
  <c r="M712" i="8"/>
  <c r="K712" i="8"/>
  <c r="J712" i="8"/>
  <c r="I712" i="8"/>
  <c r="H712" i="8"/>
  <c r="G712" i="8"/>
  <c r="F712" i="8"/>
  <c r="E712" i="8"/>
  <c r="AB711" i="8"/>
  <c r="Y711" i="8"/>
  <c r="X711" i="8"/>
  <c r="W711" i="8"/>
  <c r="V711" i="8"/>
  <c r="U711" i="8"/>
  <c r="T711" i="8"/>
  <c r="P711" i="8"/>
  <c r="AA711" i="8" s="1"/>
  <c r="N711" i="8"/>
  <c r="M711" i="8"/>
  <c r="K711" i="8"/>
  <c r="J711" i="8"/>
  <c r="I711" i="8"/>
  <c r="H711" i="8"/>
  <c r="G711" i="8"/>
  <c r="F711" i="8"/>
  <c r="E711" i="8"/>
  <c r="AB710" i="8"/>
  <c r="Y710" i="8"/>
  <c r="X710" i="8"/>
  <c r="W710" i="8"/>
  <c r="V710" i="8"/>
  <c r="U710" i="8"/>
  <c r="T710" i="8"/>
  <c r="P710" i="8"/>
  <c r="Z710" i="8" s="1"/>
  <c r="N710" i="8"/>
  <c r="M710" i="8"/>
  <c r="K710" i="8"/>
  <c r="J710" i="8"/>
  <c r="I710" i="8"/>
  <c r="H710" i="8"/>
  <c r="G710" i="8"/>
  <c r="F710" i="8"/>
  <c r="E710" i="8"/>
  <c r="AB709" i="8"/>
  <c r="Y709" i="8"/>
  <c r="X709" i="8"/>
  <c r="W709" i="8"/>
  <c r="V709" i="8"/>
  <c r="U709" i="8"/>
  <c r="T709" i="8"/>
  <c r="P709" i="8"/>
  <c r="AA709" i="8" s="1"/>
  <c r="N709" i="8"/>
  <c r="M709" i="8"/>
  <c r="K709" i="8"/>
  <c r="J709" i="8"/>
  <c r="I709" i="8"/>
  <c r="H709" i="8"/>
  <c r="G709" i="8"/>
  <c r="F709" i="8"/>
  <c r="E709" i="8"/>
  <c r="AB708" i="8"/>
  <c r="Y708" i="8"/>
  <c r="X708" i="8"/>
  <c r="W708" i="8"/>
  <c r="V708" i="8"/>
  <c r="U708" i="8"/>
  <c r="T708" i="8"/>
  <c r="P708" i="8"/>
  <c r="Z708" i="8" s="1"/>
  <c r="N708" i="8"/>
  <c r="M708" i="8"/>
  <c r="K708" i="8"/>
  <c r="J708" i="8"/>
  <c r="I708" i="8"/>
  <c r="H708" i="8"/>
  <c r="G708" i="8"/>
  <c r="F708" i="8"/>
  <c r="E708" i="8"/>
  <c r="AB707" i="8"/>
  <c r="Y707" i="8"/>
  <c r="X707" i="8"/>
  <c r="W707" i="8"/>
  <c r="V707" i="8"/>
  <c r="U707" i="8"/>
  <c r="T707" i="8"/>
  <c r="P707" i="8"/>
  <c r="AA707" i="8" s="1"/>
  <c r="N707" i="8"/>
  <c r="M707" i="8"/>
  <c r="K707" i="8"/>
  <c r="J707" i="8"/>
  <c r="I707" i="8"/>
  <c r="H707" i="8"/>
  <c r="G707" i="8"/>
  <c r="F707" i="8"/>
  <c r="E707" i="8"/>
  <c r="AB706" i="8"/>
  <c r="Y706" i="8"/>
  <c r="X706" i="8"/>
  <c r="W706" i="8"/>
  <c r="V706" i="8"/>
  <c r="U706" i="8"/>
  <c r="T706" i="8"/>
  <c r="P706" i="8"/>
  <c r="Z706" i="8" s="1"/>
  <c r="N706" i="8"/>
  <c r="M706" i="8"/>
  <c r="K706" i="8"/>
  <c r="J706" i="8"/>
  <c r="I706" i="8"/>
  <c r="H706" i="8"/>
  <c r="G706" i="8"/>
  <c r="F706" i="8"/>
  <c r="E706" i="8"/>
  <c r="AB705" i="8"/>
  <c r="Y705" i="8"/>
  <c r="X705" i="8"/>
  <c r="W705" i="8"/>
  <c r="V705" i="8"/>
  <c r="U705" i="8"/>
  <c r="T705" i="8"/>
  <c r="P705" i="8"/>
  <c r="AA705" i="8" s="1"/>
  <c r="N705" i="8"/>
  <c r="M705" i="8"/>
  <c r="K705" i="8"/>
  <c r="J705" i="8"/>
  <c r="I705" i="8"/>
  <c r="H705" i="8"/>
  <c r="G705" i="8"/>
  <c r="F705" i="8"/>
  <c r="E705" i="8"/>
  <c r="AB704" i="8"/>
  <c r="Y704" i="8"/>
  <c r="X704" i="8"/>
  <c r="W704" i="8"/>
  <c r="V704" i="8"/>
  <c r="U704" i="8"/>
  <c r="T704" i="8"/>
  <c r="P704" i="8"/>
  <c r="Z704" i="8" s="1"/>
  <c r="N704" i="8"/>
  <c r="M704" i="8"/>
  <c r="K704" i="8"/>
  <c r="J704" i="8"/>
  <c r="I704" i="8"/>
  <c r="H704" i="8"/>
  <c r="G704" i="8"/>
  <c r="F704" i="8"/>
  <c r="E704" i="8"/>
  <c r="AB703" i="8"/>
  <c r="Y703" i="8"/>
  <c r="X703" i="8"/>
  <c r="W703" i="8"/>
  <c r="V703" i="8"/>
  <c r="U703" i="8"/>
  <c r="T703" i="8"/>
  <c r="P703" i="8"/>
  <c r="AA703" i="8" s="1"/>
  <c r="N703" i="8"/>
  <c r="M703" i="8"/>
  <c r="K703" i="8"/>
  <c r="J703" i="8"/>
  <c r="I703" i="8"/>
  <c r="H703" i="8"/>
  <c r="G703" i="8"/>
  <c r="F703" i="8"/>
  <c r="E703" i="8"/>
  <c r="AB702" i="8"/>
  <c r="Y702" i="8"/>
  <c r="X702" i="8"/>
  <c r="W702" i="8"/>
  <c r="V702" i="8"/>
  <c r="U702" i="8"/>
  <c r="T702" i="8"/>
  <c r="P702" i="8"/>
  <c r="Z702" i="8" s="1"/>
  <c r="N702" i="8"/>
  <c r="M702" i="8"/>
  <c r="K702" i="8"/>
  <c r="J702" i="8"/>
  <c r="I702" i="8"/>
  <c r="H702" i="8"/>
  <c r="G702" i="8"/>
  <c r="F702" i="8"/>
  <c r="E702" i="8"/>
  <c r="AB701" i="8"/>
  <c r="Y701" i="8"/>
  <c r="X701" i="8"/>
  <c r="W701" i="8"/>
  <c r="V701" i="8"/>
  <c r="U701" i="8"/>
  <c r="T701" i="8"/>
  <c r="P701" i="8"/>
  <c r="AA701" i="8" s="1"/>
  <c r="N701" i="8"/>
  <c r="M701" i="8"/>
  <c r="K701" i="8"/>
  <c r="J701" i="8"/>
  <c r="I701" i="8"/>
  <c r="H701" i="8"/>
  <c r="G701" i="8"/>
  <c r="F701" i="8"/>
  <c r="E701" i="8"/>
  <c r="AB700" i="8"/>
  <c r="Y700" i="8"/>
  <c r="X700" i="8"/>
  <c r="W700" i="8"/>
  <c r="V700" i="8"/>
  <c r="U700" i="8"/>
  <c r="T700" i="8"/>
  <c r="P700" i="8"/>
  <c r="Z700" i="8" s="1"/>
  <c r="N700" i="8"/>
  <c r="M700" i="8"/>
  <c r="K700" i="8"/>
  <c r="J700" i="8"/>
  <c r="I700" i="8"/>
  <c r="H700" i="8"/>
  <c r="G700" i="8"/>
  <c r="F700" i="8"/>
  <c r="E700" i="8"/>
  <c r="AB699" i="8"/>
  <c r="Y699" i="8"/>
  <c r="X699" i="8"/>
  <c r="W699" i="8"/>
  <c r="V699" i="8"/>
  <c r="U699" i="8"/>
  <c r="T699" i="8"/>
  <c r="P699" i="8"/>
  <c r="AA699" i="8" s="1"/>
  <c r="N699" i="8"/>
  <c r="M699" i="8"/>
  <c r="K699" i="8"/>
  <c r="J699" i="8"/>
  <c r="I699" i="8"/>
  <c r="H699" i="8"/>
  <c r="G699" i="8"/>
  <c r="F699" i="8"/>
  <c r="E699" i="8"/>
  <c r="AB698" i="8"/>
  <c r="Y698" i="8"/>
  <c r="X698" i="8"/>
  <c r="W698" i="8"/>
  <c r="V698" i="8"/>
  <c r="U698" i="8"/>
  <c r="T698" i="8"/>
  <c r="P698" i="8"/>
  <c r="Z698" i="8" s="1"/>
  <c r="N698" i="8"/>
  <c r="M698" i="8"/>
  <c r="K698" i="8"/>
  <c r="J698" i="8"/>
  <c r="I698" i="8"/>
  <c r="H698" i="8"/>
  <c r="G698" i="8"/>
  <c r="F698" i="8"/>
  <c r="E698" i="8"/>
  <c r="AB697" i="8"/>
  <c r="Y697" i="8"/>
  <c r="X697" i="8"/>
  <c r="W697" i="8"/>
  <c r="V697" i="8"/>
  <c r="U697" i="8"/>
  <c r="T697" i="8"/>
  <c r="P697" i="8"/>
  <c r="AA697" i="8" s="1"/>
  <c r="AC697" i="8" s="1"/>
  <c r="N697" i="8"/>
  <c r="M697" i="8"/>
  <c r="K697" i="8"/>
  <c r="J697" i="8"/>
  <c r="I697" i="8"/>
  <c r="H697" i="8"/>
  <c r="G697" i="8"/>
  <c r="F697" i="8"/>
  <c r="E697" i="8"/>
  <c r="AB696" i="8"/>
  <c r="Y696" i="8"/>
  <c r="X696" i="8"/>
  <c r="W696" i="8"/>
  <c r="V696" i="8"/>
  <c r="U696" i="8"/>
  <c r="T696" i="8"/>
  <c r="P696" i="8"/>
  <c r="Z696" i="8" s="1"/>
  <c r="N696" i="8"/>
  <c r="M696" i="8"/>
  <c r="K696" i="8"/>
  <c r="J696" i="8"/>
  <c r="I696" i="8"/>
  <c r="H696" i="8"/>
  <c r="G696" i="8"/>
  <c r="F696" i="8"/>
  <c r="E696" i="8"/>
  <c r="AB695" i="8"/>
  <c r="Y695" i="8"/>
  <c r="X695" i="8"/>
  <c r="W695" i="8"/>
  <c r="V695" i="8"/>
  <c r="U695" i="8"/>
  <c r="T695" i="8"/>
  <c r="P695" i="8"/>
  <c r="AA695" i="8" s="1"/>
  <c r="N695" i="8"/>
  <c r="M695" i="8"/>
  <c r="K695" i="8"/>
  <c r="J695" i="8"/>
  <c r="I695" i="8"/>
  <c r="H695" i="8"/>
  <c r="G695" i="8"/>
  <c r="F695" i="8"/>
  <c r="E695" i="8"/>
  <c r="AB694" i="8"/>
  <c r="Y694" i="8"/>
  <c r="X694" i="8"/>
  <c r="W694" i="8"/>
  <c r="V694" i="8"/>
  <c r="U694" i="8"/>
  <c r="T694" i="8"/>
  <c r="P694" i="8"/>
  <c r="Z694" i="8" s="1"/>
  <c r="N694" i="8"/>
  <c r="M694" i="8"/>
  <c r="K694" i="8"/>
  <c r="J694" i="8"/>
  <c r="I694" i="8"/>
  <c r="H694" i="8"/>
  <c r="G694" i="8"/>
  <c r="F694" i="8"/>
  <c r="E694" i="8"/>
  <c r="AB693" i="8"/>
  <c r="Y693" i="8"/>
  <c r="X693" i="8"/>
  <c r="W693" i="8"/>
  <c r="V693" i="8"/>
  <c r="U693" i="8"/>
  <c r="T693" i="8"/>
  <c r="P693" i="8"/>
  <c r="AA693" i="8" s="1"/>
  <c r="N693" i="8"/>
  <c r="M693" i="8"/>
  <c r="K693" i="8"/>
  <c r="J693" i="8"/>
  <c r="I693" i="8"/>
  <c r="H693" i="8"/>
  <c r="G693" i="8"/>
  <c r="F693" i="8"/>
  <c r="E693" i="8"/>
  <c r="AB692" i="8"/>
  <c r="Y692" i="8"/>
  <c r="X692" i="8"/>
  <c r="W692" i="8"/>
  <c r="V692" i="8"/>
  <c r="U692" i="8"/>
  <c r="T692" i="8"/>
  <c r="P692" i="8"/>
  <c r="Z692" i="8" s="1"/>
  <c r="N692" i="8"/>
  <c r="M692" i="8"/>
  <c r="K692" i="8"/>
  <c r="J692" i="8"/>
  <c r="I692" i="8"/>
  <c r="H692" i="8"/>
  <c r="G692" i="8"/>
  <c r="F692" i="8"/>
  <c r="E692" i="8"/>
  <c r="AB691" i="8"/>
  <c r="Y691" i="8"/>
  <c r="X691" i="8"/>
  <c r="W691" i="8"/>
  <c r="V691" i="8"/>
  <c r="U691" i="8"/>
  <c r="T691" i="8"/>
  <c r="P691" i="8"/>
  <c r="AA691" i="8" s="1"/>
  <c r="N691" i="8"/>
  <c r="M691" i="8"/>
  <c r="K691" i="8"/>
  <c r="J691" i="8"/>
  <c r="I691" i="8"/>
  <c r="H691" i="8"/>
  <c r="G691" i="8"/>
  <c r="F691" i="8"/>
  <c r="E691" i="8"/>
  <c r="AB690" i="8"/>
  <c r="Y690" i="8"/>
  <c r="X690" i="8"/>
  <c r="W690" i="8"/>
  <c r="V690" i="8"/>
  <c r="U690" i="8"/>
  <c r="T690" i="8"/>
  <c r="P690" i="8"/>
  <c r="Z690" i="8" s="1"/>
  <c r="N690" i="8"/>
  <c r="M690" i="8"/>
  <c r="K690" i="8"/>
  <c r="J690" i="8"/>
  <c r="I690" i="8"/>
  <c r="H690" i="8"/>
  <c r="G690" i="8"/>
  <c r="F690" i="8"/>
  <c r="E690" i="8"/>
  <c r="AB689" i="8"/>
  <c r="Y689" i="8"/>
  <c r="X689" i="8"/>
  <c r="W689" i="8"/>
  <c r="V689" i="8"/>
  <c r="U689" i="8"/>
  <c r="T689" i="8"/>
  <c r="P689" i="8"/>
  <c r="AA689" i="8" s="1"/>
  <c r="N689" i="8"/>
  <c r="M689" i="8"/>
  <c r="K689" i="8"/>
  <c r="J689" i="8"/>
  <c r="I689" i="8"/>
  <c r="H689" i="8"/>
  <c r="G689" i="8"/>
  <c r="F689" i="8"/>
  <c r="E689" i="8"/>
  <c r="AB688" i="8"/>
  <c r="Y688" i="8"/>
  <c r="X688" i="8"/>
  <c r="W688" i="8"/>
  <c r="V688" i="8"/>
  <c r="U688" i="8"/>
  <c r="T688" i="8"/>
  <c r="P688" i="8"/>
  <c r="Z688" i="8" s="1"/>
  <c r="N688" i="8"/>
  <c r="M688" i="8"/>
  <c r="K688" i="8"/>
  <c r="J688" i="8"/>
  <c r="I688" i="8"/>
  <c r="H688" i="8"/>
  <c r="G688" i="8"/>
  <c r="F688" i="8"/>
  <c r="E688" i="8"/>
  <c r="AB687" i="8"/>
  <c r="Y687" i="8"/>
  <c r="X687" i="8"/>
  <c r="W687" i="8"/>
  <c r="V687" i="8"/>
  <c r="U687" i="8"/>
  <c r="T687" i="8"/>
  <c r="P687" i="8"/>
  <c r="AA687" i="8" s="1"/>
  <c r="N687" i="8"/>
  <c r="M687" i="8"/>
  <c r="K687" i="8"/>
  <c r="J687" i="8"/>
  <c r="I687" i="8"/>
  <c r="H687" i="8"/>
  <c r="G687" i="8"/>
  <c r="F687" i="8"/>
  <c r="E687" i="8"/>
  <c r="AB686" i="8"/>
  <c r="AA686" i="8"/>
  <c r="AC686" i="8" s="1"/>
  <c r="Y686" i="8"/>
  <c r="X686" i="8"/>
  <c r="W686" i="8"/>
  <c r="V686" i="8"/>
  <c r="U686" i="8"/>
  <c r="T686" i="8"/>
  <c r="P686" i="8"/>
  <c r="Z686" i="8" s="1"/>
  <c r="N686" i="8"/>
  <c r="M686" i="8"/>
  <c r="K686" i="8"/>
  <c r="J686" i="8"/>
  <c r="I686" i="8"/>
  <c r="H686" i="8"/>
  <c r="G686" i="8"/>
  <c r="F686" i="8"/>
  <c r="E686" i="8"/>
  <c r="AB685" i="8"/>
  <c r="Y685" i="8"/>
  <c r="X685" i="8"/>
  <c r="W685" i="8"/>
  <c r="V685" i="8"/>
  <c r="U685" i="8"/>
  <c r="T685" i="8"/>
  <c r="P685" i="8"/>
  <c r="AA685" i="8" s="1"/>
  <c r="N685" i="8"/>
  <c r="M685" i="8"/>
  <c r="K685" i="8"/>
  <c r="J685" i="8"/>
  <c r="I685" i="8"/>
  <c r="H685" i="8"/>
  <c r="G685" i="8"/>
  <c r="F685" i="8"/>
  <c r="E685" i="8"/>
  <c r="AB684" i="8"/>
  <c r="AA684" i="8"/>
  <c r="AC684" i="8" s="1"/>
  <c r="Y684" i="8"/>
  <c r="X684" i="8"/>
  <c r="W684" i="8"/>
  <c r="V684" i="8"/>
  <c r="U684" i="8"/>
  <c r="T684" i="8"/>
  <c r="P684" i="8"/>
  <c r="Z684" i="8" s="1"/>
  <c r="N684" i="8"/>
  <c r="M684" i="8"/>
  <c r="K684" i="8"/>
  <c r="J684" i="8"/>
  <c r="I684" i="8"/>
  <c r="H684" i="8"/>
  <c r="G684" i="8"/>
  <c r="F684" i="8"/>
  <c r="E684" i="8"/>
  <c r="AB683" i="8"/>
  <c r="Y683" i="8"/>
  <c r="X683" i="8"/>
  <c r="W683" i="8"/>
  <c r="V683" i="8"/>
  <c r="U683" i="8"/>
  <c r="T683" i="8"/>
  <c r="P683" i="8"/>
  <c r="AA683" i="8" s="1"/>
  <c r="N683" i="8"/>
  <c r="M683" i="8"/>
  <c r="K683" i="8"/>
  <c r="J683" i="8"/>
  <c r="I683" i="8"/>
  <c r="H683" i="8"/>
  <c r="G683" i="8"/>
  <c r="F683" i="8"/>
  <c r="E683" i="8"/>
  <c r="AB682" i="8"/>
  <c r="Y682" i="8"/>
  <c r="X682" i="8"/>
  <c r="W682" i="8"/>
  <c r="V682" i="8"/>
  <c r="U682" i="8"/>
  <c r="T682" i="8"/>
  <c r="P682" i="8"/>
  <c r="N682" i="8"/>
  <c r="M682" i="8"/>
  <c r="K682" i="8"/>
  <c r="J682" i="8"/>
  <c r="I682" i="8"/>
  <c r="H682" i="8"/>
  <c r="G682" i="8"/>
  <c r="F682" i="8"/>
  <c r="E682" i="8"/>
  <c r="AB681" i="8"/>
  <c r="Y681" i="8"/>
  <c r="X681" i="8"/>
  <c r="W681" i="8"/>
  <c r="V681" i="8"/>
  <c r="U681" i="8"/>
  <c r="T681" i="8"/>
  <c r="P681" i="8"/>
  <c r="AA681" i="8" s="1"/>
  <c r="N681" i="8"/>
  <c r="M681" i="8"/>
  <c r="K681" i="8"/>
  <c r="J681" i="8"/>
  <c r="I681" i="8"/>
  <c r="H681" i="8"/>
  <c r="G681" i="8"/>
  <c r="F681" i="8"/>
  <c r="E681" i="8"/>
  <c r="AB680" i="8"/>
  <c r="Y680" i="8"/>
  <c r="X680" i="8"/>
  <c r="W680" i="8"/>
  <c r="V680" i="8"/>
  <c r="U680" i="8"/>
  <c r="T680" i="8"/>
  <c r="P680" i="8"/>
  <c r="Z680" i="8" s="1"/>
  <c r="N680" i="8"/>
  <c r="M680" i="8"/>
  <c r="K680" i="8"/>
  <c r="J680" i="8"/>
  <c r="I680" i="8"/>
  <c r="H680" i="8"/>
  <c r="G680" i="8"/>
  <c r="F680" i="8"/>
  <c r="E680" i="8"/>
  <c r="AB679" i="8"/>
  <c r="AA679" i="8"/>
  <c r="AC679" i="8" s="1"/>
  <c r="Y679" i="8"/>
  <c r="X679" i="8"/>
  <c r="W679" i="8"/>
  <c r="V679" i="8"/>
  <c r="U679" i="8"/>
  <c r="T679" i="8"/>
  <c r="P679" i="8"/>
  <c r="Z679" i="8" s="1"/>
  <c r="N679" i="8"/>
  <c r="M679" i="8"/>
  <c r="K679" i="8"/>
  <c r="J679" i="8"/>
  <c r="I679" i="8"/>
  <c r="H679" i="8"/>
  <c r="G679" i="8"/>
  <c r="F679" i="8"/>
  <c r="E679" i="8"/>
  <c r="AB678" i="8"/>
  <c r="AA678" i="8"/>
  <c r="AC678" i="8" s="1"/>
  <c r="Y678" i="8"/>
  <c r="X678" i="8"/>
  <c r="W678" i="8"/>
  <c r="V678" i="8"/>
  <c r="U678" i="8"/>
  <c r="T678" i="8"/>
  <c r="P678" i="8"/>
  <c r="Z678" i="8" s="1"/>
  <c r="N678" i="8"/>
  <c r="M678" i="8"/>
  <c r="K678" i="8"/>
  <c r="J678" i="8"/>
  <c r="I678" i="8"/>
  <c r="H678" i="8"/>
  <c r="G678" i="8"/>
  <c r="F678" i="8"/>
  <c r="E678" i="8"/>
  <c r="AB677" i="8"/>
  <c r="Y677" i="8"/>
  <c r="X677" i="8"/>
  <c r="W677" i="8"/>
  <c r="V677" i="8"/>
  <c r="U677" i="8"/>
  <c r="T677" i="8"/>
  <c r="P677" i="8"/>
  <c r="Z677" i="8" s="1"/>
  <c r="N677" i="8"/>
  <c r="M677" i="8"/>
  <c r="K677" i="8"/>
  <c r="J677" i="8"/>
  <c r="I677" i="8"/>
  <c r="H677" i="8"/>
  <c r="G677" i="8"/>
  <c r="F677" i="8"/>
  <c r="E677" i="8"/>
  <c r="AB676" i="8"/>
  <c r="Y676" i="8"/>
  <c r="X676" i="8"/>
  <c r="W676" i="8"/>
  <c r="V676" i="8"/>
  <c r="U676" i="8"/>
  <c r="T676" i="8"/>
  <c r="P676" i="8"/>
  <c r="Z676" i="8" s="1"/>
  <c r="N676" i="8"/>
  <c r="M676" i="8"/>
  <c r="K676" i="8"/>
  <c r="J676" i="8"/>
  <c r="I676" i="8"/>
  <c r="H676" i="8"/>
  <c r="G676" i="8"/>
  <c r="F676" i="8"/>
  <c r="E676" i="8"/>
  <c r="AB675" i="8"/>
  <c r="AA675" i="8"/>
  <c r="AC675" i="8" s="1"/>
  <c r="Y675" i="8"/>
  <c r="X675" i="8"/>
  <c r="W675" i="8"/>
  <c r="V675" i="8"/>
  <c r="U675" i="8"/>
  <c r="T675" i="8"/>
  <c r="P675" i="8"/>
  <c r="Z675" i="8" s="1"/>
  <c r="N675" i="8"/>
  <c r="M675" i="8"/>
  <c r="K675" i="8"/>
  <c r="J675" i="8"/>
  <c r="I675" i="8"/>
  <c r="H675" i="8"/>
  <c r="G675" i="8"/>
  <c r="F675" i="8"/>
  <c r="E675" i="8"/>
  <c r="AB674" i="8"/>
  <c r="AA674" i="8"/>
  <c r="AC674" i="8" s="1"/>
  <c r="Y674" i="8"/>
  <c r="X674" i="8"/>
  <c r="W674" i="8"/>
  <c r="V674" i="8"/>
  <c r="U674" i="8"/>
  <c r="T674" i="8"/>
  <c r="P674" i="8"/>
  <c r="Z674" i="8" s="1"/>
  <c r="N674" i="8"/>
  <c r="M674" i="8"/>
  <c r="K674" i="8"/>
  <c r="J674" i="8"/>
  <c r="I674" i="8"/>
  <c r="H674" i="8"/>
  <c r="G674" i="8"/>
  <c r="F674" i="8"/>
  <c r="E674" i="8"/>
  <c r="AB673" i="8"/>
  <c r="Y673" i="8"/>
  <c r="X673" i="8"/>
  <c r="W673" i="8"/>
  <c r="V673" i="8"/>
  <c r="U673" i="8"/>
  <c r="T673" i="8"/>
  <c r="P673" i="8"/>
  <c r="Z673" i="8" s="1"/>
  <c r="N673" i="8"/>
  <c r="M673" i="8"/>
  <c r="K673" i="8"/>
  <c r="J673" i="8"/>
  <c r="I673" i="8"/>
  <c r="H673" i="8"/>
  <c r="G673" i="8"/>
  <c r="F673" i="8"/>
  <c r="E673" i="8"/>
  <c r="AB672" i="8"/>
  <c r="Y672" i="8"/>
  <c r="X672" i="8"/>
  <c r="W672" i="8"/>
  <c r="V672" i="8"/>
  <c r="U672" i="8"/>
  <c r="T672" i="8"/>
  <c r="P672" i="8"/>
  <c r="Z672" i="8" s="1"/>
  <c r="N672" i="8"/>
  <c r="M672" i="8"/>
  <c r="K672" i="8"/>
  <c r="J672" i="8"/>
  <c r="I672" i="8"/>
  <c r="H672" i="8"/>
  <c r="G672" i="8"/>
  <c r="F672" i="8"/>
  <c r="E672" i="8"/>
  <c r="AB671" i="8"/>
  <c r="AA671" i="8"/>
  <c r="AC671" i="8" s="1"/>
  <c r="Y671" i="8"/>
  <c r="X671" i="8"/>
  <c r="W671" i="8"/>
  <c r="V671" i="8"/>
  <c r="U671" i="8"/>
  <c r="T671" i="8"/>
  <c r="P671" i="8"/>
  <c r="Z671" i="8" s="1"/>
  <c r="N671" i="8"/>
  <c r="M671" i="8"/>
  <c r="K671" i="8"/>
  <c r="J671" i="8"/>
  <c r="I671" i="8"/>
  <c r="H671" i="8"/>
  <c r="G671" i="8"/>
  <c r="F671" i="8"/>
  <c r="E671" i="8"/>
  <c r="AB670" i="8"/>
  <c r="AA670" i="8"/>
  <c r="AC670" i="8" s="1"/>
  <c r="Y670" i="8"/>
  <c r="X670" i="8"/>
  <c r="W670" i="8"/>
  <c r="V670" i="8"/>
  <c r="U670" i="8"/>
  <c r="T670" i="8"/>
  <c r="P670" i="8"/>
  <c r="Z670" i="8" s="1"/>
  <c r="N670" i="8"/>
  <c r="M670" i="8"/>
  <c r="K670" i="8"/>
  <c r="J670" i="8"/>
  <c r="I670" i="8"/>
  <c r="H670" i="8"/>
  <c r="G670" i="8"/>
  <c r="F670" i="8"/>
  <c r="E670" i="8"/>
  <c r="AB669" i="8"/>
  <c r="Y669" i="8"/>
  <c r="X669" i="8"/>
  <c r="W669" i="8"/>
  <c r="V669" i="8"/>
  <c r="U669" i="8"/>
  <c r="T669" i="8"/>
  <c r="P669" i="8"/>
  <c r="Z669" i="8" s="1"/>
  <c r="N669" i="8"/>
  <c r="M669" i="8"/>
  <c r="K669" i="8"/>
  <c r="J669" i="8"/>
  <c r="I669" i="8"/>
  <c r="H669" i="8"/>
  <c r="G669" i="8"/>
  <c r="F669" i="8"/>
  <c r="E669" i="8"/>
  <c r="AB668" i="8"/>
  <c r="Y668" i="8"/>
  <c r="X668" i="8"/>
  <c r="W668" i="8"/>
  <c r="V668" i="8"/>
  <c r="U668" i="8"/>
  <c r="T668" i="8"/>
  <c r="P668" i="8"/>
  <c r="Z668" i="8" s="1"/>
  <c r="N668" i="8"/>
  <c r="M668" i="8"/>
  <c r="K668" i="8"/>
  <c r="J668" i="8"/>
  <c r="I668" i="8"/>
  <c r="H668" i="8"/>
  <c r="G668" i="8"/>
  <c r="F668" i="8"/>
  <c r="E668" i="8"/>
  <c r="AB667" i="8"/>
  <c r="AA667" i="8"/>
  <c r="AC667" i="8" s="1"/>
  <c r="Y667" i="8"/>
  <c r="X667" i="8"/>
  <c r="W667" i="8"/>
  <c r="V667" i="8"/>
  <c r="U667" i="8"/>
  <c r="T667" i="8"/>
  <c r="P667" i="8"/>
  <c r="Z667" i="8" s="1"/>
  <c r="N667" i="8"/>
  <c r="M667" i="8"/>
  <c r="K667" i="8"/>
  <c r="J667" i="8"/>
  <c r="I667" i="8"/>
  <c r="H667" i="8"/>
  <c r="G667" i="8"/>
  <c r="F667" i="8"/>
  <c r="E667" i="8"/>
  <c r="AB666" i="8"/>
  <c r="AA666" i="8"/>
  <c r="AC666" i="8" s="1"/>
  <c r="Y666" i="8"/>
  <c r="X666" i="8"/>
  <c r="W666" i="8"/>
  <c r="V666" i="8"/>
  <c r="U666" i="8"/>
  <c r="T666" i="8"/>
  <c r="P666" i="8"/>
  <c r="Z666" i="8" s="1"/>
  <c r="N666" i="8"/>
  <c r="M666" i="8"/>
  <c r="K666" i="8"/>
  <c r="J666" i="8"/>
  <c r="I666" i="8"/>
  <c r="H666" i="8"/>
  <c r="G666" i="8"/>
  <c r="F666" i="8"/>
  <c r="E666" i="8"/>
  <c r="AB665" i="8"/>
  <c r="Y665" i="8"/>
  <c r="X665" i="8"/>
  <c r="W665" i="8"/>
  <c r="V665" i="8"/>
  <c r="U665" i="8"/>
  <c r="T665" i="8"/>
  <c r="P665" i="8"/>
  <c r="Z665" i="8" s="1"/>
  <c r="N665" i="8"/>
  <c r="M665" i="8"/>
  <c r="K665" i="8"/>
  <c r="J665" i="8"/>
  <c r="I665" i="8"/>
  <c r="H665" i="8"/>
  <c r="G665" i="8"/>
  <c r="F665" i="8"/>
  <c r="E665" i="8"/>
  <c r="AB664" i="8"/>
  <c r="Y664" i="8"/>
  <c r="X664" i="8"/>
  <c r="W664" i="8"/>
  <c r="V664" i="8"/>
  <c r="U664" i="8"/>
  <c r="T664" i="8"/>
  <c r="P664" i="8"/>
  <c r="Z664" i="8" s="1"/>
  <c r="N664" i="8"/>
  <c r="M664" i="8"/>
  <c r="K664" i="8"/>
  <c r="J664" i="8"/>
  <c r="I664" i="8"/>
  <c r="H664" i="8"/>
  <c r="G664" i="8"/>
  <c r="F664" i="8"/>
  <c r="E664" i="8"/>
  <c r="AB663" i="8"/>
  <c r="Y663" i="8"/>
  <c r="X663" i="8"/>
  <c r="W663" i="8"/>
  <c r="V663" i="8"/>
  <c r="U663" i="8"/>
  <c r="T663" i="8"/>
  <c r="P663" i="8"/>
  <c r="Z663" i="8" s="1"/>
  <c r="N663" i="8"/>
  <c r="M663" i="8"/>
  <c r="K663" i="8"/>
  <c r="J663" i="8"/>
  <c r="I663" i="8"/>
  <c r="H663" i="8"/>
  <c r="G663" i="8"/>
  <c r="F663" i="8"/>
  <c r="E663" i="8"/>
  <c r="AB662" i="8"/>
  <c r="AA662" i="8"/>
  <c r="AC662" i="8" s="1"/>
  <c r="Y662" i="8"/>
  <c r="X662" i="8"/>
  <c r="W662" i="8"/>
  <c r="V662" i="8"/>
  <c r="U662" i="8"/>
  <c r="T662" i="8"/>
  <c r="P662" i="8"/>
  <c r="Z662" i="8" s="1"/>
  <c r="N662" i="8"/>
  <c r="M662" i="8"/>
  <c r="K662" i="8"/>
  <c r="J662" i="8"/>
  <c r="I662" i="8"/>
  <c r="H662" i="8"/>
  <c r="G662" i="8"/>
  <c r="F662" i="8"/>
  <c r="E662" i="8"/>
  <c r="AB661" i="8"/>
  <c r="Y661" i="8"/>
  <c r="X661" i="8"/>
  <c r="W661" i="8"/>
  <c r="V661" i="8"/>
  <c r="U661" i="8"/>
  <c r="T661" i="8"/>
  <c r="P661" i="8"/>
  <c r="Z661" i="8" s="1"/>
  <c r="N661" i="8"/>
  <c r="M661" i="8"/>
  <c r="K661" i="8"/>
  <c r="J661" i="8"/>
  <c r="I661" i="8"/>
  <c r="H661" i="8"/>
  <c r="G661" i="8"/>
  <c r="F661" i="8"/>
  <c r="E661" i="8"/>
  <c r="AB660" i="8"/>
  <c r="Y660" i="8"/>
  <c r="X660" i="8"/>
  <c r="W660" i="8"/>
  <c r="V660" i="8"/>
  <c r="U660" i="8"/>
  <c r="T660" i="8"/>
  <c r="P660" i="8"/>
  <c r="Z660" i="8" s="1"/>
  <c r="N660" i="8"/>
  <c r="M660" i="8"/>
  <c r="K660" i="8"/>
  <c r="J660" i="8"/>
  <c r="I660" i="8"/>
  <c r="H660" i="8"/>
  <c r="G660" i="8"/>
  <c r="F660" i="8"/>
  <c r="E660" i="8"/>
  <c r="AB659" i="8"/>
  <c r="Y659" i="8"/>
  <c r="X659" i="8"/>
  <c r="W659" i="8"/>
  <c r="V659" i="8"/>
  <c r="U659" i="8"/>
  <c r="T659" i="8"/>
  <c r="P659" i="8"/>
  <c r="Z659" i="8" s="1"/>
  <c r="N659" i="8"/>
  <c r="M659" i="8"/>
  <c r="K659" i="8"/>
  <c r="J659" i="8"/>
  <c r="I659" i="8"/>
  <c r="H659" i="8"/>
  <c r="G659" i="8"/>
  <c r="F659" i="8"/>
  <c r="E659" i="8"/>
  <c r="AB658" i="8"/>
  <c r="AA658" i="8"/>
  <c r="AC658" i="8" s="1"/>
  <c r="Y658" i="8"/>
  <c r="X658" i="8"/>
  <c r="W658" i="8"/>
  <c r="V658" i="8"/>
  <c r="U658" i="8"/>
  <c r="T658" i="8"/>
  <c r="P658" i="8"/>
  <c r="Z658" i="8" s="1"/>
  <c r="N658" i="8"/>
  <c r="M658" i="8"/>
  <c r="K658" i="8"/>
  <c r="J658" i="8"/>
  <c r="I658" i="8"/>
  <c r="H658" i="8"/>
  <c r="G658" i="8"/>
  <c r="F658" i="8"/>
  <c r="E658" i="8"/>
  <c r="AB657" i="8"/>
  <c r="Y657" i="8"/>
  <c r="X657" i="8"/>
  <c r="W657" i="8"/>
  <c r="V657" i="8"/>
  <c r="U657" i="8"/>
  <c r="T657" i="8"/>
  <c r="P657" i="8"/>
  <c r="Z657" i="8" s="1"/>
  <c r="N657" i="8"/>
  <c r="M657" i="8"/>
  <c r="K657" i="8"/>
  <c r="J657" i="8"/>
  <c r="I657" i="8"/>
  <c r="H657" i="8"/>
  <c r="G657" i="8"/>
  <c r="F657" i="8"/>
  <c r="E657" i="8"/>
  <c r="AB656" i="8"/>
  <c r="Y656" i="8"/>
  <c r="X656" i="8"/>
  <c r="W656" i="8"/>
  <c r="V656" i="8"/>
  <c r="U656" i="8"/>
  <c r="T656" i="8"/>
  <c r="P656" i="8"/>
  <c r="Z656" i="8" s="1"/>
  <c r="N656" i="8"/>
  <c r="M656" i="8"/>
  <c r="K656" i="8"/>
  <c r="J656" i="8"/>
  <c r="I656" i="8"/>
  <c r="H656" i="8"/>
  <c r="G656" i="8"/>
  <c r="F656" i="8"/>
  <c r="E656" i="8"/>
  <c r="AB655" i="8"/>
  <c r="AA655" i="8"/>
  <c r="AC655" i="8" s="1"/>
  <c r="Y655" i="8"/>
  <c r="X655" i="8"/>
  <c r="W655" i="8"/>
  <c r="V655" i="8"/>
  <c r="U655" i="8"/>
  <c r="T655" i="8"/>
  <c r="P655" i="8"/>
  <c r="Z655" i="8" s="1"/>
  <c r="N655" i="8"/>
  <c r="M655" i="8"/>
  <c r="K655" i="8"/>
  <c r="J655" i="8"/>
  <c r="I655" i="8"/>
  <c r="H655" i="8"/>
  <c r="G655" i="8"/>
  <c r="F655" i="8"/>
  <c r="E655" i="8"/>
  <c r="AB654" i="8"/>
  <c r="Y654" i="8"/>
  <c r="X654" i="8"/>
  <c r="W654" i="8"/>
  <c r="V654" i="8"/>
  <c r="U654" i="8"/>
  <c r="T654" i="8"/>
  <c r="P654" i="8"/>
  <c r="N654" i="8"/>
  <c r="M654" i="8"/>
  <c r="K654" i="8"/>
  <c r="J654" i="8"/>
  <c r="I654" i="8"/>
  <c r="H654" i="8"/>
  <c r="G654" i="8"/>
  <c r="F654" i="8"/>
  <c r="E654" i="8"/>
  <c r="AB653" i="8"/>
  <c r="Y653" i="8"/>
  <c r="X653" i="8"/>
  <c r="W653" i="8"/>
  <c r="V653" i="8"/>
  <c r="U653" i="8"/>
  <c r="T653" i="8"/>
  <c r="P653" i="8"/>
  <c r="Z653" i="8" s="1"/>
  <c r="N653" i="8"/>
  <c r="M653" i="8"/>
  <c r="K653" i="8"/>
  <c r="J653" i="8"/>
  <c r="I653" i="8"/>
  <c r="H653" i="8"/>
  <c r="G653" i="8"/>
  <c r="F653" i="8"/>
  <c r="E653" i="8"/>
  <c r="AB652" i="8"/>
  <c r="Y652" i="8"/>
  <c r="X652" i="8"/>
  <c r="W652" i="8"/>
  <c r="V652" i="8"/>
  <c r="U652" i="8"/>
  <c r="T652" i="8"/>
  <c r="P652" i="8"/>
  <c r="Z652" i="8" s="1"/>
  <c r="N652" i="8"/>
  <c r="M652" i="8"/>
  <c r="K652" i="8"/>
  <c r="J652" i="8"/>
  <c r="I652" i="8"/>
  <c r="H652" i="8"/>
  <c r="G652" i="8"/>
  <c r="F652" i="8"/>
  <c r="E652" i="8"/>
  <c r="AB651" i="8"/>
  <c r="Y651" i="8"/>
  <c r="X651" i="8"/>
  <c r="W651" i="8"/>
  <c r="V651" i="8"/>
  <c r="U651" i="8"/>
  <c r="T651" i="8"/>
  <c r="P651" i="8"/>
  <c r="N651" i="8"/>
  <c r="M651" i="8"/>
  <c r="K651" i="8"/>
  <c r="J651" i="8"/>
  <c r="I651" i="8"/>
  <c r="H651" i="8"/>
  <c r="G651" i="8"/>
  <c r="F651" i="8"/>
  <c r="E651" i="8"/>
  <c r="AB650" i="8"/>
  <c r="Y650" i="8"/>
  <c r="X650" i="8"/>
  <c r="W650" i="8"/>
  <c r="V650" i="8"/>
  <c r="U650" i="8"/>
  <c r="T650" i="8"/>
  <c r="P650" i="8"/>
  <c r="Z650" i="8" s="1"/>
  <c r="N650" i="8"/>
  <c r="M650" i="8"/>
  <c r="K650" i="8"/>
  <c r="J650" i="8"/>
  <c r="I650" i="8"/>
  <c r="H650" i="8"/>
  <c r="G650" i="8"/>
  <c r="F650" i="8"/>
  <c r="E650" i="8"/>
  <c r="AB649" i="8"/>
  <c r="AA649" i="8"/>
  <c r="Y649" i="8"/>
  <c r="X649" i="8"/>
  <c r="W649" i="8"/>
  <c r="V649" i="8"/>
  <c r="U649" i="8"/>
  <c r="T649" i="8"/>
  <c r="P649" i="8"/>
  <c r="Z649" i="8" s="1"/>
  <c r="N649" i="8"/>
  <c r="M649" i="8"/>
  <c r="K649" i="8"/>
  <c r="J649" i="8"/>
  <c r="I649" i="8"/>
  <c r="H649" i="8"/>
  <c r="G649" i="8"/>
  <c r="F649" i="8"/>
  <c r="E649" i="8"/>
  <c r="AB648" i="8"/>
  <c r="Y648" i="8"/>
  <c r="X648" i="8"/>
  <c r="W648" i="8"/>
  <c r="V648" i="8"/>
  <c r="U648" i="8"/>
  <c r="T648" i="8"/>
  <c r="P648" i="8"/>
  <c r="Z648" i="8" s="1"/>
  <c r="N648" i="8"/>
  <c r="M648" i="8"/>
  <c r="K648" i="8"/>
  <c r="J648" i="8"/>
  <c r="I648" i="8"/>
  <c r="H648" i="8"/>
  <c r="G648" i="8"/>
  <c r="F648" i="8"/>
  <c r="E648" i="8"/>
  <c r="AB647" i="8"/>
  <c r="Y647" i="8"/>
  <c r="X647" i="8"/>
  <c r="W647" i="8"/>
  <c r="V647" i="8"/>
  <c r="U647" i="8"/>
  <c r="T647" i="8"/>
  <c r="P647" i="8"/>
  <c r="Z647" i="8" s="1"/>
  <c r="N647" i="8"/>
  <c r="M647" i="8"/>
  <c r="K647" i="8"/>
  <c r="J647" i="8"/>
  <c r="I647" i="8"/>
  <c r="H647" i="8"/>
  <c r="G647" i="8"/>
  <c r="F647" i="8"/>
  <c r="E647" i="8"/>
  <c r="AB646" i="8"/>
  <c r="AA646" i="8"/>
  <c r="AC646" i="8" s="1"/>
  <c r="Y646" i="8"/>
  <c r="X646" i="8"/>
  <c r="W646" i="8"/>
  <c r="V646" i="8"/>
  <c r="U646" i="8"/>
  <c r="T646" i="8"/>
  <c r="P646" i="8"/>
  <c r="Z646" i="8" s="1"/>
  <c r="N646" i="8"/>
  <c r="M646" i="8"/>
  <c r="K646" i="8"/>
  <c r="J646" i="8"/>
  <c r="I646" i="8"/>
  <c r="H646" i="8"/>
  <c r="G646" i="8"/>
  <c r="F646" i="8"/>
  <c r="E646" i="8"/>
  <c r="AC645" i="8"/>
  <c r="AB645" i="8"/>
  <c r="AA645" i="8"/>
  <c r="Y645" i="8"/>
  <c r="X645" i="8"/>
  <c r="W645" i="8"/>
  <c r="V645" i="8"/>
  <c r="U645" i="8"/>
  <c r="T645" i="8"/>
  <c r="P645" i="8"/>
  <c r="Z645" i="8" s="1"/>
  <c r="N645" i="8"/>
  <c r="M645" i="8"/>
  <c r="K645" i="8"/>
  <c r="J645" i="8"/>
  <c r="I645" i="8"/>
  <c r="H645" i="8"/>
  <c r="G645" i="8"/>
  <c r="F645" i="8"/>
  <c r="E645" i="8"/>
  <c r="AB644" i="8"/>
  <c r="Y644" i="8"/>
  <c r="X644" i="8"/>
  <c r="W644" i="8"/>
  <c r="V644" i="8"/>
  <c r="U644" i="8"/>
  <c r="T644" i="8"/>
  <c r="P644" i="8"/>
  <c r="Z644" i="8" s="1"/>
  <c r="N644" i="8"/>
  <c r="M644" i="8"/>
  <c r="K644" i="8"/>
  <c r="J644" i="8"/>
  <c r="I644" i="8"/>
  <c r="H644" i="8"/>
  <c r="G644" i="8"/>
  <c r="F644" i="8"/>
  <c r="E644" i="8"/>
  <c r="AB643" i="8"/>
  <c r="Y643" i="8"/>
  <c r="X643" i="8"/>
  <c r="W643" i="8"/>
  <c r="V643" i="8"/>
  <c r="U643" i="8"/>
  <c r="T643" i="8"/>
  <c r="P643" i="8"/>
  <c r="N643" i="8"/>
  <c r="M643" i="8"/>
  <c r="K643" i="8"/>
  <c r="J643" i="8"/>
  <c r="I643" i="8"/>
  <c r="H643" i="8"/>
  <c r="G643" i="8"/>
  <c r="F643" i="8"/>
  <c r="E643" i="8"/>
  <c r="AB642" i="8"/>
  <c r="AA642" i="8"/>
  <c r="AC642" i="8" s="1"/>
  <c r="Y642" i="8"/>
  <c r="X642" i="8"/>
  <c r="W642" i="8"/>
  <c r="V642" i="8"/>
  <c r="U642" i="8"/>
  <c r="T642" i="8"/>
  <c r="P642" i="8"/>
  <c r="Z642" i="8" s="1"/>
  <c r="N642" i="8"/>
  <c r="M642" i="8"/>
  <c r="K642" i="8"/>
  <c r="J642" i="8"/>
  <c r="I642" i="8"/>
  <c r="H642" i="8"/>
  <c r="G642" i="8"/>
  <c r="F642" i="8"/>
  <c r="E642" i="8"/>
  <c r="AB641" i="8"/>
  <c r="AA641" i="8"/>
  <c r="Y641" i="8"/>
  <c r="X641" i="8"/>
  <c r="W641" i="8"/>
  <c r="V641" i="8"/>
  <c r="U641" i="8"/>
  <c r="T641" i="8"/>
  <c r="P641" i="8"/>
  <c r="Z641" i="8" s="1"/>
  <c r="N641" i="8"/>
  <c r="M641" i="8"/>
  <c r="K641" i="8"/>
  <c r="J641" i="8"/>
  <c r="I641" i="8"/>
  <c r="H641" i="8"/>
  <c r="G641" i="8"/>
  <c r="F641" i="8"/>
  <c r="E641" i="8"/>
  <c r="AB640" i="8"/>
  <c r="Y640" i="8"/>
  <c r="X640" i="8"/>
  <c r="W640" i="8"/>
  <c r="V640" i="8"/>
  <c r="U640" i="8"/>
  <c r="T640" i="8"/>
  <c r="P640" i="8"/>
  <c r="Z640" i="8" s="1"/>
  <c r="N640" i="8"/>
  <c r="M640" i="8"/>
  <c r="K640" i="8"/>
  <c r="J640" i="8"/>
  <c r="I640" i="8"/>
  <c r="H640" i="8"/>
  <c r="G640" i="8"/>
  <c r="F640" i="8"/>
  <c r="E640" i="8"/>
  <c r="AB639" i="8"/>
  <c r="Y639" i="8"/>
  <c r="X639" i="8"/>
  <c r="W639" i="8"/>
  <c r="V639" i="8"/>
  <c r="U639" i="8"/>
  <c r="T639" i="8"/>
  <c r="P639" i="8"/>
  <c r="Z639" i="8" s="1"/>
  <c r="N639" i="8"/>
  <c r="M639" i="8"/>
  <c r="K639" i="8"/>
  <c r="J639" i="8"/>
  <c r="I639" i="8"/>
  <c r="H639" i="8"/>
  <c r="G639" i="8"/>
  <c r="F639" i="8"/>
  <c r="E639" i="8"/>
  <c r="AB638" i="8"/>
  <c r="AA638" i="8"/>
  <c r="AC638" i="8" s="1"/>
  <c r="Y638" i="8"/>
  <c r="X638" i="8"/>
  <c r="W638" i="8"/>
  <c r="V638" i="8"/>
  <c r="U638" i="8"/>
  <c r="T638" i="8"/>
  <c r="P638" i="8"/>
  <c r="Z638" i="8" s="1"/>
  <c r="N638" i="8"/>
  <c r="M638" i="8"/>
  <c r="K638" i="8"/>
  <c r="J638" i="8"/>
  <c r="I638" i="8"/>
  <c r="H638" i="8"/>
  <c r="G638" i="8"/>
  <c r="F638" i="8"/>
  <c r="E638" i="8"/>
  <c r="AB637" i="8"/>
  <c r="AA637" i="8"/>
  <c r="Y637" i="8"/>
  <c r="AC637" i="8" s="1"/>
  <c r="X637" i="8"/>
  <c r="W637" i="8"/>
  <c r="V637" i="8"/>
  <c r="U637" i="8"/>
  <c r="T637" i="8"/>
  <c r="P637" i="8"/>
  <c r="Z637" i="8" s="1"/>
  <c r="N637" i="8"/>
  <c r="M637" i="8"/>
  <c r="K637" i="8"/>
  <c r="J637" i="8"/>
  <c r="I637" i="8"/>
  <c r="H637" i="8"/>
  <c r="G637" i="8"/>
  <c r="F637" i="8"/>
  <c r="E637" i="8"/>
  <c r="AB636" i="8"/>
  <c r="Y636" i="8"/>
  <c r="X636" i="8"/>
  <c r="W636" i="8"/>
  <c r="V636" i="8"/>
  <c r="U636" i="8"/>
  <c r="T636" i="8"/>
  <c r="P636" i="8"/>
  <c r="Z636" i="8" s="1"/>
  <c r="N636" i="8"/>
  <c r="M636" i="8"/>
  <c r="K636" i="8"/>
  <c r="J636" i="8"/>
  <c r="I636" i="8"/>
  <c r="H636" i="8"/>
  <c r="G636" i="8"/>
  <c r="F636" i="8"/>
  <c r="E636" i="8"/>
  <c r="AB635" i="8"/>
  <c r="Y635" i="8"/>
  <c r="X635" i="8"/>
  <c r="W635" i="8"/>
  <c r="V635" i="8"/>
  <c r="U635" i="8"/>
  <c r="T635" i="8"/>
  <c r="P635" i="8"/>
  <c r="N635" i="8"/>
  <c r="M635" i="8"/>
  <c r="K635" i="8"/>
  <c r="J635" i="8"/>
  <c r="I635" i="8"/>
  <c r="H635" i="8"/>
  <c r="G635" i="8"/>
  <c r="F635" i="8"/>
  <c r="E635" i="8"/>
  <c r="AB634" i="8"/>
  <c r="Y634" i="8"/>
  <c r="X634" i="8"/>
  <c r="W634" i="8"/>
  <c r="V634" i="8"/>
  <c r="U634" i="8"/>
  <c r="T634" i="8"/>
  <c r="P634" i="8"/>
  <c r="Z634" i="8" s="1"/>
  <c r="N634" i="8"/>
  <c r="AA634" i="8" s="1"/>
  <c r="AC634" i="8" s="1"/>
  <c r="M634" i="8"/>
  <c r="K634" i="8"/>
  <c r="J634" i="8"/>
  <c r="I634" i="8"/>
  <c r="H634" i="8"/>
  <c r="G634" i="8"/>
  <c r="F634" i="8"/>
  <c r="E634" i="8"/>
  <c r="AB633" i="8"/>
  <c r="Z633" i="8"/>
  <c r="Y633" i="8"/>
  <c r="X633" i="8"/>
  <c r="W633" i="8"/>
  <c r="V633" i="8"/>
  <c r="U633" i="8"/>
  <c r="T633" i="8"/>
  <c r="P633" i="8"/>
  <c r="N633" i="8"/>
  <c r="AA633" i="8" s="1"/>
  <c r="AC633" i="8" s="1"/>
  <c r="M633" i="8"/>
  <c r="K633" i="8"/>
  <c r="J633" i="8"/>
  <c r="I633" i="8"/>
  <c r="H633" i="8"/>
  <c r="G633" i="8"/>
  <c r="F633" i="8"/>
  <c r="E633" i="8"/>
  <c r="AB632" i="8"/>
  <c r="Z632" i="8"/>
  <c r="Y632" i="8"/>
  <c r="X632" i="8"/>
  <c r="W632" i="8"/>
  <c r="V632" i="8"/>
  <c r="U632" i="8"/>
  <c r="T632" i="8"/>
  <c r="P632" i="8"/>
  <c r="N632" i="8"/>
  <c r="AA632" i="8" s="1"/>
  <c r="AC632" i="8" s="1"/>
  <c r="M632" i="8"/>
  <c r="K632" i="8"/>
  <c r="J632" i="8"/>
  <c r="I632" i="8"/>
  <c r="H632" i="8"/>
  <c r="G632" i="8"/>
  <c r="F632" i="8"/>
  <c r="E632" i="8"/>
  <c r="AB631" i="8"/>
  <c r="Z631" i="8"/>
  <c r="Y631" i="8"/>
  <c r="X631" i="8"/>
  <c r="W631" i="8"/>
  <c r="V631" i="8"/>
  <c r="U631" i="8"/>
  <c r="T631" i="8"/>
  <c r="P631" i="8"/>
  <c r="N631" i="8"/>
  <c r="AA631" i="8" s="1"/>
  <c r="AC631" i="8" s="1"/>
  <c r="M631" i="8"/>
  <c r="K631" i="8"/>
  <c r="J631" i="8"/>
  <c r="I631" i="8"/>
  <c r="H631" i="8"/>
  <c r="G631" i="8"/>
  <c r="F631" i="8"/>
  <c r="E631" i="8"/>
  <c r="AB630" i="8"/>
  <c r="Z630" i="8"/>
  <c r="Y630" i="8"/>
  <c r="X630" i="8"/>
  <c r="W630" i="8"/>
  <c r="V630" i="8"/>
  <c r="U630" i="8"/>
  <c r="T630" i="8"/>
  <c r="P630" i="8"/>
  <c r="N630" i="8"/>
  <c r="AA630" i="8" s="1"/>
  <c r="AC630" i="8" s="1"/>
  <c r="M630" i="8"/>
  <c r="K630" i="8"/>
  <c r="J630" i="8"/>
  <c r="I630" i="8"/>
  <c r="H630" i="8"/>
  <c r="G630" i="8"/>
  <c r="F630" i="8"/>
  <c r="E630" i="8"/>
  <c r="AB629" i="8"/>
  <c r="Z629" i="8"/>
  <c r="Y629" i="8"/>
  <c r="X629" i="8"/>
  <c r="W629" i="8"/>
  <c r="V629" i="8"/>
  <c r="U629" i="8"/>
  <c r="T629" i="8"/>
  <c r="P629" i="8"/>
  <c r="N629" i="8"/>
  <c r="AA629" i="8" s="1"/>
  <c r="AC629" i="8" s="1"/>
  <c r="M629" i="8"/>
  <c r="K629" i="8"/>
  <c r="J629" i="8"/>
  <c r="I629" i="8"/>
  <c r="H629" i="8"/>
  <c r="G629" i="8"/>
  <c r="F629" i="8"/>
  <c r="E629" i="8"/>
  <c r="AB628" i="8"/>
  <c r="Z628" i="8"/>
  <c r="Y628" i="8"/>
  <c r="X628" i="8"/>
  <c r="W628" i="8"/>
  <c r="V628" i="8"/>
  <c r="U628" i="8"/>
  <c r="T628" i="8"/>
  <c r="P628" i="8"/>
  <c r="N628" i="8"/>
  <c r="AA628" i="8" s="1"/>
  <c r="AC628" i="8" s="1"/>
  <c r="M628" i="8"/>
  <c r="K628" i="8"/>
  <c r="J628" i="8"/>
  <c r="I628" i="8"/>
  <c r="H628" i="8"/>
  <c r="G628" i="8"/>
  <c r="F628" i="8"/>
  <c r="E628" i="8"/>
  <c r="AB627" i="8"/>
  <c r="Z627" i="8"/>
  <c r="Y627" i="8"/>
  <c r="X627" i="8"/>
  <c r="W627" i="8"/>
  <c r="V627" i="8"/>
  <c r="U627" i="8"/>
  <c r="T627" i="8"/>
  <c r="P627" i="8"/>
  <c r="N627" i="8"/>
  <c r="AA627" i="8" s="1"/>
  <c r="AC627" i="8" s="1"/>
  <c r="M627" i="8"/>
  <c r="K627" i="8"/>
  <c r="J627" i="8"/>
  <c r="I627" i="8"/>
  <c r="H627" i="8"/>
  <c r="G627" i="8"/>
  <c r="F627" i="8"/>
  <c r="E627" i="8"/>
  <c r="AB626" i="8"/>
  <c r="Z626" i="8"/>
  <c r="Y626" i="8"/>
  <c r="X626" i="8"/>
  <c r="W626" i="8"/>
  <c r="V626" i="8"/>
  <c r="U626" i="8"/>
  <c r="T626" i="8"/>
  <c r="P626" i="8"/>
  <c r="N626" i="8"/>
  <c r="AA626" i="8" s="1"/>
  <c r="AC626" i="8" s="1"/>
  <c r="M626" i="8"/>
  <c r="K626" i="8"/>
  <c r="J626" i="8"/>
  <c r="I626" i="8"/>
  <c r="H626" i="8"/>
  <c r="G626" i="8"/>
  <c r="F626" i="8"/>
  <c r="E626" i="8"/>
  <c r="AB625" i="8"/>
  <c r="Z625" i="8"/>
  <c r="Y625" i="8"/>
  <c r="X625" i="8"/>
  <c r="W625" i="8"/>
  <c r="V625" i="8"/>
  <c r="U625" i="8"/>
  <c r="T625" i="8"/>
  <c r="P625" i="8"/>
  <c r="N625" i="8"/>
  <c r="AA625" i="8" s="1"/>
  <c r="AC625" i="8" s="1"/>
  <c r="M625" i="8"/>
  <c r="K625" i="8"/>
  <c r="J625" i="8"/>
  <c r="I625" i="8"/>
  <c r="H625" i="8"/>
  <c r="G625" i="8"/>
  <c r="F625" i="8"/>
  <c r="E625" i="8"/>
  <c r="AB624" i="8"/>
  <c r="Z624" i="8"/>
  <c r="Y624" i="8"/>
  <c r="X624" i="8"/>
  <c r="W624" i="8"/>
  <c r="V624" i="8"/>
  <c r="U624" i="8"/>
  <c r="T624" i="8"/>
  <c r="P624" i="8"/>
  <c r="N624" i="8"/>
  <c r="AA624" i="8" s="1"/>
  <c r="AC624" i="8" s="1"/>
  <c r="M624" i="8"/>
  <c r="K624" i="8"/>
  <c r="J624" i="8"/>
  <c r="I624" i="8"/>
  <c r="H624" i="8"/>
  <c r="G624" i="8"/>
  <c r="F624" i="8"/>
  <c r="E624" i="8"/>
  <c r="AB623" i="8"/>
  <c r="Z623" i="8"/>
  <c r="Y623" i="8"/>
  <c r="X623" i="8"/>
  <c r="W623" i="8"/>
  <c r="V623" i="8"/>
  <c r="U623" i="8"/>
  <c r="T623" i="8"/>
  <c r="P623" i="8"/>
  <c r="N623" i="8"/>
  <c r="AA623" i="8" s="1"/>
  <c r="AC623" i="8" s="1"/>
  <c r="M623" i="8"/>
  <c r="K623" i="8"/>
  <c r="J623" i="8"/>
  <c r="I623" i="8"/>
  <c r="H623" i="8"/>
  <c r="G623" i="8"/>
  <c r="F623" i="8"/>
  <c r="E623" i="8"/>
  <c r="AB622" i="8"/>
  <c r="Z622" i="8"/>
  <c r="Y622" i="8"/>
  <c r="X622" i="8"/>
  <c r="W622" i="8"/>
  <c r="V622" i="8"/>
  <c r="U622" i="8"/>
  <c r="T622" i="8"/>
  <c r="P622" i="8"/>
  <c r="N622" i="8"/>
  <c r="AA622" i="8" s="1"/>
  <c r="AC622" i="8" s="1"/>
  <c r="M622" i="8"/>
  <c r="K622" i="8"/>
  <c r="J622" i="8"/>
  <c r="I622" i="8"/>
  <c r="H622" i="8"/>
  <c r="G622" i="8"/>
  <c r="F622" i="8"/>
  <c r="E622" i="8"/>
  <c r="AB621" i="8"/>
  <c r="Z621" i="8"/>
  <c r="Y621" i="8"/>
  <c r="X621" i="8"/>
  <c r="W621" i="8"/>
  <c r="V621" i="8"/>
  <c r="U621" i="8"/>
  <c r="T621" i="8"/>
  <c r="P621" i="8"/>
  <c r="N621" i="8"/>
  <c r="AA621" i="8" s="1"/>
  <c r="AC621" i="8" s="1"/>
  <c r="M621" i="8"/>
  <c r="K621" i="8"/>
  <c r="J621" i="8"/>
  <c r="I621" i="8"/>
  <c r="H621" i="8"/>
  <c r="G621" i="8"/>
  <c r="F621" i="8"/>
  <c r="E621" i="8"/>
  <c r="AB620" i="8"/>
  <c r="Z620" i="8"/>
  <c r="Y620" i="8"/>
  <c r="X620" i="8"/>
  <c r="W620" i="8"/>
  <c r="V620" i="8"/>
  <c r="U620" i="8"/>
  <c r="T620" i="8"/>
  <c r="P620" i="8"/>
  <c r="N620" i="8"/>
  <c r="AA620" i="8" s="1"/>
  <c r="AC620" i="8" s="1"/>
  <c r="M620" i="8"/>
  <c r="K620" i="8"/>
  <c r="J620" i="8"/>
  <c r="I620" i="8"/>
  <c r="H620" i="8"/>
  <c r="G620" i="8"/>
  <c r="F620" i="8"/>
  <c r="E620" i="8"/>
  <c r="AB619" i="8"/>
  <c r="Y619" i="8"/>
  <c r="X619" i="8"/>
  <c r="W619" i="8"/>
  <c r="V619" i="8"/>
  <c r="U619" i="8"/>
  <c r="T619" i="8"/>
  <c r="P619" i="8"/>
  <c r="AA619" i="8" s="1"/>
  <c r="N619" i="8"/>
  <c r="M619" i="8"/>
  <c r="K619" i="8"/>
  <c r="J619" i="8"/>
  <c r="I619" i="8"/>
  <c r="H619" i="8"/>
  <c r="G619" i="8"/>
  <c r="F619" i="8"/>
  <c r="E619" i="8"/>
  <c r="AB618" i="8"/>
  <c r="Z618" i="8"/>
  <c r="Y618" i="8"/>
  <c r="X618" i="8"/>
  <c r="W618" i="8"/>
  <c r="V618" i="8"/>
  <c r="U618" i="8"/>
  <c r="T618" i="8"/>
  <c r="P618" i="8"/>
  <c r="N618" i="8"/>
  <c r="AA618" i="8" s="1"/>
  <c r="AC618" i="8" s="1"/>
  <c r="M618" i="8"/>
  <c r="K618" i="8"/>
  <c r="J618" i="8"/>
  <c r="I618" i="8"/>
  <c r="H618" i="8"/>
  <c r="G618" i="8"/>
  <c r="F618" i="8"/>
  <c r="E618" i="8"/>
  <c r="AB617" i="8"/>
  <c r="Y617" i="8"/>
  <c r="X617" i="8"/>
  <c r="W617" i="8"/>
  <c r="V617" i="8"/>
  <c r="U617" i="8"/>
  <c r="T617" i="8"/>
  <c r="P617" i="8"/>
  <c r="Z617" i="8" s="1"/>
  <c r="N617" i="8"/>
  <c r="M617" i="8"/>
  <c r="K617" i="8"/>
  <c r="J617" i="8"/>
  <c r="I617" i="8"/>
  <c r="H617" i="8"/>
  <c r="G617" i="8"/>
  <c r="F617" i="8"/>
  <c r="E617" i="8"/>
  <c r="AB616" i="8"/>
  <c r="Z616" i="8"/>
  <c r="Y616" i="8"/>
  <c r="X616" i="8"/>
  <c r="W616" i="8"/>
  <c r="V616" i="8"/>
  <c r="U616" i="8"/>
  <c r="T616" i="8"/>
  <c r="P616" i="8"/>
  <c r="N616" i="8"/>
  <c r="AA616" i="8" s="1"/>
  <c r="AC616" i="8" s="1"/>
  <c r="M616" i="8"/>
  <c r="K616" i="8"/>
  <c r="J616" i="8"/>
  <c r="I616" i="8"/>
  <c r="H616" i="8"/>
  <c r="G616" i="8"/>
  <c r="F616" i="8"/>
  <c r="E616" i="8"/>
  <c r="AB615" i="8"/>
  <c r="Y615" i="8"/>
  <c r="X615" i="8"/>
  <c r="W615" i="8"/>
  <c r="V615" i="8"/>
  <c r="U615" i="8"/>
  <c r="T615" i="8"/>
  <c r="P615" i="8"/>
  <c r="AA615" i="8" s="1"/>
  <c r="N615" i="8"/>
  <c r="M615" i="8"/>
  <c r="K615" i="8"/>
  <c r="J615" i="8"/>
  <c r="I615" i="8"/>
  <c r="H615" i="8"/>
  <c r="G615" i="8"/>
  <c r="F615" i="8"/>
  <c r="E615" i="8"/>
  <c r="AB614" i="8"/>
  <c r="Z614" i="8"/>
  <c r="Y614" i="8"/>
  <c r="X614" i="8"/>
  <c r="W614" i="8"/>
  <c r="V614" i="8"/>
  <c r="U614" i="8"/>
  <c r="T614" i="8"/>
  <c r="P614" i="8"/>
  <c r="N614" i="8"/>
  <c r="AA614" i="8" s="1"/>
  <c r="AC614" i="8" s="1"/>
  <c r="M614" i="8"/>
  <c r="K614" i="8"/>
  <c r="J614" i="8"/>
  <c r="I614" i="8"/>
  <c r="H614" i="8"/>
  <c r="G614" i="8"/>
  <c r="F614" i="8"/>
  <c r="E614" i="8"/>
  <c r="AB613" i="8"/>
  <c r="Z613" i="8"/>
  <c r="Y613" i="8"/>
  <c r="X613" i="8"/>
  <c r="W613" i="8"/>
  <c r="V613" i="8"/>
  <c r="U613" i="8"/>
  <c r="T613" i="8"/>
  <c r="P613" i="8"/>
  <c r="N613" i="8"/>
  <c r="AA613" i="8" s="1"/>
  <c r="AC613" i="8" s="1"/>
  <c r="M613" i="8"/>
  <c r="K613" i="8"/>
  <c r="J613" i="8"/>
  <c r="I613" i="8"/>
  <c r="H613" i="8"/>
  <c r="G613" i="8"/>
  <c r="F613" i="8"/>
  <c r="E613" i="8"/>
  <c r="AB612" i="8"/>
  <c r="Z612" i="8"/>
  <c r="Y612" i="8"/>
  <c r="X612" i="8"/>
  <c r="W612" i="8"/>
  <c r="V612" i="8"/>
  <c r="U612" i="8"/>
  <c r="T612" i="8"/>
  <c r="P612" i="8"/>
  <c r="N612" i="8"/>
  <c r="AA612" i="8" s="1"/>
  <c r="AC612" i="8" s="1"/>
  <c r="M612" i="8"/>
  <c r="K612" i="8"/>
  <c r="J612" i="8"/>
  <c r="I612" i="8"/>
  <c r="H612" i="8"/>
  <c r="G612" i="8"/>
  <c r="F612" i="8"/>
  <c r="E612" i="8"/>
  <c r="AB611" i="8"/>
  <c r="Z611" i="8"/>
  <c r="Y611" i="8"/>
  <c r="X611" i="8"/>
  <c r="W611" i="8"/>
  <c r="V611" i="8"/>
  <c r="U611" i="8"/>
  <c r="T611" i="8"/>
  <c r="P611" i="8"/>
  <c r="N611" i="8"/>
  <c r="AA611" i="8" s="1"/>
  <c r="AC611" i="8" s="1"/>
  <c r="M611" i="8"/>
  <c r="K611" i="8"/>
  <c r="J611" i="8"/>
  <c r="I611" i="8"/>
  <c r="H611" i="8"/>
  <c r="G611" i="8"/>
  <c r="F611" i="8"/>
  <c r="E611" i="8"/>
  <c r="AB610" i="8"/>
  <c r="Z610" i="8"/>
  <c r="Y610" i="8"/>
  <c r="X610" i="8"/>
  <c r="W610" i="8"/>
  <c r="V610" i="8"/>
  <c r="U610" i="8"/>
  <c r="T610" i="8"/>
  <c r="P610" i="8"/>
  <c r="N610" i="8"/>
  <c r="AA610" i="8" s="1"/>
  <c r="AC610" i="8" s="1"/>
  <c r="M610" i="8"/>
  <c r="K610" i="8"/>
  <c r="J610" i="8"/>
  <c r="I610" i="8"/>
  <c r="H610" i="8"/>
  <c r="G610" i="8"/>
  <c r="F610" i="8"/>
  <c r="E610" i="8"/>
  <c r="AB609" i="8"/>
  <c r="Y609" i="8"/>
  <c r="X609" i="8"/>
  <c r="W609" i="8"/>
  <c r="V609" i="8"/>
  <c r="U609" i="8"/>
  <c r="T609" i="8"/>
  <c r="P609" i="8"/>
  <c r="AA609" i="8" s="1"/>
  <c r="N609" i="8"/>
  <c r="M609" i="8"/>
  <c r="K609" i="8"/>
  <c r="J609" i="8"/>
  <c r="I609" i="8"/>
  <c r="H609" i="8"/>
  <c r="G609" i="8"/>
  <c r="F609" i="8"/>
  <c r="E609" i="8"/>
  <c r="AB608" i="8"/>
  <c r="Y608" i="8"/>
  <c r="X608" i="8"/>
  <c r="W608" i="8"/>
  <c r="V608" i="8"/>
  <c r="U608" i="8"/>
  <c r="T608" i="8"/>
  <c r="P608" i="8"/>
  <c r="Z608" i="8" s="1"/>
  <c r="N608" i="8"/>
  <c r="AA608" i="8" s="1"/>
  <c r="M608" i="8"/>
  <c r="K608" i="8"/>
  <c r="J608" i="8"/>
  <c r="I608" i="8"/>
  <c r="H608" i="8"/>
  <c r="G608" i="8"/>
  <c r="F608" i="8"/>
  <c r="E608" i="8"/>
  <c r="AB607" i="8"/>
  <c r="Y607" i="8"/>
  <c r="X607" i="8"/>
  <c r="W607" i="8"/>
  <c r="V607" i="8"/>
  <c r="U607" i="8"/>
  <c r="T607" i="8"/>
  <c r="P607" i="8"/>
  <c r="Z607" i="8" s="1"/>
  <c r="N607" i="8"/>
  <c r="M607" i="8"/>
  <c r="K607" i="8"/>
  <c r="J607" i="8"/>
  <c r="I607" i="8"/>
  <c r="H607" i="8"/>
  <c r="G607" i="8"/>
  <c r="F607" i="8"/>
  <c r="E607" i="8"/>
  <c r="AB606" i="8"/>
  <c r="Y606" i="8"/>
  <c r="X606" i="8"/>
  <c r="W606" i="8"/>
  <c r="V606" i="8"/>
  <c r="U606" i="8"/>
  <c r="T606" i="8"/>
  <c r="P606" i="8"/>
  <c r="AA606" i="8" s="1"/>
  <c r="AC606" i="8" s="1"/>
  <c r="N606" i="8"/>
  <c r="M606" i="8"/>
  <c r="K606" i="8"/>
  <c r="J606" i="8"/>
  <c r="I606" i="8"/>
  <c r="H606" i="8"/>
  <c r="G606" i="8"/>
  <c r="F606" i="8"/>
  <c r="E606" i="8"/>
  <c r="AB605" i="8"/>
  <c r="Y605" i="8"/>
  <c r="X605" i="8"/>
  <c r="W605" i="8"/>
  <c r="V605" i="8"/>
  <c r="U605" i="8"/>
  <c r="T605" i="8"/>
  <c r="P605" i="8"/>
  <c r="AA605" i="8" s="1"/>
  <c r="N605" i="8"/>
  <c r="M605" i="8"/>
  <c r="K605" i="8"/>
  <c r="J605" i="8"/>
  <c r="I605" i="8"/>
  <c r="H605" i="8"/>
  <c r="G605" i="8"/>
  <c r="F605" i="8"/>
  <c r="E605" i="8"/>
  <c r="AB604" i="8"/>
  <c r="Y604" i="8"/>
  <c r="X604" i="8"/>
  <c r="W604" i="8"/>
  <c r="V604" i="8"/>
  <c r="U604" i="8"/>
  <c r="T604" i="8"/>
  <c r="P604" i="8"/>
  <c r="AA604" i="8" s="1"/>
  <c r="N604" i="8"/>
  <c r="M604" i="8"/>
  <c r="K604" i="8"/>
  <c r="J604" i="8"/>
  <c r="I604" i="8"/>
  <c r="H604" i="8"/>
  <c r="G604" i="8"/>
  <c r="F604" i="8"/>
  <c r="E604" i="8"/>
  <c r="AB603" i="8"/>
  <c r="Y603" i="8"/>
  <c r="X603" i="8"/>
  <c r="W603" i="8"/>
  <c r="V603" i="8"/>
  <c r="U603" i="8"/>
  <c r="T603" i="8"/>
  <c r="P603" i="8"/>
  <c r="Z603" i="8" s="1"/>
  <c r="N603" i="8"/>
  <c r="M603" i="8"/>
  <c r="K603" i="8"/>
  <c r="J603" i="8"/>
  <c r="I603" i="8"/>
  <c r="H603" i="8"/>
  <c r="G603" i="8"/>
  <c r="F603" i="8"/>
  <c r="E603" i="8"/>
  <c r="AB602" i="8"/>
  <c r="Y602" i="8"/>
  <c r="X602" i="8"/>
  <c r="W602" i="8"/>
  <c r="V602" i="8"/>
  <c r="U602" i="8"/>
  <c r="T602" i="8"/>
  <c r="P602" i="8"/>
  <c r="AA602" i="8" s="1"/>
  <c r="AC602" i="8" s="1"/>
  <c r="N602" i="8"/>
  <c r="M602" i="8"/>
  <c r="K602" i="8"/>
  <c r="J602" i="8"/>
  <c r="I602" i="8"/>
  <c r="H602" i="8"/>
  <c r="G602" i="8"/>
  <c r="F602" i="8"/>
  <c r="E602" i="8"/>
  <c r="AB601" i="8"/>
  <c r="Y601" i="8"/>
  <c r="X601" i="8"/>
  <c r="W601" i="8"/>
  <c r="V601" i="8"/>
  <c r="U601" i="8"/>
  <c r="T601" i="8"/>
  <c r="P601" i="8"/>
  <c r="AA601" i="8" s="1"/>
  <c r="N601" i="8"/>
  <c r="M601" i="8"/>
  <c r="K601" i="8"/>
  <c r="J601" i="8"/>
  <c r="I601" i="8"/>
  <c r="H601" i="8"/>
  <c r="G601" i="8"/>
  <c r="F601" i="8"/>
  <c r="E601" i="8"/>
  <c r="AB600" i="8"/>
  <c r="Y600" i="8"/>
  <c r="X600" i="8"/>
  <c r="W600" i="8"/>
  <c r="V600" i="8"/>
  <c r="U600" i="8"/>
  <c r="T600" i="8"/>
  <c r="P600" i="8"/>
  <c r="AA600" i="8" s="1"/>
  <c r="N600" i="8"/>
  <c r="M600" i="8"/>
  <c r="K600" i="8"/>
  <c r="J600" i="8"/>
  <c r="I600" i="8"/>
  <c r="H600" i="8"/>
  <c r="G600" i="8"/>
  <c r="F600" i="8"/>
  <c r="E600" i="8"/>
  <c r="AB599" i="8"/>
  <c r="Y599" i="8"/>
  <c r="X599" i="8"/>
  <c r="W599" i="8"/>
  <c r="V599" i="8"/>
  <c r="U599" i="8"/>
  <c r="T599" i="8"/>
  <c r="P599" i="8"/>
  <c r="Z599" i="8" s="1"/>
  <c r="N599" i="8"/>
  <c r="M599" i="8"/>
  <c r="K599" i="8"/>
  <c r="J599" i="8"/>
  <c r="I599" i="8"/>
  <c r="H599" i="8"/>
  <c r="G599" i="8"/>
  <c r="F599" i="8"/>
  <c r="E599" i="8"/>
  <c r="AB598" i="8"/>
  <c r="Y598" i="8"/>
  <c r="X598" i="8"/>
  <c r="W598" i="8"/>
  <c r="V598" i="8"/>
  <c r="U598" i="8"/>
  <c r="T598" i="8"/>
  <c r="P598" i="8"/>
  <c r="AA598" i="8" s="1"/>
  <c r="N598" i="8"/>
  <c r="M598" i="8"/>
  <c r="K598" i="8"/>
  <c r="J598" i="8"/>
  <c r="I598" i="8"/>
  <c r="H598" i="8"/>
  <c r="G598" i="8"/>
  <c r="F598" i="8"/>
  <c r="E598" i="8"/>
  <c r="AB597" i="8"/>
  <c r="Y597" i="8"/>
  <c r="X597" i="8"/>
  <c r="W597" i="8"/>
  <c r="V597" i="8"/>
  <c r="U597" i="8"/>
  <c r="T597" i="8"/>
  <c r="P597" i="8"/>
  <c r="AA597" i="8" s="1"/>
  <c r="N597" i="8"/>
  <c r="M597" i="8"/>
  <c r="K597" i="8"/>
  <c r="J597" i="8"/>
  <c r="I597" i="8"/>
  <c r="H597" i="8"/>
  <c r="G597" i="8"/>
  <c r="F597" i="8"/>
  <c r="E597" i="8"/>
  <c r="AB596" i="8"/>
  <c r="Y596" i="8"/>
  <c r="X596" i="8"/>
  <c r="W596" i="8"/>
  <c r="V596" i="8"/>
  <c r="U596" i="8"/>
  <c r="T596" i="8"/>
  <c r="P596" i="8"/>
  <c r="AA596" i="8" s="1"/>
  <c r="N596" i="8"/>
  <c r="M596" i="8"/>
  <c r="K596" i="8"/>
  <c r="J596" i="8"/>
  <c r="I596" i="8"/>
  <c r="H596" i="8"/>
  <c r="G596" i="8"/>
  <c r="F596" i="8"/>
  <c r="E596" i="8"/>
  <c r="AB595" i="8"/>
  <c r="Y595" i="8"/>
  <c r="X595" i="8"/>
  <c r="W595" i="8"/>
  <c r="V595" i="8"/>
  <c r="U595" i="8"/>
  <c r="T595" i="8"/>
  <c r="P595" i="8"/>
  <c r="Z595" i="8" s="1"/>
  <c r="N595" i="8"/>
  <c r="M595" i="8"/>
  <c r="K595" i="8"/>
  <c r="J595" i="8"/>
  <c r="I595" i="8"/>
  <c r="H595" i="8"/>
  <c r="G595" i="8"/>
  <c r="F595" i="8"/>
  <c r="E595" i="8"/>
  <c r="AB594" i="8"/>
  <c r="Y594" i="8"/>
  <c r="X594" i="8"/>
  <c r="W594" i="8"/>
  <c r="V594" i="8"/>
  <c r="U594" i="8"/>
  <c r="T594" i="8"/>
  <c r="P594" i="8"/>
  <c r="AA594" i="8" s="1"/>
  <c r="AC594" i="8" s="1"/>
  <c r="N594" i="8"/>
  <c r="M594" i="8"/>
  <c r="K594" i="8"/>
  <c r="J594" i="8"/>
  <c r="I594" i="8"/>
  <c r="H594" i="8"/>
  <c r="G594" i="8"/>
  <c r="F594" i="8"/>
  <c r="E594" i="8"/>
  <c r="AB593" i="8"/>
  <c r="Y593" i="8"/>
  <c r="X593" i="8"/>
  <c r="W593" i="8"/>
  <c r="V593" i="8"/>
  <c r="U593" i="8"/>
  <c r="T593" i="8"/>
  <c r="P593" i="8"/>
  <c r="AA593" i="8" s="1"/>
  <c r="N593" i="8"/>
  <c r="M593" i="8"/>
  <c r="K593" i="8"/>
  <c r="J593" i="8"/>
  <c r="I593" i="8"/>
  <c r="H593" i="8"/>
  <c r="G593" i="8"/>
  <c r="F593" i="8"/>
  <c r="E593" i="8"/>
  <c r="AB592" i="8"/>
  <c r="Y592" i="8"/>
  <c r="X592" i="8"/>
  <c r="W592" i="8"/>
  <c r="V592" i="8"/>
  <c r="U592" i="8"/>
  <c r="T592" i="8"/>
  <c r="P592" i="8"/>
  <c r="AA592" i="8" s="1"/>
  <c r="N592" i="8"/>
  <c r="M592" i="8"/>
  <c r="K592" i="8"/>
  <c r="J592" i="8"/>
  <c r="I592" i="8"/>
  <c r="H592" i="8"/>
  <c r="G592" i="8"/>
  <c r="F592" i="8"/>
  <c r="E592" i="8"/>
  <c r="AB591" i="8"/>
  <c r="Y591" i="8"/>
  <c r="X591" i="8"/>
  <c r="W591" i="8"/>
  <c r="V591" i="8"/>
  <c r="U591" i="8"/>
  <c r="T591" i="8"/>
  <c r="P591" i="8"/>
  <c r="Z591" i="8" s="1"/>
  <c r="N591" i="8"/>
  <c r="M591" i="8"/>
  <c r="K591" i="8"/>
  <c r="J591" i="8"/>
  <c r="I591" i="8"/>
  <c r="H591" i="8"/>
  <c r="G591" i="8"/>
  <c r="F591" i="8"/>
  <c r="E591" i="8"/>
  <c r="AB590" i="8"/>
  <c r="Y590" i="8"/>
  <c r="X590" i="8"/>
  <c r="W590" i="8"/>
  <c r="V590" i="8"/>
  <c r="U590" i="8"/>
  <c r="T590" i="8"/>
  <c r="P590" i="8"/>
  <c r="AA590" i="8" s="1"/>
  <c r="N590" i="8"/>
  <c r="M590" i="8"/>
  <c r="K590" i="8"/>
  <c r="J590" i="8"/>
  <c r="I590" i="8"/>
  <c r="H590" i="8"/>
  <c r="G590" i="8"/>
  <c r="F590" i="8"/>
  <c r="E590" i="8"/>
  <c r="AB589" i="8"/>
  <c r="Y589" i="8"/>
  <c r="X589" i="8"/>
  <c r="W589" i="8"/>
  <c r="V589" i="8"/>
  <c r="U589" i="8"/>
  <c r="T589" i="8"/>
  <c r="P589" i="8"/>
  <c r="AA589" i="8" s="1"/>
  <c r="N589" i="8"/>
  <c r="M589" i="8"/>
  <c r="K589" i="8"/>
  <c r="J589" i="8"/>
  <c r="I589" i="8"/>
  <c r="H589" i="8"/>
  <c r="G589" i="8"/>
  <c r="F589" i="8"/>
  <c r="E589" i="8"/>
  <c r="AB588" i="8"/>
  <c r="Y588" i="8"/>
  <c r="X588" i="8"/>
  <c r="W588" i="8"/>
  <c r="V588" i="8"/>
  <c r="U588" i="8"/>
  <c r="T588" i="8"/>
  <c r="P588" i="8"/>
  <c r="AA588" i="8" s="1"/>
  <c r="AC588" i="8" s="1"/>
  <c r="N588" i="8"/>
  <c r="M588" i="8"/>
  <c r="K588" i="8"/>
  <c r="J588" i="8"/>
  <c r="I588" i="8"/>
  <c r="H588" i="8"/>
  <c r="G588" i="8"/>
  <c r="F588" i="8"/>
  <c r="E588" i="8"/>
  <c r="AB587" i="8"/>
  <c r="Y587" i="8"/>
  <c r="X587" i="8"/>
  <c r="W587" i="8"/>
  <c r="V587" i="8"/>
  <c r="U587" i="8"/>
  <c r="T587" i="8"/>
  <c r="P587" i="8"/>
  <c r="Z587" i="8" s="1"/>
  <c r="N587" i="8"/>
  <c r="M587" i="8"/>
  <c r="K587" i="8"/>
  <c r="J587" i="8"/>
  <c r="I587" i="8"/>
  <c r="H587" i="8"/>
  <c r="G587" i="8"/>
  <c r="F587" i="8"/>
  <c r="E587" i="8"/>
  <c r="AB586" i="8"/>
  <c r="Y586" i="8"/>
  <c r="X586" i="8"/>
  <c r="W586" i="8"/>
  <c r="V586" i="8"/>
  <c r="U586" i="8"/>
  <c r="T586" i="8"/>
  <c r="P586" i="8"/>
  <c r="AA586" i="8" s="1"/>
  <c r="N586" i="8"/>
  <c r="M586" i="8"/>
  <c r="K586" i="8"/>
  <c r="J586" i="8"/>
  <c r="I586" i="8"/>
  <c r="H586" i="8"/>
  <c r="G586" i="8"/>
  <c r="F586" i="8"/>
  <c r="E586" i="8"/>
  <c r="AB585" i="8"/>
  <c r="Y585" i="8"/>
  <c r="X585" i="8"/>
  <c r="W585" i="8"/>
  <c r="V585" i="8"/>
  <c r="U585" i="8"/>
  <c r="T585" i="8"/>
  <c r="P585" i="8"/>
  <c r="AA585" i="8" s="1"/>
  <c r="N585" i="8"/>
  <c r="M585" i="8"/>
  <c r="K585" i="8"/>
  <c r="J585" i="8"/>
  <c r="I585" i="8"/>
  <c r="H585" i="8"/>
  <c r="G585" i="8"/>
  <c r="F585" i="8"/>
  <c r="E585" i="8"/>
  <c r="AB584" i="8"/>
  <c r="Y584" i="8"/>
  <c r="X584" i="8"/>
  <c r="W584" i="8"/>
  <c r="V584" i="8"/>
  <c r="U584" i="8"/>
  <c r="T584" i="8"/>
  <c r="P584" i="8"/>
  <c r="AA584" i="8" s="1"/>
  <c r="N584" i="8"/>
  <c r="M584" i="8"/>
  <c r="K584" i="8"/>
  <c r="J584" i="8"/>
  <c r="I584" i="8"/>
  <c r="H584" i="8"/>
  <c r="G584" i="8"/>
  <c r="F584" i="8"/>
  <c r="E584" i="8"/>
  <c r="AB583" i="8"/>
  <c r="Y583" i="8"/>
  <c r="X583" i="8"/>
  <c r="W583" i="8"/>
  <c r="V583" i="8"/>
  <c r="U583" i="8"/>
  <c r="T583" i="8"/>
  <c r="P583" i="8"/>
  <c r="Z583" i="8" s="1"/>
  <c r="N583" i="8"/>
  <c r="M583" i="8"/>
  <c r="K583" i="8"/>
  <c r="J583" i="8"/>
  <c r="I583" i="8"/>
  <c r="H583" i="8"/>
  <c r="G583" i="8"/>
  <c r="F583" i="8"/>
  <c r="E583" i="8"/>
  <c r="AB582" i="8"/>
  <c r="Y582" i="8"/>
  <c r="X582" i="8"/>
  <c r="W582" i="8"/>
  <c r="V582" i="8"/>
  <c r="U582" i="8"/>
  <c r="T582" i="8"/>
  <c r="P582" i="8"/>
  <c r="AA582" i="8" s="1"/>
  <c r="AC582" i="8" s="1"/>
  <c r="N582" i="8"/>
  <c r="M582" i="8"/>
  <c r="K582" i="8"/>
  <c r="J582" i="8"/>
  <c r="I582" i="8"/>
  <c r="H582" i="8"/>
  <c r="G582" i="8"/>
  <c r="F582" i="8"/>
  <c r="E582" i="8"/>
  <c r="AB581" i="8"/>
  <c r="Y581" i="8"/>
  <c r="X581" i="8"/>
  <c r="W581" i="8"/>
  <c r="V581" i="8"/>
  <c r="U581" i="8"/>
  <c r="T581" i="8"/>
  <c r="P581" i="8"/>
  <c r="AA581" i="8" s="1"/>
  <c r="N581" i="8"/>
  <c r="M581" i="8"/>
  <c r="K581" i="8"/>
  <c r="J581" i="8"/>
  <c r="I581" i="8"/>
  <c r="H581" i="8"/>
  <c r="G581" i="8"/>
  <c r="F581" i="8"/>
  <c r="E581" i="8"/>
  <c r="AB580" i="8"/>
  <c r="Y580" i="8"/>
  <c r="X580" i="8"/>
  <c r="W580" i="8"/>
  <c r="V580" i="8"/>
  <c r="U580" i="8"/>
  <c r="T580" i="8"/>
  <c r="P580" i="8"/>
  <c r="AA580" i="8" s="1"/>
  <c r="N580" i="8"/>
  <c r="M580" i="8"/>
  <c r="K580" i="8"/>
  <c r="J580" i="8"/>
  <c r="I580" i="8"/>
  <c r="H580" i="8"/>
  <c r="G580" i="8"/>
  <c r="F580" i="8"/>
  <c r="E580" i="8"/>
  <c r="AB579" i="8"/>
  <c r="Y579" i="8"/>
  <c r="X579" i="8"/>
  <c r="W579" i="8"/>
  <c r="V579" i="8"/>
  <c r="U579" i="8"/>
  <c r="T579" i="8"/>
  <c r="P579" i="8"/>
  <c r="Z579" i="8" s="1"/>
  <c r="N579" i="8"/>
  <c r="M579" i="8"/>
  <c r="K579" i="8"/>
  <c r="J579" i="8"/>
  <c r="I579" i="8"/>
  <c r="H579" i="8"/>
  <c r="G579" i="8"/>
  <c r="F579" i="8"/>
  <c r="E579" i="8"/>
  <c r="AB578" i="8"/>
  <c r="AA578" i="8"/>
  <c r="AC578" i="8" s="1"/>
  <c r="Y578" i="8"/>
  <c r="X578" i="8"/>
  <c r="W578" i="8"/>
  <c r="V578" i="8"/>
  <c r="U578" i="8"/>
  <c r="T578" i="8"/>
  <c r="P578" i="8"/>
  <c r="Z578" i="8" s="1"/>
  <c r="N578" i="8"/>
  <c r="M578" i="8"/>
  <c r="K578" i="8"/>
  <c r="J578" i="8"/>
  <c r="I578" i="8"/>
  <c r="H578" i="8"/>
  <c r="G578" i="8"/>
  <c r="F578" i="8"/>
  <c r="E578" i="8"/>
  <c r="AB577" i="8"/>
  <c r="Y577" i="8"/>
  <c r="X577" i="8"/>
  <c r="W577" i="8"/>
  <c r="V577" i="8"/>
  <c r="U577" i="8"/>
  <c r="T577" i="8"/>
  <c r="P577" i="8"/>
  <c r="AA577" i="8" s="1"/>
  <c r="N577" i="8"/>
  <c r="M577" i="8"/>
  <c r="K577" i="8"/>
  <c r="J577" i="8"/>
  <c r="I577" i="8"/>
  <c r="H577" i="8"/>
  <c r="G577" i="8"/>
  <c r="F577" i="8"/>
  <c r="E577" i="8"/>
  <c r="AB576" i="8"/>
  <c r="AA576" i="8"/>
  <c r="AC576" i="8" s="1"/>
  <c r="Y576" i="8"/>
  <c r="X576" i="8"/>
  <c r="W576" i="8"/>
  <c r="V576" i="8"/>
  <c r="U576" i="8"/>
  <c r="T576" i="8"/>
  <c r="P576" i="8"/>
  <c r="Z576" i="8" s="1"/>
  <c r="N576" i="8"/>
  <c r="M576" i="8"/>
  <c r="K576" i="8"/>
  <c r="J576" i="8"/>
  <c r="I576" i="8"/>
  <c r="H576" i="8"/>
  <c r="G576" i="8"/>
  <c r="F576" i="8"/>
  <c r="E576" i="8"/>
  <c r="AB575" i="8"/>
  <c r="Z575" i="8"/>
  <c r="Y575" i="8"/>
  <c r="X575" i="8"/>
  <c r="W575" i="8"/>
  <c r="V575" i="8"/>
  <c r="U575" i="8"/>
  <c r="T575" i="8"/>
  <c r="P575" i="8"/>
  <c r="N575" i="8"/>
  <c r="AA575" i="8" s="1"/>
  <c r="AC575" i="8" s="1"/>
  <c r="M575" i="8"/>
  <c r="K575" i="8"/>
  <c r="J575" i="8"/>
  <c r="I575" i="8"/>
  <c r="H575" i="8"/>
  <c r="G575" i="8"/>
  <c r="F575" i="8"/>
  <c r="E575" i="8"/>
  <c r="AB574" i="8"/>
  <c r="Y574" i="8"/>
  <c r="X574" i="8"/>
  <c r="W574" i="8"/>
  <c r="V574" i="8"/>
  <c r="U574" i="8"/>
  <c r="T574" i="8"/>
  <c r="P574" i="8"/>
  <c r="Z574" i="8" s="1"/>
  <c r="N574" i="8"/>
  <c r="M574" i="8"/>
  <c r="K574" i="8"/>
  <c r="J574" i="8"/>
  <c r="I574" i="8"/>
  <c r="H574" i="8"/>
  <c r="G574" i="8"/>
  <c r="F574" i="8"/>
  <c r="E574" i="8"/>
  <c r="AB573" i="8"/>
  <c r="Z573" i="8"/>
  <c r="Y573" i="8"/>
  <c r="X573" i="8"/>
  <c r="W573" i="8"/>
  <c r="V573" i="8"/>
  <c r="U573" i="8"/>
  <c r="T573" i="8"/>
  <c r="P573" i="8"/>
  <c r="N573" i="8"/>
  <c r="AA573" i="8" s="1"/>
  <c r="AC573" i="8" s="1"/>
  <c r="M573" i="8"/>
  <c r="K573" i="8"/>
  <c r="J573" i="8"/>
  <c r="I573" i="8"/>
  <c r="H573" i="8"/>
  <c r="G573" i="8"/>
  <c r="F573" i="8"/>
  <c r="E573" i="8"/>
  <c r="AB572" i="8"/>
  <c r="Y572" i="8"/>
  <c r="X572" i="8"/>
  <c r="W572" i="8"/>
  <c r="V572" i="8"/>
  <c r="U572" i="8"/>
  <c r="T572" i="8"/>
  <c r="P572" i="8"/>
  <c r="Z572" i="8" s="1"/>
  <c r="N572" i="8"/>
  <c r="M572" i="8"/>
  <c r="K572" i="8"/>
  <c r="J572" i="8"/>
  <c r="I572" i="8"/>
  <c r="H572" i="8"/>
  <c r="G572" i="8"/>
  <c r="F572" i="8"/>
  <c r="E572" i="8"/>
  <c r="AB571" i="8"/>
  <c r="Y571" i="8"/>
  <c r="X571" i="8"/>
  <c r="W571" i="8"/>
  <c r="V571" i="8"/>
  <c r="U571" i="8"/>
  <c r="T571" i="8"/>
  <c r="P571" i="8"/>
  <c r="AA571" i="8" s="1"/>
  <c r="N571" i="8"/>
  <c r="M571" i="8"/>
  <c r="K571" i="8"/>
  <c r="J571" i="8"/>
  <c r="I571" i="8"/>
  <c r="H571" i="8"/>
  <c r="G571" i="8"/>
  <c r="F571" i="8"/>
  <c r="E571" i="8"/>
  <c r="AB570" i="8"/>
  <c r="AA570" i="8"/>
  <c r="AC570" i="8" s="1"/>
  <c r="Y570" i="8"/>
  <c r="X570" i="8"/>
  <c r="W570" i="8"/>
  <c r="V570" i="8"/>
  <c r="U570" i="8"/>
  <c r="T570" i="8"/>
  <c r="P570" i="8"/>
  <c r="Z570" i="8" s="1"/>
  <c r="N570" i="8"/>
  <c r="M570" i="8"/>
  <c r="K570" i="8"/>
  <c r="J570" i="8"/>
  <c r="I570" i="8"/>
  <c r="H570" i="8"/>
  <c r="G570" i="8"/>
  <c r="F570" i="8"/>
  <c r="E570" i="8"/>
  <c r="AB569" i="8"/>
  <c r="Y569" i="8"/>
  <c r="X569" i="8"/>
  <c r="W569" i="8"/>
  <c r="V569" i="8"/>
  <c r="U569" i="8"/>
  <c r="T569" i="8"/>
  <c r="P569" i="8"/>
  <c r="AA569" i="8" s="1"/>
  <c r="N569" i="8"/>
  <c r="M569" i="8"/>
  <c r="K569" i="8"/>
  <c r="J569" i="8"/>
  <c r="I569" i="8"/>
  <c r="H569" i="8"/>
  <c r="G569" i="8"/>
  <c r="F569" i="8"/>
  <c r="E569" i="8"/>
  <c r="AB568" i="8"/>
  <c r="Y568" i="8"/>
  <c r="X568" i="8"/>
  <c r="W568" i="8"/>
  <c r="V568" i="8"/>
  <c r="U568" i="8"/>
  <c r="T568" i="8"/>
  <c r="P568" i="8"/>
  <c r="Z568" i="8" s="1"/>
  <c r="N568" i="8"/>
  <c r="M568" i="8"/>
  <c r="K568" i="8"/>
  <c r="J568" i="8"/>
  <c r="I568" i="8"/>
  <c r="H568" i="8"/>
  <c r="G568" i="8"/>
  <c r="F568" i="8"/>
  <c r="E568" i="8"/>
  <c r="AB567" i="8"/>
  <c r="Z567" i="8"/>
  <c r="Y567" i="8"/>
  <c r="X567" i="8"/>
  <c r="W567" i="8"/>
  <c r="V567" i="8"/>
  <c r="U567" i="8"/>
  <c r="T567" i="8"/>
  <c r="P567" i="8"/>
  <c r="N567" i="8"/>
  <c r="AA567" i="8" s="1"/>
  <c r="AC567" i="8" s="1"/>
  <c r="M567" i="8"/>
  <c r="K567" i="8"/>
  <c r="J567" i="8"/>
  <c r="I567" i="8"/>
  <c r="H567" i="8"/>
  <c r="G567" i="8"/>
  <c r="F567" i="8"/>
  <c r="E567" i="8"/>
  <c r="AB566" i="8"/>
  <c r="Y566" i="8"/>
  <c r="X566" i="8"/>
  <c r="W566" i="8"/>
  <c r="V566" i="8"/>
  <c r="U566" i="8"/>
  <c r="T566" i="8"/>
  <c r="P566" i="8"/>
  <c r="Z566" i="8" s="1"/>
  <c r="N566" i="8"/>
  <c r="M566" i="8"/>
  <c r="K566" i="8"/>
  <c r="J566" i="8"/>
  <c r="I566" i="8"/>
  <c r="H566" i="8"/>
  <c r="G566" i="8"/>
  <c r="F566" i="8"/>
  <c r="E566" i="8"/>
  <c r="AB565" i="8"/>
  <c r="Y565" i="8"/>
  <c r="X565" i="8"/>
  <c r="W565" i="8"/>
  <c r="V565" i="8"/>
  <c r="U565" i="8"/>
  <c r="T565" i="8"/>
  <c r="P565" i="8"/>
  <c r="AA565" i="8" s="1"/>
  <c r="N565" i="8"/>
  <c r="M565" i="8"/>
  <c r="K565" i="8"/>
  <c r="J565" i="8"/>
  <c r="I565" i="8"/>
  <c r="H565" i="8"/>
  <c r="G565" i="8"/>
  <c r="F565" i="8"/>
  <c r="E565" i="8"/>
  <c r="AB564" i="8"/>
  <c r="Y564" i="8"/>
  <c r="X564" i="8"/>
  <c r="W564" i="8"/>
  <c r="V564" i="8"/>
  <c r="U564" i="8"/>
  <c r="T564" i="8"/>
  <c r="P564" i="8"/>
  <c r="Z564" i="8" s="1"/>
  <c r="N564" i="8"/>
  <c r="M564" i="8"/>
  <c r="K564" i="8"/>
  <c r="J564" i="8"/>
  <c r="I564" i="8"/>
  <c r="H564" i="8"/>
  <c r="G564" i="8"/>
  <c r="F564" i="8"/>
  <c r="E564" i="8"/>
  <c r="AB563" i="8"/>
  <c r="Y563" i="8"/>
  <c r="X563" i="8"/>
  <c r="W563" i="8"/>
  <c r="V563" i="8"/>
  <c r="U563" i="8"/>
  <c r="T563" i="8"/>
  <c r="P563" i="8"/>
  <c r="Z563" i="8" s="1"/>
  <c r="N563" i="8"/>
  <c r="M563" i="8"/>
  <c r="K563" i="8"/>
  <c r="J563" i="8"/>
  <c r="I563" i="8"/>
  <c r="H563" i="8"/>
  <c r="G563" i="8"/>
  <c r="F563" i="8"/>
  <c r="E563" i="8"/>
  <c r="AB562" i="8"/>
  <c r="AA562" i="8"/>
  <c r="AC562" i="8" s="1"/>
  <c r="Y562" i="8"/>
  <c r="X562" i="8"/>
  <c r="W562" i="8"/>
  <c r="V562" i="8"/>
  <c r="U562" i="8"/>
  <c r="T562" i="8"/>
  <c r="P562" i="8"/>
  <c r="Z562" i="8" s="1"/>
  <c r="N562" i="8"/>
  <c r="M562" i="8"/>
  <c r="K562" i="8"/>
  <c r="J562" i="8"/>
  <c r="I562" i="8"/>
  <c r="H562" i="8"/>
  <c r="G562" i="8"/>
  <c r="F562" i="8"/>
  <c r="E562" i="8"/>
  <c r="AB561" i="8"/>
  <c r="Y561" i="8"/>
  <c r="X561" i="8"/>
  <c r="W561" i="8"/>
  <c r="V561" i="8"/>
  <c r="U561" i="8"/>
  <c r="T561" i="8"/>
  <c r="P561" i="8"/>
  <c r="AA561" i="8" s="1"/>
  <c r="N561" i="8"/>
  <c r="M561" i="8"/>
  <c r="K561" i="8"/>
  <c r="J561" i="8"/>
  <c r="I561" i="8"/>
  <c r="H561" i="8"/>
  <c r="G561" i="8"/>
  <c r="F561" i="8"/>
  <c r="E561" i="8"/>
  <c r="AB560" i="8"/>
  <c r="AA560" i="8"/>
  <c r="AC560" i="8" s="1"/>
  <c r="Y560" i="8"/>
  <c r="X560" i="8"/>
  <c r="W560" i="8"/>
  <c r="V560" i="8"/>
  <c r="U560" i="8"/>
  <c r="T560" i="8"/>
  <c r="P560" i="8"/>
  <c r="Z560" i="8" s="1"/>
  <c r="N560" i="8"/>
  <c r="M560" i="8"/>
  <c r="K560" i="8"/>
  <c r="J560" i="8"/>
  <c r="I560" i="8"/>
  <c r="H560" i="8"/>
  <c r="G560" i="8"/>
  <c r="F560" i="8"/>
  <c r="E560" i="8"/>
  <c r="AB559" i="8"/>
  <c r="Z559" i="8"/>
  <c r="Y559" i="8"/>
  <c r="X559" i="8"/>
  <c r="W559" i="8"/>
  <c r="V559" i="8"/>
  <c r="U559" i="8"/>
  <c r="T559" i="8"/>
  <c r="P559" i="8"/>
  <c r="N559" i="8"/>
  <c r="AA559" i="8" s="1"/>
  <c r="AC559" i="8" s="1"/>
  <c r="M559" i="8"/>
  <c r="K559" i="8"/>
  <c r="J559" i="8"/>
  <c r="I559" i="8"/>
  <c r="H559" i="8"/>
  <c r="G559" i="8"/>
  <c r="F559" i="8"/>
  <c r="E559" i="8"/>
  <c r="AB558" i="8"/>
  <c r="Y558" i="8"/>
  <c r="X558" i="8"/>
  <c r="W558" i="8"/>
  <c r="V558" i="8"/>
  <c r="U558" i="8"/>
  <c r="T558" i="8"/>
  <c r="P558" i="8"/>
  <c r="Z558" i="8" s="1"/>
  <c r="N558" i="8"/>
  <c r="M558" i="8"/>
  <c r="K558" i="8"/>
  <c r="J558" i="8"/>
  <c r="I558" i="8"/>
  <c r="H558" i="8"/>
  <c r="G558" i="8"/>
  <c r="F558" i="8"/>
  <c r="E558" i="8"/>
  <c r="AB557" i="8"/>
  <c r="Z557" i="8"/>
  <c r="Y557" i="8"/>
  <c r="X557" i="8"/>
  <c r="W557" i="8"/>
  <c r="V557" i="8"/>
  <c r="U557" i="8"/>
  <c r="T557" i="8"/>
  <c r="P557" i="8"/>
  <c r="N557" i="8"/>
  <c r="AA557" i="8" s="1"/>
  <c r="AC557" i="8" s="1"/>
  <c r="M557" i="8"/>
  <c r="K557" i="8"/>
  <c r="J557" i="8"/>
  <c r="I557" i="8"/>
  <c r="H557" i="8"/>
  <c r="G557" i="8"/>
  <c r="F557" i="8"/>
  <c r="E557" i="8"/>
  <c r="AB556" i="8"/>
  <c r="Y556" i="8"/>
  <c r="X556" i="8"/>
  <c r="W556" i="8"/>
  <c r="V556" i="8"/>
  <c r="U556" i="8"/>
  <c r="T556" i="8"/>
  <c r="P556" i="8"/>
  <c r="Z556" i="8" s="1"/>
  <c r="N556" i="8"/>
  <c r="M556" i="8"/>
  <c r="K556" i="8"/>
  <c r="J556" i="8"/>
  <c r="I556" i="8"/>
  <c r="H556" i="8"/>
  <c r="G556" i="8"/>
  <c r="F556" i="8"/>
  <c r="E556" i="8"/>
  <c r="AB555" i="8"/>
  <c r="Y555" i="8"/>
  <c r="X555" i="8"/>
  <c r="W555" i="8"/>
  <c r="V555" i="8"/>
  <c r="U555" i="8"/>
  <c r="T555" i="8"/>
  <c r="P555" i="8"/>
  <c r="AA555" i="8" s="1"/>
  <c r="N555" i="8"/>
  <c r="M555" i="8"/>
  <c r="K555" i="8"/>
  <c r="J555" i="8"/>
  <c r="I555" i="8"/>
  <c r="H555" i="8"/>
  <c r="G555" i="8"/>
  <c r="F555" i="8"/>
  <c r="E555" i="8"/>
  <c r="AB554" i="8"/>
  <c r="AA554" i="8"/>
  <c r="AC554" i="8" s="1"/>
  <c r="Y554" i="8"/>
  <c r="X554" i="8"/>
  <c r="W554" i="8"/>
  <c r="V554" i="8"/>
  <c r="U554" i="8"/>
  <c r="T554" i="8"/>
  <c r="P554" i="8"/>
  <c r="Z554" i="8" s="1"/>
  <c r="N554" i="8"/>
  <c r="M554" i="8"/>
  <c r="K554" i="8"/>
  <c r="J554" i="8"/>
  <c r="I554" i="8"/>
  <c r="H554" i="8"/>
  <c r="G554" i="8"/>
  <c r="F554" i="8"/>
  <c r="E554" i="8"/>
  <c r="AB553" i="8"/>
  <c r="Y553" i="8"/>
  <c r="X553" i="8"/>
  <c r="W553" i="8"/>
  <c r="V553" i="8"/>
  <c r="U553" i="8"/>
  <c r="T553" i="8"/>
  <c r="P553" i="8"/>
  <c r="AA553" i="8" s="1"/>
  <c r="N553" i="8"/>
  <c r="M553" i="8"/>
  <c r="K553" i="8"/>
  <c r="J553" i="8"/>
  <c r="I553" i="8"/>
  <c r="H553" i="8"/>
  <c r="G553" i="8"/>
  <c r="F553" i="8"/>
  <c r="E553" i="8"/>
  <c r="AB552" i="8"/>
  <c r="Y552" i="8"/>
  <c r="X552" i="8"/>
  <c r="W552" i="8"/>
  <c r="V552" i="8"/>
  <c r="U552" i="8"/>
  <c r="T552" i="8"/>
  <c r="P552" i="8"/>
  <c r="Z552" i="8" s="1"/>
  <c r="N552" i="8"/>
  <c r="M552" i="8"/>
  <c r="K552" i="8"/>
  <c r="J552" i="8"/>
  <c r="I552" i="8"/>
  <c r="H552" i="8"/>
  <c r="G552" i="8"/>
  <c r="F552" i="8"/>
  <c r="E552" i="8"/>
  <c r="AB551" i="8"/>
  <c r="Z551" i="8"/>
  <c r="Y551" i="8"/>
  <c r="X551" i="8"/>
  <c r="W551" i="8"/>
  <c r="V551" i="8"/>
  <c r="U551" i="8"/>
  <c r="T551" i="8"/>
  <c r="P551" i="8"/>
  <c r="N551" i="8"/>
  <c r="AA551" i="8" s="1"/>
  <c r="AC551" i="8" s="1"/>
  <c r="M551" i="8"/>
  <c r="K551" i="8"/>
  <c r="J551" i="8"/>
  <c r="I551" i="8"/>
  <c r="H551" i="8"/>
  <c r="G551" i="8"/>
  <c r="F551" i="8"/>
  <c r="E551" i="8"/>
  <c r="AB550" i="8"/>
  <c r="Y550" i="8"/>
  <c r="X550" i="8"/>
  <c r="W550" i="8"/>
  <c r="V550" i="8"/>
  <c r="U550" i="8"/>
  <c r="T550" i="8"/>
  <c r="P550" i="8"/>
  <c r="Z550" i="8" s="1"/>
  <c r="N550" i="8"/>
  <c r="M550" i="8"/>
  <c r="K550" i="8"/>
  <c r="J550" i="8"/>
  <c r="I550" i="8"/>
  <c r="H550" i="8"/>
  <c r="G550" i="8"/>
  <c r="F550" i="8"/>
  <c r="E550" i="8"/>
  <c r="AB549" i="8"/>
  <c r="Y549" i="8"/>
  <c r="X549" i="8"/>
  <c r="W549" i="8"/>
  <c r="V549" i="8"/>
  <c r="U549" i="8"/>
  <c r="T549" i="8"/>
  <c r="P549" i="8"/>
  <c r="AA549" i="8" s="1"/>
  <c r="N549" i="8"/>
  <c r="M549" i="8"/>
  <c r="K549" i="8"/>
  <c r="J549" i="8"/>
  <c r="I549" i="8"/>
  <c r="H549" i="8"/>
  <c r="G549" i="8"/>
  <c r="F549" i="8"/>
  <c r="E549" i="8"/>
  <c r="AB548" i="8"/>
  <c r="Y548" i="8"/>
  <c r="X548" i="8"/>
  <c r="W548" i="8"/>
  <c r="V548" i="8"/>
  <c r="U548" i="8"/>
  <c r="T548" i="8"/>
  <c r="P548" i="8"/>
  <c r="Z548" i="8" s="1"/>
  <c r="N548" i="8"/>
  <c r="M548" i="8"/>
  <c r="K548" i="8"/>
  <c r="J548" i="8"/>
  <c r="I548" i="8"/>
  <c r="H548" i="8"/>
  <c r="G548" i="8"/>
  <c r="F548" i="8"/>
  <c r="E548" i="8"/>
  <c r="AB547" i="8"/>
  <c r="AA547" i="8"/>
  <c r="AC547" i="8" s="1"/>
  <c r="Y547" i="8"/>
  <c r="X547" i="8"/>
  <c r="W547" i="8"/>
  <c r="V547" i="8"/>
  <c r="U547" i="8"/>
  <c r="T547" i="8"/>
  <c r="P547" i="8"/>
  <c r="Z547" i="8" s="1"/>
  <c r="N547" i="8"/>
  <c r="M547" i="8"/>
  <c r="K547" i="8"/>
  <c r="J547" i="8"/>
  <c r="I547" i="8"/>
  <c r="H547" i="8"/>
  <c r="G547" i="8"/>
  <c r="F547" i="8"/>
  <c r="E547" i="8"/>
  <c r="AB546" i="8"/>
  <c r="AA546" i="8"/>
  <c r="AC546" i="8" s="1"/>
  <c r="Y546" i="8"/>
  <c r="X546" i="8"/>
  <c r="W546" i="8"/>
  <c r="V546" i="8"/>
  <c r="U546" i="8"/>
  <c r="T546" i="8"/>
  <c r="P546" i="8"/>
  <c r="Z546" i="8" s="1"/>
  <c r="N546" i="8"/>
  <c r="M546" i="8"/>
  <c r="K546" i="8"/>
  <c r="J546" i="8"/>
  <c r="I546" i="8"/>
  <c r="H546" i="8"/>
  <c r="G546" i="8"/>
  <c r="F546" i="8"/>
  <c r="E546" i="8"/>
  <c r="AB545" i="8"/>
  <c r="Y545" i="8"/>
  <c r="X545" i="8"/>
  <c r="W545" i="8"/>
  <c r="V545" i="8"/>
  <c r="U545" i="8"/>
  <c r="T545" i="8"/>
  <c r="P545" i="8"/>
  <c r="AA545" i="8" s="1"/>
  <c r="N545" i="8"/>
  <c r="M545" i="8"/>
  <c r="K545" i="8"/>
  <c r="J545" i="8"/>
  <c r="I545" i="8"/>
  <c r="H545" i="8"/>
  <c r="G545" i="8"/>
  <c r="F545" i="8"/>
  <c r="E545" i="8"/>
  <c r="AB544" i="8"/>
  <c r="AA544" i="8"/>
  <c r="AC544" i="8" s="1"/>
  <c r="Y544" i="8"/>
  <c r="X544" i="8"/>
  <c r="W544" i="8"/>
  <c r="V544" i="8"/>
  <c r="U544" i="8"/>
  <c r="T544" i="8"/>
  <c r="P544" i="8"/>
  <c r="Z544" i="8" s="1"/>
  <c r="N544" i="8"/>
  <c r="M544" i="8"/>
  <c r="K544" i="8"/>
  <c r="J544" i="8"/>
  <c r="I544" i="8"/>
  <c r="H544" i="8"/>
  <c r="G544" i="8"/>
  <c r="F544" i="8"/>
  <c r="E544" i="8"/>
  <c r="AB543" i="8"/>
  <c r="Z543" i="8"/>
  <c r="Y543" i="8"/>
  <c r="X543" i="8"/>
  <c r="W543" i="8"/>
  <c r="V543" i="8"/>
  <c r="U543" i="8"/>
  <c r="T543" i="8"/>
  <c r="P543" i="8"/>
  <c r="N543" i="8"/>
  <c r="AA543" i="8" s="1"/>
  <c r="AC543" i="8" s="1"/>
  <c r="M543" i="8"/>
  <c r="K543" i="8"/>
  <c r="J543" i="8"/>
  <c r="I543" i="8"/>
  <c r="H543" i="8"/>
  <c r="G543" i="8"/>
  <c r="F543" i="8"/>
  <c r="E543" i="8"/>
  <c r="AB542" i="8"/>
  <c r="Y542" i="8"/>
  <c r="X542" i="8"/>
  <c r="W542" i="8"/>
  <c r="V542" i="8"/>
  <c r="U542" i="8"/>
  <c r="T542" i="8"/>
  <c r="P542" i="8"/>
  <c r="Z542" i="8" s="1"/>
  <c r="N542" i="8"/>
  <c r="M542" i="8"/>
  <c r="K542" i="8"/>
  <c r="J542" i="8"/>
  <c r="I542" i="8"/>
  <c r="H542" i="8"/>
  <c r="G542" i="8"/>
  <c r="F542" i="8"/>
  <c r="E542" i="8"/>
  <c r="AB541" i="8"/>
  <c r="Z541" i="8"/>
  <c r="Y541" i="8"/>
  <c r="X541" i="8"/>
  <c r="W541" i="8"/>
  <c r="V541" i="8"/>
  <c r="U541" i="8"/>
  <c r="T541" i="8"/>
  <c r="P541" i="8"/>
  <c r="N541" i="8"/>
  <c r="AA541" i="8" s="1"/>
  <c r="AC541" i="8" s="1"/>
  <c r="M541" i="8"/>
  <c r="K541" i="8"/>
  <c r="J541" i="8"/>
  <c r="I541" i="8"/>
  <c r="H541" i="8"/>
  <c r="G541" i="8"/>
  <c r="F541" i="8"/>
  <c r="E541" i="8"/>
  <c r="AB540" i="8"/>
  <c r="Y540" i="8"/>
  <c r="X540" i="8"/>
  <c r="W540" i="8"/>
  <c r="V540" i="8"/>
  <c r="U540" i="8"/>
  <c r="T540" i="8"/>
  <c r="P540" i="8"/>
  <c r="Z540" i="8" s="1"/>
  <c r="N540" i="8"/>
  <c r="M540" i="8"/>
  <c r="K540" i="8"/>
  <c r="J540" i="8"/>
  <c r="I540" i="8"/>
  <c r="H540" i="8"/>
  <c r="G540" i="8"/>
  <c r="F540" i="8"/>
  <c r="E540" i="8"/>
  <c r="AB539" i="8"/>
  <c r="Y539" i="8"/>
  <c r="X539" i="8"/>
  <c r="W539" i="8"/>
  <c r="V539" i="8"/>
  <c r="U539" i="8"/>
  <c r="T539" i="8"/>
  <c r="P539" i="8"/>
  <c r="AA539" i="8" s="1"/>
  <c r="N539" i="8"/>
  <c r="M539" i="8"/>
  <c r="K539" i="8"/>
  <c r="J539" i="8"/>
  <c r="I539" i="8"/>
  <c r="H539" i="8"/>
  <c r="G539" i="8"/>
  <c r="F539" i="8"/>
  <c r="E539" i="8"/>
  <c r="AB538" i="8"/>
  <c r="AA538" i="8"/>
  <c r="AC538" i="8" s="1"/>
  <c r="Y538" i="8"/>
  <c r="X538" i="8"/>
  <c r="W538" i="8"/>
  <c r="V538" i="8"/>
  <c r="U538" i="8"/>
  <c r="T538" i="8"/>
  <c r="P538" i="8"/>
  <c r="Z538" i="8" s="1"/>
  <c r="N538" i="8"/>
  <c r="M538" i="8"/>
  <c r="K538" i="8"/>
  <c r="J538" i="8"/>
  <c r="I538" i="8"/>
  <c r="H538" i="8"/>
  <c r="G538" i="8"/>
  <c r="F538" i="8"/>
  <c r="E538" i="8"/>
  <c r="AB537" i="8"/>
  <c r="Y537" i="8"/>
  <c r="X537" i="8"/>
  <c r="W537" i="8"/>
  <c r="V537" i="8"/>
  <c r="U537" i="8"/>
  <c r="T537" i="8"/>
  <c r="P537" i="8"/>
  <c r="AA537" i="8" s="1"/>
  <c r="N537" i="8"/>
  <c r="M537" i="8"/>
  <c r="K537" i="8"/>
  <c r="J537" i="8"/>
  <c r="I537" i="8"/>
  <c r="H537" i="8"/>
  <c r="G537" i="8"/>
  <c r="F537" i="8"/>
  <c r="E537" i="8"/>
  <c r="AB536" i="8"/>
  <c r="Y536" i="8"/>
  <c r="X536" i="8"/>
  <c r="W536" i="8"/>
  <c r="V536" i="8"/>
  <c r="U536" i="8"/>
  <c r="T536" i="8"/>
  <c r="P536" i="8"/>
  <c r="Z536" i="8" s="1"/>
  <c r="N536" i="8"/>
  <c r="M536" i="8"/>
  <c r="K536" i="8"/>
  <c r="J536" i="8"/>
  <c r="I536" i="8"/>
  <c r="H536" i="8"/>
  <c r="G536" i="8"/>
  <c r="F536" i="8"/>
  <c r="E536" i="8"/>
  <c r="AB535" i="8"/>
  <c r="Z535" i="8"/>
  <c r="Y535" i="8"/>
  <c r="X535" i="8"/>
  <c r="W535" i="8"/>
  <c r="V535" i="8"/>
  <c r="U535" i="8"/>
  <c r="T535" i="8"/>
  <c r="P535" i="8"/>
  <c r="N535" i="8"/>
  <c r="AA535" i="8" s="1"/>
  <c r="AC535" i="8" s="1"/>
  <c r="M535" i="8"/>
  <c r="K535" i="8"/>
  <c r="J535" i="8"/>
  <c r="I535" i="8"/>
  <c r="H535" i="8"/>
  <c r="G535" i="8"/>
  <c r="F535" i="8"/>
  <c r="E535" i="8"/>
  <c r="AB534" i="8"/>
  <c r="Y534" i="8"/>
  <c r="X534" i="8"/>
  <c r="W534" i="8"/>
  <c r="V534" i="8"/>
  <c r="U534" i="8"/>
  <c r="T534" i="8"/>
  <c r="P534" i="8"/>
  <c r="N534" i="8"/>
  <c r="M534" i="8"/>
  <c r="K534" i="8"/>
  <c r="J534" i="8"/>
  <c r="I534" i="8"/>
  <c r="H534" i="8"/>
  <c r="G534" i="8"/>
  <c r="F534" i="8"/>
  <c r="E534" i="8"/>
  <c r="AB533" i="8"/>
  <c r="Y533" i="8"/>
  <c r="X533" i="8"/>
  <c r="W533" i="8"/>
  <c r="V533" i="8"/>
  <c r="U533" i="8"/>
  <c r="T533" i="8"/>
  <c r="P533" i="8"/>
  <c r="AA533" i="8" s="1"/>
  <c r="N533" i="8"/>
  <c r="M533" i="8"/>
  <c r="K533" i="8"/>
  <c r="J533" i="8"/>
  <c r="I533" i="8"/>
  <c r="H533" i="8"/>
  <c r="G533" i="8"/>
  <c r="F533" i="8"/>
  <c r="E533" i="8"/>
  <c r="AB532" i="8"/>
  <c r="Y532" i="8"/>
  <c r="X532" i="8"/>
  <c r="W532" i="8"/>
  <c r="V532" i="8"/>
  <c r="U532" i="8"/>
  <c r="T532" i="8"/>
  <c r="P532" i="8"/>
  <c r="Z532" i="8" s="1"/>
  <c r="N532" i="8"/>
  <c r="M532" i="8"/>
  <c r="K532" i="8"/>
  <c r="J532" i="8"/>
  <c r="I532" i="8"/>
  <c r="H532" i="8"/>
  <c r="G532" i="8"/>
  <c r="F532" i="8"/>
  <c r="E532" i="8"/>
  <c r="AB531" i="8"/>
  <c r="Y531" i="8"/>
  <c r="X531" i="8"/>
  <c r="W531" i="8"/>
  <c r="V531" i="8"/>
  <c r="U531" i="8"/>
  <c r="T531" i="8"/>
  <c r="P531" i="8"/>
  <c r="Z531" i="8" s="1"/>
  <c r="N531" i="8"/>
  <c r="M531" i="8"/>
  <c r="K531" i="8"/>
  <c r="J531" i="8"/>
  <c r="I531" i="8"/>
  <c r="H531" i="8"/>
  <c r="G531" i="8"/>
  <c r="F531" i="8"/>
  <c r="E531" i="8"/>
  <c r="AB530" i="8"/>
  <c r="AA530" i="8"/>
  <c r="AC530" i="8" s="1"/>
  <c r="Y530" i="8"/>
  <c r="X530" i="8"/>
  <c r="W530" i="8"/>
  <c r="V530" i="8"/>
  <c r="U530" i="8"/>
  <c r="T530" i="8"/>
  <c r="P530" i="8"/>
  <c r="Z530" i="8" s="1"/>
  <c r="N530" i="8"/>
  <c r="M530" i="8"/>
  <c r="K530" i="8"/>
  <c r="J530" i="8"/>
  <c r="I530" i="8"/>
  <c r="H530" i="8"/>
  <c r="G530" i="8"/>
  <c r="F530" i="8"/>
  <c r="E530" i="8"/>
  <c r="AB529" i="8"/>
  <c r="Y529" i="8"/>
  <c r="X529" i="8"/>
  <c r="W529" i="8"/>
  <c r="V529" i="8"/>
  <c r="U529" i="8"/>
  <c r="T529" i="8"/>
  <c r="P529" i="8"/>
  <c r="AA529" i="8" s="1"/>
  <c r="N529" i="8"/>
  <c r="M529" i="8"/>
  <c r="K529" i="8"/>
  <c r="J529" i="8"/>
  <c r="I529" i="8"/>
  <c r="H529" i="8"/>
  <c r="G529" i="8"/>
  <c r="F529" i="8"/>
  <c r="E529" i="8"/>
  <c r="AB528" i="8"/>
  <c r="AA528" i="8"/>
  <c r="AC528" i="8" s="1"/>
  <c r="Y528" i="8"/>
  <c r="X528" i="8"/>
  <c r="W528" i="8"/>
  <c r="V528" i="8"/>
  <c r="U528" i="8"/>
  <c r="T528" i="8"/>
  <c r="P528" i="8"/>
  <c r="Z528" i="8" s="1"/>
  <c r="N528" i="8"/>
  <c r="M528" i="8"/>
  <c r="K528" i="8"/>
  <c r="J528" i="8"/>
  <c r="I528" i="8"/>
  <c r="H528" i="8"/>
  <c r="G528" i="8"/>
  <c r="F528" i="8"/>
  <c r="E528" i="8"/>
  <c r="AB527" i="8"/>
  <c r="Z527" i="8"/>
  <c r="Y527" i="8"/>
  <c r="X527" i="8"/>
  <c r="W527" i="8"/>
  <c r="V527" i="8"/>
  <c r="U527" i="8"/>
  <c r="T527" i="8"/>
  <c r="P527" i="8"/>
  <c r="N527" i="8"/>
  <c r="AA527" i="8" s="1"/>
  <c r="AC527" i="8" s="1"/>
  <c r="M527" i="8"/>
  <c r="K527" i="8"/>
  <c r="J527" i="8"/>
  <c r="I527" i="8"/>
  <c r="H527" i="8"/>
  <c r="G527" i="8"/>
  <c r="F527" i="8"/>
  <c r="E527" i="8"/>
  <c r="AB526" i="8"/>
  <c r="Y526" i="8"/>
  <c r="X526" i="8"/>
  <c r="W526" i="8"/>
  <c r="V526" i="8"/>
  <c r="U526" i="8"/>
  <c r="T526" i="8"/>
  <c r="P526" i="8"/>
  <c r="AA526" i="8" s="1"/>
  <c r="N526" i="8"/>
  <c r="M526" i="8"/>
  <c r="K526" i="8"/>
  <c r="J526" i="8"/>
  <c r="I526" i="8"/>
  <c r="H526" i="8"/>
  <c r="G526" i="8"/>
  <c r="F526" i="8"/>
  <c r="E526" i="8"/>
  <c r="AB525" i="8"/>
  <c r="AA525" i="8"/>
  <c r="AC525" i="8" s="1"/>
  <c r="Y525" i="8"/>
  <c r="X525" i="8"/>
  <c r="W525" i="8"/>
  <c r="V525" i="8"/>
  <c r="U525" i="8"/>
  <c r="T525" i="8"/>
  <c r="P525" i="8"/>
  <c r="Z525" i="8" s="1"/>
  <c r="N525" i="8"/>
  <c r="M525" i="8"/>
  <c r="K525" i="8"/>
  <c r="J525" i="8"/>
  <c r="I525" i="8"/>
  <c r="H525" i="8"/>
  <c r="G525" i="8"/>
  <c r="F525" i="8"/>
  <c r="E525" i="8"/>
  <c r="AB524" i="8"/>
  <c r="Y524" i="8"/>
  <c r="X524" i="8"/>
  <c r="W524" i="8"/>
  <c r="V524" i="8"/>
  <c r="U524" i="8"/>
  <c r="T524" i="8"/>
  <c r="P524" i="8"/>
  <c r="AA524" i="8" s="1"/>
  <c r="N524" i="8"/>
  <c r="M524" i="8"/>
  <c r="K524" i="8"/>
  <c r="J524" i="8"/>
  <c r="I524" i="8"/>
  <c r="H524" i="8"/>
  <c r="G524" i="8"/>
  <c r="F524" i="8"/>
  <c r="E524" i="8"/>
  <c r="AB523" i="8"/>
  <c r="Z523" i="8"/>
  <c r="Y523" i="8"/>
  <c r="X523" i="8"/>
  <c r="W523" i="8"/>
  <c r="V523" i="8"/>
  <c r="U523" i="8"/>
  <c r="T523" i="8"/>
  <c r="P523" i="8"/>
  <c r="N523" i="8"/>
  <c r="AA523" i="8" s="1"/>
  <c r="AC523" i="8" s="1"/>
  <c r="M523" i="8"/>
  <c r="K523" i="8"/>
  <c r="J523" i="8"/>
  <c r="I523" i="8"/>
  <c r="H523" i="8"/>
  <c r="G523" i="8"/>
  <c r="F523" i="8"/>
  <c r="E523" i="8"/>
  <c r="AB522" i="8"/>
  <c r="Y522" i="8"/>
  <c r="X522" i="8"/>
  <c r="W522" i="8"/>
  <c r="V522" i="8"/>
  <c r="U522" i="8"/>
  <c r="T522" i="8"/>
  <c r="P522" i="8"/>
  <c r="AA522" i="8" s="1"/>
  <c r="N522" i="8"/>
  <c r="M522" i="8"/>
  <c r="K522" i="8"/>
  <c r="J522" i="8"/>
  <c r="I522" i="8"/>
  <c r="H522" i="8"/>
  <c r="G522" i="8"/>
  <c r="F522" i="8"/>
  <c r="E522" i="8"/>
  <c r="AB521" i="8"/>
  <c r="Y521" i="8"/>
  <c r="X521" i="8"/>
  <c r="W521" i="8"/>
  <c r="V521" i="8"/>
  <c r="U521" i="8"/>
  <c r="T521" i="8"/>
  <c r="P521" i="8"/>
  <c r="AA521" i="8" s="1"/>
  <c r="N521" i="8"/>
  <c r="M521" i="8"/>
  <c r="K521" i="8"/>
  <c r="J521" i="8"/>
  <c r="I521" i="8"/>
  <c r="H521" i="8"/>
  <c r="G521" i="8"/>
  <c r="F521" i="8"/>
  <c r="E521" i="8"/>
  <c r="AB520" i="8"/>
  <c r="Z520" i="8"/>
  <c r="Y520" i="8"/>
  <c r="X520" i="8"/>
  <c r="W520" i="8"/>
  <c r="V520" i="8"/>
  <c r="U520" i="8"/>
  <c r="T520" i="8"/>
  <c r="P520" i="8"/>
  <c r="N520" i="8"/>
  <c r="AA520" i="8" s="1"/>
  <c r="AC520" i="8" s="1"/>
  <c r="M520" i="8"/>
  <c r="K520" i="8"/>
  <c r="J520" i="8"/>
  <c r="I520" i="8"/>
  <c r="H520" i="8"/>
  <c r="G520" i="8"/>
  <c r="F520" i="8"/>
  <c r="E520" i="8"/>
  <c r="AB519" i="8"/>
  <c r="Z519" i="8"/>
  <c r="Y519" i="8"/>
  <c r="X519" i="8"/>
  <c r="W519" i="8"/>
  <c r="V519" i="8"/>
  <c r="U519" i="8"/>
  <c r="T519" i="8"/>
  <c r="P519" i="8"/>
  <c r="N519" i="8"/>
  <c r="AA519" i="8" s="1"/>
  <c r="AC519" i="8" s="1"/>
  <c r="M519" i="8"/>
  <c r="K519" i="8"/>
  <c r="J519" i="8"/>
  <c r="I519" i="8"/>
  <c r="H519" i="8"/>
  <c r="G519" i="8"/>
  <c r="F519" i="8"/>
  <c r="E519" i="8"/>
  <c r="AB518" i="8"/>
  <c r="Y518" i="8"/>
  <c r="X518" i="8"/>
  <c r="W518" i="8"/>
  <c r="V518" i="8"/>
  <c r="U518" i="8"/>
  <c r="T518" i="8"/>
  <c r="P518" i="8"/>
  <c r="AA518" i="8" s="1"/>
  <c r="N518" i="8"/>
  <c r="M518" i="8"/>
  <c r="K518" i="8"/>
  <c r="J518" i="8"/>
  <c r="I518" i="8"/>
  <c r="H518" i="8"/>
  <c r="G518" i="8"/>
  <c r="F518" i="8"/>
  <c r="E518" i="8"/>
  <c r="AB517" i="8"/>
  <c r="AA517" i="8"/>
  <c r="AC517" i="8" s="1"/>
  <c r="Y517" i="8"/>
  <c r="X517" i="8"/>
  <c r="W517" i="8"/>
  <c r="V517" i="8"/>
  <c r="U517" i="8"/>
  <c r="T517" i="8"/>
  <c r="P517" i="8"/>
  <c r="Z517" i="8" s="1"/>
  <c r="N517" i="8"/>
  <c r="M517" i="8"/>
  <c r="K517" i="8"/>
  <c r="J517" i="8"/>
  <c r="I517" i="8"/>
  <c r="H517" i="8"/>
  <c r="G517" i="8"/>
  <c r="F517" i="8"/>
  <c r="E517" i="8"/>
  <c r="AB516" i="8"/>
  <c r="Y516" i="8"/>
  <c r="X516" i="8"/>
  <c r="W516" i="8"/>
  <c r="V516" i="8"/>
  <c r="U516" i="8"/>
  <c r="T516" i="8"/>
  <c r="P516" i="8"/>
  <c r="AA516" i="8" s="1"/>
  <c r="N516" i="8"/>
  <c r="M516" i="8"/>
  <c r="K516" i="8"/>
  <c r="J516" i="8"/>
  <c r="I516" i="8"/>
  <c r="H516" i="8"/>
  <c r="G516" i="8"/>
  <c r="F516" i="8"/>
  <c r="E516" i="8"/>
  <c r="AB515" i="8"/>
  <c r="Z515" i="8"/>
  <c r="Y515" i="8"/>
  <c r="X515" i="8"/>
  <c r="W515" i="8"/>
  <c r="V515" i="8"/>
  <c r="U515" i="8"/>
  <c r="T515" i="8"/>
  <c r="P515" i="8"/>
  <c r="N515" i="8"/>
  <c r="AA515" i="8" s="1"/>
  <c r="AC515" i="8" s="1"/>
  <c r="M515" i="8"/>
  <c r="K515" i="8"/>
  <c r="J515" i="8"/>
  <c r="I515" i="8"/>
  <c r="H515" i="8"/>
  <c r="G515" i="8"/>
  <c r="F515" i="8"/>
  <c r="E515" i="8"/>
  <c r="AB514" i="8"/>
  <c r="Y514" i="8"/>
  <c r="X514" i="8"/>
  <c r="W514" i="8"/>
  <c r="V514" i="8"/>
  <c r="U514" i="8"/>
  <c r="T514" i="8"/>
  <c r="P514" i="8"/>
  <c r="AA514" i="8" s="1"/>
  <c r="N514" i="8"/>
  <c r="M514" i="8"/>
  <c r="K514" i="8"/>
  <c r="J514" i="8"/>
  <c r="I514" i="8"/>
  <c r="H514" i="8"/>
  <c r="G514" i="8"/>
  <c r="F514" i="8"/>
  <c r="E514" i="8"/>
  <c r="AB513" i="8"/>
  <c r="Y513" i="8"/>
  <c r="X513" i="8"/>
  <c r="W513" i="8"/>
  <c r="V513" i="8"/>
  <c r="U513" i="8"/>
  <c r="T513" i="8"/>
  <c r="P513" i="8"/>
  <c r="AA513" i="8" s="1"/>
  <c r="N513" i="8"/>
  <c r="M513" i="8"/>
  <c r="K513" i="8"/>
  <c r="J513" i="8"/>
  <c r="I513" i="8"/>
  <c r="H513" i="8"/>
  <c r="G513" i="8"/>
  <c r="F513" i="8"/>
  <c r="E513" i="8"/>
  <c r="AB512" i="8"/>
  <c r="Z512" i="8"/>
  <c r="Y512" i="8"/>
  <c r="X512" i="8"/>
  <c r="W512" i="8"/>
  <c r="V512" i="8"/>
  <c r="U512" i="8"/>
  <c r="T512" i="8"/>
  <c r="P512" i="8"/>
  <c r="N512" i="8"/>
  <c r="AA512" i="8" s="1"/>
  <c r="AC512" i="8" s="1"/>
  <c r="M512" i="8"/>
  <c r="K512" i="8"/>
  <c r="J512" i="8"/>
  <c r="I512" i="8"/>
  <c r="H512" i="8"/>
  <c r="G512" i="8"/>
  <c r="F512" i="8"/>
  <c r="E512" i="8"/>
  <c r="AB511" i="8"/>
  <c r="Z511" i="8"/>
  <c r="Y511" i="8"/>
  <c r="X511" i="8"/>
  <c r="W511" i="8"/>
  <c r="V511" i="8"/>
  <c r="U511" i="8"/>
  <c r="T511" i="8"/>
  <c r="P511" i="8"/>
  <c r="N511" i="8"/>
  <c r="AA511" i="8" s="1"/>
  <c r="AC511" i="8" s="1"/>
  <c r="M511" i="8"/>
  <c r="K511" i="8"/>
  <c r="J511" i="8"/>
  <c r="I511" i="8"/>
  <c r="H511" i="8"/>
  <c r="G511" i="8"/>
  <c r="F511" i="8"/>
  <c r="E511" i="8"/>
  <c r="AB510" i="8"/>
  <c r="Y510" i="8"/>
  <c r="X510" i="8"/>
  <c r="W510" i="8"/>
  <c r="V510" i="8"/>
  <c r="U510" i="8"/>
  <c r="T510" i="8"/>
  <c r="P510" i="8"/>
  <c r="AA510" i="8" s="1"/>
  <c r="N510" i="8"/>
  <c r="M510" i="8"/>
  <c r="K510" i="8"/>
  <c r="J510" i="8"/>
  <c r="I510" i="8"/>
  <c r="H510" i="8"/>
  <c r="G510" i="8"/>
  <c r="F510" i="8"/>
  <c r="E510" i="8"/>
  <c r="AB509" i="8"/>
  <c r="AA509" i="8"/>
  <c r="AC509" i="8" s="1"/>
  <c r="Y509" i="8"/>
  <c r="X509" i="8"/>
  <c r="W509" i="8"/>
  <c r="V509" i="8"/>
  <c r="U509" i="8"/>
  <c r="T509" i="8"/>
  <c r="P509" i="8"/>
  <c r="Z509" i="8" s="1"/>
  <c r="N509" i="8"/>
  <c r="M509" i="8"/>
  <c r="K509" i="8"/>
  <c r="J509" i="8"/>
  <c r="I509" i="8"/>
  <c r="H509" i="8"/>
  <c r="G509" i="8"/>
  <c r="F509" i="8"/>
  <c r="E509" i="8"/>
  <c r="AB508" i="8"/>
  <c r="Y508" i="8"/>
  <c r="X508" i="8"/>
  <c r="W508" i="8"/>
  <c r="V508" i="8"/>
  <c r="U508" i="8"/>
  <c r="T508" i="8"/>
  <c r="P508" i="8"/>
  <c r="AA508" i="8" s="1"/>
  <c r="N508" i="8"/>
  <c r="M508" i="8"/>
  <c r="K508" i="8"/>
  <c r="J508" i="8"/>
  <c r="I508" i="8"/>
  <c r="H508" i="8"/>
  <c r="G508" i="8"/>
  <c r="F508" i="8"/>
  <c r="E508" i="8"/>
  <c r="AB507" i="8"/>
  <c r="Z507" i="8"/>
  <c r="Y507" i="8"/>
  <c r="X507" i="8"/>
  <c r="W507" i="8"/>
  <c r="V507" i="8"/>
  <c r="U507" i="8"/>
  <c r="T507" i="8"/>
  <c r="P507" i="8"/>
  <c r="N507" i="8"/>
  <c r="AA507" i="8" s="1"/>
  <c r="AC507" i="8" s="1"/>
  <c r="M507" i="8"/>
  <c r="K507" i="8"/>
  <c r="J507" i="8"/>
  <c r="I507" i="8"/>
  <c r="H507" i="8"/>
  <c r="G507" i="8"/>
  <c r="F507" i="8"/>
  <c r="E507" i="8"/>
  <c r="AB506" i="8"/>
  <c r="Y506" i="8"/>
  <c r="X506" i="8"/>
  <c r="W506" i="8"/>
  <c r="V506" i="8"/>
  <c r="U506" i="8"/>
  <c r="T506" i="8"/>
  <c r="P506" i="8"/>
  <c r="AA506" i="8" s="1"/>
  <c r="N506" i="8"/>
  <c r="M506" i="8"/>
  <c r="K506" i="8"/>
  <c r="J506" i="8"/>
  <c r="I506" i="8"/>
  <c r="H506" i="8"/>
  <c r="G506" i="8"/>
  <c r="F506" i="8"/>
  <c r="E506" i="8"/>
  <c r="AB505" i="8"/>
  <c r="Y505" i="8"/>
  <c r="X505" i="8"/>
  <c r="W505" i="8"/>
  <c r="V505" i="8"/>
  <c r="U505" i="8"/>
  <c r="T505" i="8"/>
  <c r="P505" i="8"/>
  <c r="AA505" i="8" s="1"/>
  <c r="N505" i="8"/>
  <c r="M505" i="8"/>
  <c r="K505" i="8"/>
  <c r="J505" i="8"/>
  <c r="I505" i="8"/>
  <c r="H505" i="8"/>
  <c r="G505" i="8"/>
  <c r="F505" i="8"/>
  <c r="E505" i="8"/>
  <c r="AB504" i="8"/>
  <c r="Z504" i="8"/>
  <c r="Y504" i="8"/>
  <c r="X504" i="8"/>
  <c r="W504" i="8"/>
  <c r="V504" i="8"/>
  <c r="U504" i="8"/>
  <c r="T504" i="8"/>
  <c r="P504" i="8"/>
  <c r="N504" i="8"/>
  <c r="AA504" i="8" s="1"/>
  <c r="AC504" i="8" s="1"/>
  <c r="M504" i="8"/>
  <c r="K504" i="8"/>
  <c r="J504" i="8"/>
  <c r="I504" i="8"/>
  <c r="H504" i="8"/>
  <c r="G504" i="8"/>
  <c r="F504" i="8"/>
  <c r="E504" i="8"/>
  <c r="AB503" i="8"/>
  <c r="Z503" i="8"/>
  <c r="Y503" i="8"/>
  <c r="X503" i="8"/>
  <c r="W503" i="8"/>
  <c r="V503" i="8"/>
  <c r="U503" i="8"/>
  <c r="T503" i="8"/>
  <c r="P503" i="8"/>
  <c r="N503" i="8"/>
  <c r="AA503" i="8" s="1"/>
  <c r="AC503" i="8" s="1"/>
  <c r="M503" i="8"/>
  <c r="K503" i="8"/>
  <c r="J503" i="8"/>
  <c r="I503" i="8"/>
  <c r="H503" i="8"/>
  <c r="G503" i="8"/>
  <c r="F503" i="8"/>
  <c r="E503" i="8"/>
  <c r="AB502" i="8"/>
  <c r="Y502" i="8"/>
  <c r="X502" i="8"/>
  <c r="W502" i="8"/>
  <c r="V502" i="8"/>
  <c r="U502" i="8"/>
  <c r="T502" i="8"/>
  <c r="P502" i="8"/>
  <c r="AA502" i="8" s="1"/>
  <c r="N502" i="8"/>
  <c r="M502" i="8"/>
  <c r="K502" i="8"/>
  <c r="J502" i="8"/>
  <c r="I502" i="8"/>
  <c r="H502" i="8"/>
  <c r="G502" i="8"/>
  <c r="F502" i="8"/>
  <c r="E502" i="8"/>
  <c r="AB501" i="8"/>
  <c r="AA501" i="8"/>
  <c r="AC501" i="8" s="1"/>
  <c r="Y501" i="8"/>
  <c r="X501" i="8"/>
  <c r="W501" i="8"/>
  <c r="V501" i="8"/>
  <c r="U501" i="8"/>
  <c r="T501" i="8"/>
  <c r="P501" i="8"/>
  <c r="Z501" i="8" s="1"/>
  <c r="N501" i="8"/>
  <c r="M501" i="8"/>
  <c r="K501" i="8"/>
  <c r="J501" i="8"/>
  <c r="I501" i="8"/>
  <c r="H501" i="8"/>
  <c r="G501" i="8"/>
  <c r="F501" i="8"/>
  <c r="E501" i="8"/>
  <c r="AB500" i="8"/>
  <c r="Y500" i="8"/>
  <c r="X500" i="8"/>
  <c r="W500" i="8"/>
  <c r="V500" i="8"/>
  <c r="U500" i="8"/>
  <c r="T500" i="8"/>
  <c r="P500" i="8"/>
  <c r="AA500" i="8" s="1"/>
  <c r="N500" i="8"/>
  <c r="M500" i="8"/>
  <c r="K500" i="8"/>
  <c r="J500" i="8"/>
  <c r="I500" i="8"/>
  <c r="H500" i="8"/>
  <c r="G500" i="8"/>
  <c r="F500" i="8"/>
  <c r="E500" i="8"/>
  <c r="AB499" i="8"/>
  <c r="Z499" i="8"/>
  <c r="Y499" i="8"/>
  <c r="X499" i="8"/>
  <c r="W499" i="8"/>
  <c r="V499" i="8"/>
  <c r="U499" i="8"/>
  <c r="T499" i="8"/>
  <c r="P499" i="8"/>
  <c r="N499" i="8"/>
  <c r="AA499" i="8" s="1"/>
  <c r="AC499" i="8" s="1"/>
  <c r="M499" i="8"/>
  <c r="K499" i="8"/>
  <c r="J499" i="8"/>
  <c r="I499" i="8"/>
  <c r="H499" i="8"/>
  <c r="G499" i="8"/>
  <c r="F499" i="8"/>
  <c r="E499" i="8"/>
  <c r="AB498" i="8"/>
  <c r="Y498" i="8"/>
  <c r="X498" i="8"/>
  <c r="W498" i="8"/>
  <c r="V498" i="8"/>
  <c r="U498" i="8"/>
  <c r="T498" i="8"/>
  <c r="P498" i="8"/>
  <c r="AA498" i="8" s="1"/>
  <c r="N498" i="8"/>
  <c r="M498" i="8"/>
  <c r="K498" i="8"/>
  <c r="J498" i="8"/>
  <c r="I498" i="8"/>
  <c r="H498" i="8"/>
  <c r="G498" i="8"/>
  <c r="F498" i="8"/>
  <c r="E498" i="8"/>
  <c r="AB497" i="8"/>
  <c r="Y497" i="8"/>
  <c r="X497" i="8"/>
  <c r="W497" i="8"/>
  <c r="V497" i="8"/>
  <c r="U497" i="8"/>
  <c r="T497" i="8"/>
  <c r="P497" i="8"/>
  <c r="AA497" i="8" s="1"/>
  <c r="N497" i="8"/>
  <c r="M497" i="8"/>
  <c r="K497" i="8"/>
  <c r="J497" i="8"/>
  <c r="I497" i="8"/>
  <c r="H497" i="8"/>
  <c r="G497" i="8"/>
  <c r="F497" i="8"/>
  <c r="E497" i="8"/>
  <c r="AB496" i="8"/>
  <c r="Z496" i="8"/>
  <c r="Y496" i="8"/>
  <c r="X496" i="8"/>
  <c r="W496" i="8"/>
  <c r="V496" i="8"/>
  <c r="U496" i="8"/>
  <c r="T496" i="8"/>
  <c r="P496" i="8"/>
  <c r="N496" i="8"/>
  <c r="AA496" i="8" s="1"/>
  <c r="AC496" i="8" s="1"/>
  <c r="M496" i="8"/>
  <c r="K496" i="8"/>
  <c r="J496" i="8"/>
  <c r="I496" i="8"/>
  <c r="H496" i="8"/>
  <c r="G496" i="8"/>
  <c r="F496" i="8"/>
  <c r="E496" i="8"/>
  <c r="AB495" i="8"/>
  <c r="Z495" i="8"/>
  <c r="Y495" i="8"/>
  <c r="X495" i="8"/>
  <c r="W495" i="8"/>
  <c r="V495" i="8"/>
  <c r="U495" i="8"/>
  <c r="T495" i="8"/>
  <c r="P495" i="8"/>
  <c r="N495" i="8"/>
  <c r="AA495" i="8" s="1"/>
  <c r="AC495" i="8" s="1"/>
  <c r="M495" i="8"/>
  <c r="K495" i="8"/>
  <c r="J495" i="8"/>
  <c r="I495" i="8"/>
  <c r="H495" i="8"/>
  <c r="G495" i="8"/>
  <c r="F495" i="8"/>
  <c r="E495" i="8"/>
  <c r="AB494" i="8"/>
  <c r="Y494" i="8"/>
  <c r="X494" i="8"/>
  <c r="W494" i="8"/>
  <c r="V494" i="8"/>
  <c r="U494" i="8"/>
  <c r="T494" i="8"/>
  <c r="P494" i="8"/>
  <c r="AA494" i="8" s="1"/>
  <c r="N494" i="8"/>
  <c r="M494" i="8"/>
  <c r="K494" i="8"/>
  <c r="J494" i="8"/>
  <c r="I494" i="8"/>
  <c r="H494" i="8"/>
  <c r="G494" i="8"/>
  <c r="F494" i="8"/>
  <c r="E494" i="8"/>
  <c r="AB493" i="8"/>
  <c r="AA493" i="8"/>
  <c r="AC493" i="8" s="1"/>
  <c r="Y493" i="8"/>
  <c r="X493" i="8"/>
  <c r="W493" i="8"/>
  <c r="V493" i="8"/>
  <c r="U493" i="8"/>
  <c r="T493" i="8"/>
  <c r="P493" i="8"/>
  <c r="Z493" i="8" s="1"/>
  <c r="N493" i="8"/>
  <c r="M493" i="8"/>
  <c r="K493" i="8"/>
  <c r="J493" i="8"/>
  <c r="I493" i="8"/>
  <c r="H493" i="8"/>
  <c r="G493" i="8"/>
  <c r="F493" i="8"/>
  <c r="E493" i="8"/>
  <c r="AB492" i="8"/>
  <c r="Y492" i="8"/>
  <c r="X492" i="8"/>
  <c r="W492" i="8"/>
  <c r="V492" i="8"/>
  <c r="U492" i="8"/>
  <c r="T492" i="8"/>
  <c r="P492" i="8"/>
  <c r="AA492" i="8" s="1"/>
  <c r="N492" i="8"/>
  <c r="M492" i="8"/>
  <c r="K492" i="8"/>
  <c r="J492" i="8"/>
  <c r="I492" i="8"/>
  <c r="H492" i="8"/>
  <c r="G492" i="8"/>
  <c r="F492" i="8"/>
  <c r="E492" i="8"/>
  <c r="AB491" i="8"/>
  <c r="Z491" i="8"/>
  <c r="Y491" i="8"/>
  <c r="X491" i="8"/>
  <c r="W491" i="8"/>
  <c r="V491" i="8"/>
  <c r="U491" i="8"/>
  <c r="T491" i="8"/>
  <c r="P491" i="8"/>
  <c r="N491" i="8"/>
  <c r="AA491" i="8" s="1"/>
  <c r="AC491" i="8" s="1"/>
  <c r="M491" i="8"/>
  <c r="K491" i="8"/>
  <c r="J491" i="8"/>
  <c r="I491" i="8"/>
  <c r="H491" i="8"/>
  <c r="G491" i="8"/>
  <c r="F491" i="8"/>
  <c r="E491" i="8"/>
  <c r="AB490" i="8"/>
  <c r="Y490" i="8"/>
  <c r="X490" i="8"/>
  <c r="W490" i="8"/>
  <c r="V490" i="8"/>
  <c r="U490" i="8"/>
  <c r="T490" i="8"/>
  <c r="P490" i="8"/>
  <c r="AA490" i="8" s="1"/>
  <c r="N490" i="8"/>
  <c r="M490" i="8"/>
  <c r="K490" i="8"/>
  <c r="J490" i="8"/>
  <c r="I490" i="8"/>
  <c r="H490" i="8"/>
  <c r="G490" i="8"/>
  <c r="F490" i="8"/>
  <c r="E490" i="8"/>
  <c r="AB489" i="8"/>
  <c r="Y489" i="8"/>
  <c r="X489" i="8"/>
  <c r="W489" i="8"/>
  <c r="V489" i="8"/>
  <c r="U489" i="8"/>
  <c r="T489" i="8"/>
  <c r="P489" i="8"/>
  <c r="AA489" i="8" s="1"/>
  <c r="N489" i="8"/>
  <c r="M489" i="8"/>
  <c r="K489" i="8"/>
  <c r="J489" i="8"/>
  <c r="I489" i="8"/>
  <c r="H489" i="8"/>
  <c r="G489" i="8"/>
  <c r="F489" i="8"/>
  <c r="E489" i="8"/>
  <c r="AB488" i="8"/>
  <c r="Z488" i="8"/>
  <c r="Y488" i="8"/>
  <c r="X488" i="8"/>
  <c r="W488" i="8"/>
  <c r="V488" i="8"/>
  <c r="U488" i="8"/>
  <c r="T488" i="8"/>
  <c r="P488" i="8"/>
  <c r="N488" i="8"/>
  <c r="AA488" i="8" s="1"/>
  <c r="AC488" i="8" s="1"/>
  <c r="M488" i="8"/>
  <c r="K488" i="8"/>
  <c r="J488" i="8"/>
  <c r="I488" i="8"/>
  <c r="H488" i="8"/>
  <c r="G488" i="8"/>
  <c r="F488" i="8"/>
  <c r="E488" i="8"/>
  <c r="AB487" i="8"/>
  <c r="Z487" i="8"/>
  <c r="Y487" i="8"/>
  <c r="X487" i="8"/>
  <c r="W487" i="8"/>
  <c r="V487" i="8"/>
  <c r="U487" i="8"/>
  <c r="T487" i="8"/>
  <c r="P487" i="8"/>
  <c r="N487" i="8"/>
  <c r="AA487" i="8" s="1"/>
  <c r="AC487" i="8" s="1"/>
  <c r="M487" i="8"/>
  <c r="K487" i="8"/>
  <c r="J487" i="8"/>
  <c r="I487" i="8"/>
  <c r="H487" i="8"/>
  <c r="G487" i="8"/>
  <c r="F487" i="8"/>
  <c r="E487" i="8"/>
  <c r="AB486" i="8"/>
  <c r="Y486" i="8"/>
  <c r="X486" i="8"/>
  <c r="W486" i="8"/>
  <c r="V486" i="8"/>
  <c r="U486" i="8"/>
  <c r="T486" i="8"/>
  <c r="P486" i="8"/>
  <c r="AA486" i="8" s="1"/>
  <c r="N486" i="8"/>
  <c r="M486" i="8"/>
  <c r="K486" i="8"/>
  <c r="J486" i="8"/>
  <c r="I486" i="8"/>
  <c r="H486" i="8"/>
  <c r="G486" i="8"/>
  <c r="F486" i="8"/>
  <c r="E486" i="8"/>
  <c r="AB485" i="8"/>
  <c r="AA485" i="8"/>
  <c r="AC485" i="8" s="1"/>
  <c r="Y485" i="8"/>
  <c r="X485" i="8"/>
  <c r="W485" i="8"/>
  <c r="V485" i="8"/>
  <c r="U485" i="8"/>
  <c r="T485" i="8"/>
  <c r="P485" i="8"/>
  <c r="Z485" i="8" s="1"/>
  <c r="N485" i="8"/>
  <c r="M485" i="8"/>
  <c r="K485" i="8"/>
  <c r="J485" i="8"/>
  <c r="I485" i="8"/>
  <c r="H485" i="8"/>
  <c r="G485" i="8"/>
  <c r="F485" i="8"/>
  <c r="E485" i="8"/>
  <c r="AB484" i="8"/>
  <c r="Y484" i="8"/>
  <c r="X484" i="8"/>
  <c r="W484" i="8"/>
  <c r="V484" i="8"/>
  <c r="U484" i="8"/>
  <c r="T484" i="8"/>
  <c r="P484" i="8"/>
  <c r="AA484" i="8" s="1"/>
  <c r="N484" i="8"/>
  <c r="M484" i="8"/>
  <c r="K484" i="8"/>
  <c r="J484" i="8"/>
  <c r="I484" i="8"/>
  <c r="H484" i="8"/>
  <c r="G484" i="8"/>
  <c r="F484" i="8"/>
  <c r="E484" i="8"/>
  <c r="AB483" i="8"/>
  <c r="Z483" i="8"/>
  <c r="Y483" i="8"/>
  <c r="X483" i="8"/>
  <c r="W483" i="8"/>
  <c r="V483" i="8"/>
  <c r="U483" i="8"/>
  <c r="T483" i="8"/>
  <c r="P483" i="8"/>
  <c r="N483" i="8"/>
  <c r="AA483" i="8" s="1"/>
  <c r="AC483" i="8" s="1"/>
  <c r="M483" i="8"/>
  <c r="K483" i="8"/>
  <c r="J483" i="8"/>
  <c r="I483" i="8"/>
  <c r="H483" i="8"/>
  <c r="G483" i="8"/>
  <c r="F483" i="8"/>
  <c r="E483" i="8"/>
  <c r="AB482" i="8"/>
  <c r="Y482" i="8"/>
  <c r="X482" i="8"/>
  <c r="W482" i="8"/>
  <c r="V482" i="8"/>
  <c r="U482" i="8"/>
  <c r="T482" i="8"/>
  <c r="P482" i="8"/>
  <c r="AA482" i="8" s="1"/>
  <c r="N482" i="8"/>
  <c r="M482" i="8"/>
  <c r="K482" i="8"/>
  <c r="J482" i="8"/>
  <c r="I482" i="8"/>
  <c r="H482" i="8"/>
  <c r="G482" i="8"/>
  <c r="F482" i="8"/>
  <c r="E482" i="8"/>
  <c r="AB481" i="8"/>
  <c r="Y481" i="8"/>
  <c r="X481" i="8"/>
  <c r="W481" i="8"/>
  <c r="V481" i="8"/>
  <c r="U481" i="8"/>
  <c r="T481" i="8"/>
  <c r="P481" i="8"/>
  <c r="AA481" i="8" s="1"/>
  <c r="AC481" i="8" s="1"/>
  <c r="N481" i="8"/>
  <c r="M481" i="8"/>
  <c r="K481" i="8"/>
  <c r="J481" i="8"/>
  <c r="I481" i="8"/>
  <c r="H481" i="8"/>
  <c r="G481" i="8"/>
  <c r="F481" i="8"/>
  <c r="E481" i="8"/>
  <c r="AB480" i="8"/>
  <c r="Z480" i="8"/>
  <c r="Y480" i="8"/>
  <c r="X480" i="8"/>
  <c r="W480" i="8"/>
  <c r="V480" i="8"/>
  <c r="U480" i="8"/>
  <c r="T480" i="8"/>
  <c r="P480" i="8"/>
  <c r="N480" i="8"/>
  <c r="AA480" i="8" s="1"/>
  <c r="AC480" i="8" s="1"/>
  <c r="M480" i="8"/>
  <c r="K480" i="8"/>
  <c r="J480" i="8"/>
  <c r="I480" i="8"/>
  <c r="H480" i="8"/>
  <c r="G480" i="8"/>
  <c r="F480" i="8"/>
  <c r="E480" i="8"/>
  <c r="AB479" i="8"/>
  <c r="Z479" i="8"/>
  <c r="Y479" i="8"/>
  <c r="X479" i="8"/>
  <c r="W479" i="8"/>
  <c r="V479" i="8"/>
  <c r="U479" i="8"/>
  <c r="T479" i="8"/>
  <c r="P479" i="8"/>
  <c r="N479" i="8"/>
  <c r="AA479" i="8" s="1"/>
  <c r="AC479" i="8" s="1"/>
  <c r="M479" i="8"/>
  <c r="K479" i="8"/>
  <c r="J479" i="8"/>
  <c r="I479" i="8"/>
  <c r="H479" i="8"/>
  <c r="G479" i="8"/>
  <c r="F479" i="8"/>
  <c r="E479" i="8"/>
  <c r="AB478" i="8"/>
  <c r="Y478" i="8"/>
  <c r="X478" i="8"/>
  <c r="W478" i="8"/>
  <c r="V478" i="8"/>
  <c r="U478" i="8"/>
  <c r="T478" i="8"/>
  <c r="P478" i="8"/>
  <c r="AA478" i="8" s="1"/>
  <c r="N478" i="8"/>
  <c r="M478" i="8"/>
  <c r="K478" i="8"/>
  <c r="J478" i="8"/>
  <c r="I478" i="8"/>
  <c r="H478" i="8"/>
  <c r="G478" i="8"/>
  <c r="F478" i="8"/>
  <c r="E478" i="8"/>
  <c r="AB477" i="8"/>
  <c r="Y477" i="8"/>
  <c r="X477" i="8"/>
  <c r="W477" i="8"/>
  <c r="V477" i="8"/>
  <c r="U477" i="8"/>
  <c r="T477" i="8"/>
  <c r="P477" i="8"/>
  <c r="AA477" i="8" s="1"/>
  <c r="N477" i="8"/>
  <c r="M477" i="8"/>
  <c r="K477" i="8"/>
  <c r="J477" i="8"/>
  <c r="I477" i="8"/>
  <c r="H477" i="8"/>
  <c r="G477" i="8"/>
  <c r="F477" i="8"/>
  <c r="E477" i="8"/>
  <c r="AB476" i="8"/>
  <c r="Y476" i="8"/>
  <c r="X476" i="8"/>
  <c r="W476" i="8"/>
  <c r="V476" i="8"/>
  <c r="U476" i="8"/>
  <c r="T476" i="8"/>
  <c r="P476" i="8"/>
  <c r="AA476" i="8" s="1"/>
  <c r="N476" i="8"/>
  <c r="M476" i="8"/>
  <c r="K476" i="8"/>
  <c r="J476" i="8"/>
  <c r="I476" i="8"/>
  <c r="H476" i="8"/>
  <c r="G476" i="8"/>
  <c r="F476" i="8"/>
  <c r="E476" i="8"/>
  <c r="AB475" i="8"/>
  <c r="Y475" i="8"/>
  <c r="X475" i="8"/>
  <c r="W475" i="8"/>
  <c r="V475" i="8"/>
  <c r="U475" i="8"/>
  <c r="T475" i="8"/>
  <c r="P475" i="8"/>
  <c r="Z475" i="8" s="1"/>
  <c r="N475" i="8"/>
  <c r="M475" i="8"/>
  <c r="K475" i="8"/>
  <c r="J475" i="8"/>
  <c r="I475" i="8"/>
  <c r="H475" i="8"/>
  <c r="G475" i="8"/>
  <c r="F475" i="8"/>
  <c r="E475" i="8"/>
  <c r="AB474" i="8"/>
  <c r="Y474" i="8"/>
  <c r="X474" i="8"/>
  <c r="W474" i="8"/>
  <c r="V474" i="8"/>
  <c r="U474" i="8"/>
  <c r="T474" i="8"/>
  <c r="P474" i="8"/>
  <c r="AA474" i="8" s="1"/>
  <c r="N474" i="8"/>
  <c r="M474" i="8"/>
  <c r="K474" i="8"/>
  <c r="J474" i="8"/>
  <c r="I474" i="8"/>
  <c r="H474" i="8"/>
  <c r="G474" i="8"/>
  <c r="F474" i="8"/>
  <c r="E474" i="8"/>
  <c r="AB473" i="8"/>
  <c r="Z473" i="8"/>
  <c r="Y473" i="8"/>
  <c r="X473" i="8"/>
  <c r="W473" i="8"/>
  <c r="V473" i="8"/>
  <c r="U473" i="8"/>
  <c r="T473" i="8"/>
  <c r="P473" i="8"/>
  <c r="N473" i="8"/>
  <c r="AA473" i="8" s="1"/>
  <c r="AC473" i="8" s="1"/>
  <c r="M473" i="8"/>
  <c r="K473" i="8"/>
  <c r="J473" i="8"/>
  <c r="I473" i="8"/>
  <c r="H473" i="8"/>
  <c r="G473" i="8"/>
  <c r="F473" i="8"/>
  <c r="E473" i="8"/>
  <c r="AB472" i="8"/>
  <c r="Z472" i="8"/>
  <c r="Y472" i="8"/>
  <c r="X472" i="8"/>
  <c r="W472" i="8"/>
  <c r="V472" i="8"/>
  <c r="U472" i="8"/>
  <c r="T472" i="8"/>
  <c r="P472" i="8"/>
  <c r="N472" i="8"/>
  <c r="AA472" i="8" s="1"/>
  <c r="AC472" i="8" s="1"/>
  <c r="M472" i="8"/>
  <c r="K472" i="8"/>
  <c r="J472" i="8"/>
  <c r="I472" i="8"/>
  <c r="H472" i="8"/>
  <c r="G472" i="8"/>
  <c r="F472" i="8"/>
  <c r="E472" i="8"/>
  <c r="AB471" i="8"/>
  <c r="Z471" i="8"/>
  <c r="Y471" i="8"/>
  <c r="X471" i="8"/>
  <c r="W471" i="8"/>
  <c r="V471" i="8"/>
  <c r="U471" i="8"/>
  <c r="T471" i="8"/>
  <c r="P471" i="8"/>
  <c r="N471" i="8"/>
  <c r="AA471" i="8" s="1"/>
  <c r="AC471" i="8" s="1"/>
  <c r="M471" i="8"/>
  <c r="K471" i="8"/>
  <c r="J471" i="8"/>
  <c r="I471" i="8"/>
  <c r="H471" i="8"/>
  <c r="G471" i="8"/>
  <c r="F471" i="8"/>
  <c r="E471" i="8"/>
  <c r="AB470" i="8"/>
  <c r="Y470" i="8"/>
  <c r="X470" i="8"/>
  <c r="W470" i="8"/>
  <c r="V470" i="8"/>
  <c r="U470" i="8"/>
  <c r="T470" i="8"/>
  <c r="P470" i="8"/>
  <c r="AA470" i="8" s="1"/>
  <c r="AC470" i="8" s="1"/>
  <c r="N470" i="8"/>
  <c r="M470" i="8"/>
  <c r="K470" i="8"/>
  <c r="J470" i="8"/>
  <c r="I470" i="8"/>
  <c r="H470" i="8"/>
  <c r="G470" i="8"/>
  <c r="F470" i="8"/>
  <c r="E470" i="8"/>
  <c r="AB469" i="8"/>
  <c r="Y469" i="8"/>
  <c r="X469" i="8"/>
  <c r="W469" i="8"/>
  <c r="V469" i="8"/>
  <c r="U469" i="8"/>
  <c r="T469" i="8"/>
  <c r="P469" i="8"/>
  <c r="AA469" i="8" s="1"/>
  <c r="N469" i="8"/>
  <c r="M469" i="8"/>
  <c r="K469" i="8"/>
  <c r="J469" i="8"/>
  <c r="I469" i="8"/>
  <c r="H469" i="8"/>
  <c r="G469" i="8"/>
  <c r="F469" i="8"/>
  <c r="E469" i="8"/>
  <c r="AB468" i="8"/>
  <c r="Y468" i="8"/>
  <c r="X468" i="8"/>
  <c r="W468" i="8"/>
  <c r="V468" i="8"/>
  <c r="U468" i="8"/>
  <c r="T468" i="8"/>
  <c r="P468" i="8"/>
  <c r="Z468" i="8" s="1"/>
  <c r="N468" i="8"/>
  <c r="M468" i="8"/>
  <c r="K468" i="8"/>
  <c r="J468" i="8"/>
  <c r="I468" i="8"/>
  <c r="H468" i="8"/>
  <c r="G468" i="8"/>
  <c r="F468" i="8"/>
  <c r="E468" i="8"/>
  <c r="AB467" i="8"/>
  <c r="Y467" i="8"/>
  <c r="X467" i="8"/>
  <c r="W467" i="8"/>
  <c r="V467" i="8"/>
  <c r="U467" i="8"/>
  <c r="T467" i="8"/>
  <c r="P467" i="8"/>
  <c r="AA467" i="8" s="1"/>
  <c r="N467" i="8"/>
  <c r="M467" i="8"/>
  <c r="K467" i="8"/>
  <c r="J467" i="8"/>
  <c r="I467" i="8"/>
  <c r="H467" i="8"/>
  <c r="G467" i="8"/>
  <c r="F467" i="8"/>
  <c r="E467" i="8"/>
  <c r="AB466" i="8"/>
  <c r="Z466" i="8"/>
  <c r="Y466" i="8"/>
  <c r="X466" i="8"/>
  <c r="W466" i="8"/>
  <c r="V466" i="8"/>
  <c r="U466" i="8"/>
  <c r="T466" i="8"/>
  <c r="P466" i="8"/>
  <c r="N466" i="8"/>
  <c r="AA466" i="8" s="1"/>
  <c r="AC466" i="8" s="1"/>
  <c r="M466" i="8"/>
  <c r="K466" i="8"/>
  <c r="J466" i="8"/>
  <c r="I466" i="8"/>
  <c r="H466" i="8"/>
  <c r="G466" i="8"/>
  <c r="F466" i="8"/>
  <c r="E466" i="8"/>
  <c r="AB465" i="8"/>
  <c r="Y465" i="8"/>
  <c r="X465" i="8"/>
  <c r="W465" i="8"/>
  <c r="V465" i="8"/>
  <c r="U465" i="8"/>
  <c r="T465" i="8"/>
  <c r="P465" i="8"/>
  <c r="AA465" i="8" s="1"/>
  <c r="AC465" i="8" s="1"/>
  <c r="N465" i="8"/>
  <c r="M465" i="8"/>
  <c r="K465" i="8"/>
  <c r="J465" i="8"/>
  <c r="I465" i="8"/>
  <c r="H465" i="8"/>
  <c r="G465" i="8"/>
  <c r="F465" i="8"/>
  <c r="E465" i="8"/>
  <c r="AB464" i="8"/>
  <c r="Z464" i="8"/>
  <c r="Y464" i="8"/>
  <c r="X464" i="8"/>
  <c r="W464" i="8"/>
  <c r="V464" i="8"/>
  <c r="U464" i="8"/>
  <c r="T464" i="8"/>
  <c r="P464" i="8"/>
  <c r="N464" i="8"/>
  <c r="AA464" i="8" s="1"/>
  <c r="M464" i="8"/>
  <c r="K464" i="8"/>
  <c r="J464" i="8"/>
  <c r="I464" i="8"/>
  <c r="H464" i="8"/>
  <c r="G464" i="8"/>
  <c r="F464" i="8"/>
  <c r="E464" i="8"/>
  <c r="AC463" i="8"/>
  <c r="AB463" i="8"/>
  <c r="Z463" i="8"/>
  <c r="Y463" i="8"/>
  <c r="X463" i="8"/>
  <c r="W463" i="8"/>
  <c r="V463" i="8"/>
  <c r="U463" i="8"/>
  <c r="T463" i="8"/>
  <c r="P463" i="8"/>
  <c r="N463" i="8"/>
  <c r="AA463" i="8" s="1"/>
  <c r="M463" i="8"/>
  <c r="K463" i="8"/>
  <c r="J463" i="8"/>
  <c r="I463" i="8"/>
  <c r="H463" i="8"/>
  <c r="G463" i="8"/>
  <c r="F463" i="8"/>
  <c r="E463" i="8"/>
  <c r="AB462" i="8"/>
  <c r="Y462" i="8"/>
  <c r="X462" i="8"/>
  <c r="W462" i="8"/>
  <c r="V462" i="8"/>
  <c r="U462" i="8"/>
  <c r="T462" i="8"/>
  <c r="P462" i="8"/>
  <c r="AA462" i="8" s="1"/>
  <c r="N462" i="8"/>
  <c r="M462" i="8"/>
  <c r="K462" i="8"/>
  <c r="J462" i="8"/>
  <c r="I462" i="8"/>
  <c r="H462" i="8"/>
  <c r="G462" i="8"/>
  <c r="F462" i="8"/>
  <c r="E462" i="8"/>
  <c r="AB461" i="8"/>
  <c r="Y461" i="8"/>
  <c r="X461" i="8"/>
  <c r="W461" i="8"/>
  <c r="V461" i="8"/>
  <c r="U461" i="8"/>
  <c r="T461" i="8"/>
  <c r="P461" i="8"/>
  <c r="AA461" i="8" s="1"/>
  <c r="N461" i="8"/>
  <c r="M461" i="8"/>
  <c r="K461" i="8"/>
  <c r="J461" i="8"/>
  <c r="I461" i="8"/>
  <c r="H461" i="8"/>
  <c r="G461" i="8"/>
  <c r="F461" i="8"/>
  <c r="E461" i="8"/>
  <c r="AB460" i="8"/>
  <c r="Y460" i="8"/>
  <c r="X460" i="8"/>
  <c r="W460" i="8"/>
  <c r="V460" i="8"/>
  <c r="U460" i="8"/>
  <c r="T460" i="8"/>
  <c r="P460" i="8"/>
  <c r="AA460" i="8" s="1"/>
  <c r="N460" i="8"/>
  <c r="M460" i="8"/>
  <c r="K460" i="8"/>
  <c r="J460" i="8"/>
  <c r="I460" i="8"/>
  <c r="H460" i="8"/>
  <c r="G460" i="8"/>
  <c r="F460" i="8"/>
  <c r="E460" i="8"/>
  <c r="AB459" i="8"/>
  <c r="AA459" i="8"/>
  <c r="AC459" i="8" s="1"/>
  <c r="Y459" i="8"/>
  <c r="X459" i="8"/>
  <c r="W459" i="8"/>
  <c r="V459" i="8"/>
  <c r="U459" i="8"/>
  <c r="T459" i="8"/>
  <c r="P459" i="8"/>
  <c r="Z459" i="8" s="1"/>
  <c r="N459" i="8"/>
  <c r="M459" i="8"/>
  <c r="K459" i="8"/>
  <c r="J459" i="8"/>
  <c r="I459" i="8"/>
  <c r="H459" i="8"/>
  <c r="G459" i="8"/>
  <c r="F459" i="8"/>
  <c r="E459" i="8"/>
  <c r="AB458" i="8"/>
  <c r="Y458" i="8"/>
  <c r="X458" i="8"/>
  <c r="W458" i="8"/>
  <c r="V458" i="8"/>
  <c r="U458" i="8"/>
  <c r="T458" i="8"/>
  <c r="P458" i="8"/>
  <c r="AA458" i="8" s="1"/>
  <c r="N458" i="8"/>
  <c r="M458" i="8"/>
  <c r="K458" i="8"/>
  <c r="J458" i="8"/>
  <c r="I458" i="8"/>
  <c r="H458" i="8"/>
  <c r="G458" i="8"/>
  <c r="F458" i="8"/>
  <c r="E458" i="8"/>
  <c r="AB457" i="8"/>
  <c r="Z457" i="8"/>
  <c r="Y457" i="8"/>
  <c r="X457" i="8"/>
  <c r="W457" i="8"/>
  <c r="V457" i="8"/>
  <c r="U457" i="8"/>
  <c r="T457" i="8"/>
  <c r="P457" i="8"/>
  <c r="N457" i="8"/>
  <c r="AA457" i="8" s="1"/>
  <c r="AC457" i="8" s="1"/>
  <c r="M457" i="8"/>
  <c r="K457" i="8"/>
  <c r="J457" i="8"/>
  <c r="I457" i="8"/>
  <c r="H457" i="8"/>
  <c r="G457" i="8"/>
  <c r="F457" i="8"/>
  <c r="E457" i="8"/>
  <c r="AB456" i="8"/>
  <c r="Z456" i="8"/>
  <c r="Y456" i="8"/>
  <c r="X456" i="8"/>
  <c r="W456" i="8"/>
  <c r="V456" i="8"/>
  <c r="U456" i="8"/>
  <c r="T456" i="8"/>
  <c r="P456" i="8"/>
  <c r="N456" i="8"/>
  <c r="AA456" i="8" s="1"/>
  <c r="AC456" i="8" s="1"/>
  <c r="M456" i="8"/>
  <c r="K456" i="8"/>
  <c r="J456" i="8"/>
  <c r="I456" i="8"/>
  <c r="H456" i="8"/>
  <c r="G456" i="8"/>
  <c r="F456" i="8"/>
  <c r="E456" i="8"/>
  <c r="AB455" i="8"/>
  <c r="Z455" i="8"/>
  <c r="Y455" i="8"/>
  <c r="X455" i="8"/>
  <c r="W455" i="8"/>
  <c r="V455" i="8"/>
  <c r="U455" i="8"/>
  <c r="T455" i="8"/>
  <c r="P455" i="8"/>
  <c r="N455" i="8"/>
  <c r="AA455" i="8" s="1"/>
  <c r="AC455" i="8" s="1"/>
  <c r="M455" i="8"/>
  <c r="K455" i="8"/>
  <c r="J455" i="8"/>
  <c r="I455" i="8"/>
  <c r="H455" i="8"/>
  <c r="G455" i="8"/>
  <c r="F455" i="8"/>
  <c r="E455" i="8"/>
  <c r="AB454" i="8"/>
  <c r="Y454" i="8"/>
  <c r="X454" i="8"/>
  <c r="W454" i="8"/>
  <c r="V454" i="8"/>
  <c r="U454" i="8"/>
  <c r="T454" i="8"/>
  <c r="P454" i="8"/>
  <c r="AA454" i="8" s="1"/>
  <c r="AC454" i="8" s="1"/>
  <c r="N454" i="8"/>
  <c r="M454" i="8"/>
  <c r="K454" i="8"/>
  <c r="J454" i="8"/>
  <c r="I454" i="8"/>
  <c r="H454" i="8"/>
  <c r="G454" i="8"/>
  <c r="F454" i="8"/>
  <c r="E454" i="8"/>
  <c r="AB453" i="8"/>
  <c r="Y453" i="8"/>
  <c r="X453" i="8"/>
  <c r="W453" i="8"/>
  <c r="V453" i="8"/>
  <c r="U453" i="8"/>
  <c r="T453" i="8"/>
  <c r="P453" i="8"/>
  <c r="AA453" i="8" s="1"/>
  <c r="N453" i="8"/>
  <c r="M453" i="8"/>
  <c r="K453" i="8"/>
  <c r="J453" i="8"/>
  <c r="I453" i="8"/>
  <c r="H453" i="8"/>
  <c r="G453" i="8"/>
  <c r="F453" i="8"/>
  <c r="E453" i="8"/>
  <c r="AB452" i="8"/>
  <c r="Y452" i="8"/>
  <c r="X452" i="8"/>
  <c r="W452" i="8"/>
  <c r="V452" i="8"/>
  <c r="U452" i="8"/>
  <c r="T452" i="8"/>
  <c r="P452" i="8"/>
  <c r="Z452" i="8" s="1"/>
  <c r="N452" i="8"/>
  <c r="M452" i="8"/>
  <c r="K452" i="8"/>
  <c r="J452" i="8"/>
  <c r="I452" i="8"/>
  <c r="H452" i="8"/>
  <c r="G452" i="8"/>
  <c r="F452" i="8"/>
  <c r="E452" i="8"/>
  <c r="AB451" i="8"/>
  <c r="Y451" i="8"/>
  <c r="X451" i="8"/>
  <c r="W451" i="8"/>
  <c r="V451" i="8"/>
  <c r="U451" i="8"/>
  <c r="T451" i="8"/>
  <c r="P451" i="8"/>
  <c r="AA451" i="8" s="1"/>
  <c r="N451" i="8"/>
  <c r="M451" i="8"/>
  <c r="K451" i="8"/>
  <c r="J451" i="8"/>
  <c r="I451" i="8"/>
  <c r="H451" i="8"/>
  <c r="G451" i="8"/>
  <c r="F451" i="8"/>
  <c r="E451" i="8"/>
  <c r="AB450" i="8"/>
  <c r="Z450" i="8"/>
  <c r="Y450" i="8"/>
  <c r="X450" i="8"/>
  <c r="W450" i="8"/>
  <c r="V450" i="8"/>
  <c r="U450" i="8"/>
  <c r="T450" i="8"/>
  <c r="P450" i="8"/>
  <c r="N450" i="8"/>
  <c r="AA450" i="8" s="1"/>
  <c r="AC450" i="8" s="1"/>
  <c r="M450" i="8"/>
  <c r="K450" i="8"/>
  <c r="J450" i="8"/>
  <c r="I450" i="8"/>
  <c r="H450" i="8"/>
  <c r="G450" i="8"/>
  <c r="F450" i="8"/>
  <c r="E450" i="8"/>
  <c r="AB449" i="8"/>
  <c r="Y449" i="8"/>
  <c r="X449" i="8"/>
  <c r="W449" i="8"/>
  <c r="V449" i="8"/>
  <c r="U449" i="8"/>
  <c r="T449" i="8"/>
  <c r="P449" i="8"/>
  <c r="AA449" i="8" s="1"/>
  <c r="AC449" i="8" s="1"/>
  <c r="N449" i="8"/>
  <c r="M449" i="8"/>
  <c r="K449" i="8"/>
  <c r="J449" i="8"/>
  <c r="I449" i="8"/>
  <c r="H449" i="8"/>
  <c r="G449" i="8"/>
  <c r="F449" i="8"/>
  <c r="E449" i="8"/>
  <c r="AB448" i="8"/>
  <c r="Z448" i="8"/>
  <c r="Y448" i="8"/>
  <c r="X448" i="8"/>
  <c r="W448" i="8"/>
  <c r="V448" i="8"/>
  <c r="U448" i="8"/>
  <c r="T448" i="8"/>
  <c r="P448" i="8"/>
  <c r="N448" i="8"/>
  <c r="AA448" i="8" s="1"/>
  <c r="AC448" i="8" s="1"/>
  <c r="M448" i="8"/>
  <c r="K448" i="8"/>
  <c r="J448" i="8"/>
  <c r="I448" i="8"/>
  <c r="H448" i="8"/>
  <c r="G448" i="8"/>
  <c r="F448" i="8"/>
  <c r="E448" i="8"/>
  <c r="AC447" i="8"/>
  <c r="AB447" i="8"/>
  <c r="Z447" i="8"/>
  <c r="Y447" i="8"/>
  <c r="X447" i="8"/>
  <c r="W447" i="8"/>
  <c r="V447" i="8"/>
  <c r="U447" i="8"/>
  <c r="T447" i="8"/>
  <c r="P447" i="8"/>
  <c r="N447" i="8"/>
  <c r="AA447" i="8" s="1"/>
  <c r="M447" i="8"/>
  <c r="K447" i="8"/>
  <c r="J447" i="8"/>
  <c r="I447" i="8"/>
  <c r="H447" i="8"/>
  <c r="G447" i="8"/>
  <c r="F447" i="8"/>
  <c r="E447" i="8"/>
  <c r="AB446" i="8"/>
  <c r="Y446" i="8"/>
  <c r="X446" i="8"/>
  <c r="W446" i="8"/>
  <c r="V446" i="8"/>
  <c r="U446" i="8"/>
  <c r="T446" i="8"/>
  <c r="P446" i="8"/>
  <c r="AA446" i="8" s="1"/>
  <c r="N446" i="8"/>
  <c r="M446" i="8"/>
  <c r="K446" i="8"/>
  <c r="J446" i="8"/>
  <c r="I446" i="8"/>
  <c r="H446" i="8"/>
  <c r="G446" i="8"/>
  <c r="F446" i="8"/>
  <c r="E446" i="8"/>
  <c r="AB445" i="8"/>
  <c r="Z445" i="8"/>
  <c r="Y445" i="8"/>
  <c r="X445" i="8"/>
  <c r="W445" i="8"/>
  <c r="V445" i="8"/>
  <c r="U445" i="8"/>
  <c r="T445" i="8"/>
  <c r="P445" i="8"/>
  <c r="N445" i="8"/>
  <c r="AA445" i="8" s="1"/>
  <c r="AC445" i="8" s="1"/>
  <c r="M445" i="8"/>
  <c r="K445" i="8"/>
  <c r="J445" i="8"/>
  <c r="I445" i="8"/>
  <c r="H445" i="8"/>
  <c r="G445" i="8"/>
  <c r="F445" i="8"/>
  <c r="E445" i="8"/>
  <c r="AB444" i="8"/>
  <c r="Y444" i="8"/>
  <c r="X444" i="8"/>
  <c r="W444" i="8"/>
  <c r="V444" i="8"/>
  <c r="U444" i="8"/>
  <c r="T444" i="8"/>
  <c r="P444" i="8"/>
  <c r="AA444" i="8" s="1"/>
  <c r="N444" i="8"/>
  <c r="M444" i="8"/>
  <c r="K444" i="8"/>
  <c r="J444" i="8"/>
  <c r="I444" i="8"/>
  <c r="H444" i="8"/>
  <c r="G444" i="8"/>
  <c r="F444" i="8"/>
  <c r="E444" i="8"/>
  <c r="AB443" i="8"/>
  <c r="Z443" i="8"/>
  <c r="Y443" i="8"/>
  <c r="X443" i="8"/>
  <c r="W443" i="8"/>
  <c r="V443" i="8"/>
  <c r="U443" i="8"/>
  <c r="T443" i="8"/>
  <c r="P443" i="8"/>
  <c r="N443" i="8"/>
  <c r="AA443" i="8" s="1"/>
  <c r="AC443" i="8" s="1"/>
  <c r="M443" i="8"/>
  <c r="K443" i="8"/>
  <c r="J443" i="8"/>
  <c r="I443" i="8"/>
  <c r="H443" i="8"/>
  <c r="G443" i="8"/>
  <c r="F443" i="8"/>
  <c r="E443" i="8"/>
  <c r="AB442" i="8"/>
  <c r="Y442" i="8"/>
  <c r="X442" i="8"/>
  <c r="W442" i="8"/>
  <c r="V442" i="8"/>
  <c r="U442" i="8"/>
  <c r="T442" i="8"/>
  <c r="P442" i="8"/>
  <c r="AA442" i="8" s="1"/>
  <c r="N442" i="8"/>
  <c r="M442" i="8"/>
  <c r="K442" i="8"/>
  <c r="J442" i="8"/>
  <c r="I442" i="8"/>
  <c r="H442" i="8"/>
  <c r="G442" i="8"/>
  <c r="F442" i="8"/>
  <c r="E442" i="8"/>
  <c r="AB441" i="8"/>
  <c r="Z441" i="8"/>
  <c r="Y441" i="8"/>
  <c r="X441" i="8"/>
  <c r="W441" i="8"/>
  <c r="V441" i="8"/>
  <c r="U441" i="8"/>
  <c r="T441" i="8"/>
  <c r="P441" i="8"/>
  <c r="N441" i="8"/>
  <c r="AA441" i="8" s="1"/>
  <c r="AC441" i="8" s="1"/>
  <c r="M441" i="8"/>
  <c r="K441" i="8"/>
  <c r="J441" i="8"/>
  <c r="I441" i="8"/>
  <c r="H441" i="8"/>
  <c r="G441" i="8"/>
  <c r="F441" i="8"/>
  <c r="E441" i="8"/>
  <c r="AB440" i="8"/>
  <c r="Y440" i="8"/>
  <c r="X440" i="8"/>
  <c r="W440" i="8"/>
  <c r="V440" i="8"/>
  <c r="U440" i="8"/>
  <c r="T440" i="8"/>
  <c r="P440" i="8"/>
  <c r="AA440" i="8" s="1"/>
  <c r="AC440" i="8" s="1"/>
  <c r="N440" i="8"/>
  <c r="M440" i="8"/>
  <c r="K440" i="8"/>
  <c r="J440" i="8"/>
  <c r="I440" i="8"/>
  <c r="H440" i="8"/>
  <c r="G440" i="8"/>
  <c r="F440" i="8"/>
  <c r="E440" i="8"/>
  <c r="AB439" i="8"/>
  <c r="Z439" i="8"/>
  <c r="Y439" i="8"/>
  <c r="X439" i="8"/>
  <c r="W439" i="8"/>
  <c r="V439" i="8"/>
  <c r="U439" i="8"/>
  <c r="T439" i="8"/>
  <c r="P439" i="8"/>
  <c r="N439" i="8"/>
  <c r="AA439" i="8" s="1"/>
  <c r="AC439" i="8" s="1"/>
  <c r="M439" i="8"/>
  <c r="K439" i="8"/>
  <c r="J439" i="8"/>
  <c r="I439" i="8"/>
  <c r="H439" i="8"/>
  <c r="G439" i="8"/>
  <c r="F439" i="8"/>
  <c r="E439" i="8"/>
  <c r="AB438" i="8"/>
  <c r="Y438" i="8"/>
  <c r="X438" i="8"/>
  <c r="W438" i="8"/>
  <c r="V438" i="8"/>
  <c r="U438" i="8"/>
  <c r="T438" i="8"/>
  <c r="P438" i="8"/>
  <c r="AA438" i="8" s="1"/>
  <c r="N438" i="8"/>
  <c r="M438" i="8"/>
  <c r="K438" i="8"/>
  <c r="J438" i="8"/>
  <c r="I438" i="8"/>
  <c r="H438" i="8"/>
  <c r="G438" i="8"/>
  <c r="F438" i="8"/>
  <c r="E438" i="8"/>
  <c r="AB437" i="8"/>
  <c r="Y437" i="8"/>
  <c r="X437" i="8"/>
  <c r="W437" i="8"/>
  <c r="V437" i="8"/>
  <c r="U437" i="8"/>
  <c r="T437" i="8"/>
  <c r="P437" i="8"/>
  <c r="Z437" i="8" s="1"/>
  <c r="N437" i="8"/>
  <c r="AA437" i="8" s="1"/>
  <c r="M437" i="8"/>
  <c r="K437" i="8"/>
  <c r="J437" i="8"/>
  <c r="I437" i="8"/>
  <c r="H437" i="8"/>
  <c r="G437" i="8"/>
  <c r="F437" i="8"/>
  <c r="E437" i="8"/>
  <c r="AB436" i="8"/>
  <c r="Y436" i="8"/>
  <c r="X436" i="8"/>
  <c r="W436" i="8"/>
  <c r="V436" i="8"/>
  <c r="U436" i="8"/>
  <c r="T436" i="8"/>
  <c r="P436" i="8"/>
  <c r="AA436" i="8" s="1"/>
  <c r="N436" i="8"/>
  <c r="M436" i="8"/>
  <c r="K436" i="8"/>
  <c r="J436" i="8"/>
  <c r="I436" i="8"/>
  <c r="H436" i="8"/>
  <c r="G436" i="8"/>
  <c r="F436" i="8"/>
  <c r="E436" i="8"/>
  <c r="AB435" i="8"/>
  <c r="Y435" i="8"/>
  <c r="X435" i="8"/>
  <c r="W435" i="8"/>
  <c r="V435" i="8"/>
  <c r="U435" i="8"/>
  <c r="T435" i="8"/>
  <c r="P435" i="8"/>
  <c r="AA435" i="8" s="1"/>
  <c r="N435" i="8"/>
  <c r="M435" i="8"/>
  <c r="K435" i="8"/>
  <c r="J435" i="8"/>
  <c r="I435" i="8"/>
  <c r="H435" i="8"/>
  <c r="G435" i="8"/>
  <c r="F435" i="8"/>
  <c r="E435" i="8"/>
  <c r="AB434" i="8"/>
  <c r="Y434" i="8"/>
  <c r="X434" i="8"/>
  <c r="W434" i="8"/>
  <c r="V434" i="8"/>
  <c r="U434" i="8"/>
  <c r="T434" i="8"/>
  <c r="P434" i="8"/>
  <c r="AA434" i="8" s="1"/>
  <c r="AC434" i="8" s="1"/>
  <c r="N434" i="8"/>
  <c r="M434" i="8"/>
  <c r="K434" i="8"/>
  <c r="J434" i="8"/>
  <c r="I434" i="8"/>
  <c r="H434" i="8"/>
  <c r="G434" i="8"/>
  <c r="F434" i="8"/>
  <c r="E434" i="8"/>
  <c r="AB433" i="8"/>
  <c r="Y433" i="8"/>
  <c r="X433" i="8"/>
  <c r="W433" i="8"/>
  <c r="V433" i="8"/>
  <c r="U433" i="8"/>
  <c r="T433" i="8"/>
  <c r="P433" i="8"/>
  <c r="AA433" i="8" s="1"/>
  <c r="N433" i="8"/>
  <c r="M433" i="8"/>
  <c r="K433" i="8"/>
  <c r="J433" i="8"/>
  <c r="I433" i="8"/>
  <c r="H433" i="8"/>
  <c r="G433" i="8"/>
  <c r="F433" i="8"/>
  <c r="E433" i="8"/>
  <c r="AB432" i="8"/>
  <c r="Y432" i="8"/>
  <c r="X432" i="8"/>
  <c r="W432" i="8"/>
  <c r="V432" i="8"/>
  <c r="U432" i="8"/>
  <c r="T432" i="8"/>
  <c r="P432" i="8"/>
  <c r="AA432" i="8" s="1"/>
  <c r="AC432" i="8" s="1"/>
  <c r="N432" i="8"/>
  <c r="M432" i="8"/>
  <c r="K432" i="8"/>
  <c r="J432" i="8"/>
  <c r="I432" i="8"/>
  <c r="H432" i="8"/>
  <c r="G432" i="8"/>
  <c r="F432" i="8"/>
  <c r="E432" i="8"/>
  <c r="AB431" i="8"/>
  <c r="Y431" i="8"/>
  <c r="X431" i="8"/>
  <c r="W431" i="8"/>
  <c r="V431" i="8"/>
  <c r="U431" i="8"/>
  <c r="T431" i="8"/>
  <c r="P431" i="8"/>
  <c r="AA431" i="8" s="1"/>
  <c r="N431" i="8"/>
  <c r="M431" i="8"/>
  <c r="K431" i="8"/>
  <c r="J431" i="8"/>
  <c r="I431" i="8"/>
  <c r="H431" i="8"/>
  <c r="G431" i="8"/>
  <c r="F431" i="8"/>
  <c r="E431" i="8"/>
  <c r="AB430" i="8"/>
  <c r="Y430" i="8"/>
  <c r="X430" i="8"/>
  <c r="W430" i="8"/>
  <c r="V430" i="8"/>
  <c r="U430" i="8"/>
  <c r="T430" i="8"/>
  <c r="P430" i="8"/>
  <c r="AA430" i="8" s="1"/>
  <c r="N430" i="8"/>
  <c r="M430" i="8"/>
  <c r="K430" i="8"/>
  <c r="J430" i="8"/>
  <c r="I430" i="8"/>
  <c r="H430" i="8"/>
  <c r="G430" i="8"/>
  <c r="F430" i="8"/>
  <c r="E430" i="8"/>
  <c r="AB429" i="8"/>
  <c r="Y429" i="8"/>
  <c r="X429" i="8"/>
  <c r="W429" i="8"/>
  <c r="V429" i="8"/>
  <c r="U429" i="8"/>
  <c r="T429" i="8"/>
  <c r="P429" i="8"/>
  <c r="AA429" i="8" s="1"/>
  <c r="N429" i="8"/>
  <c r="M429" i="8"/>
  <c r="K429" i="8"/>
  <c r="J429" i="8"/>
  <c r="I429" i="8"/>
  <c r="H429" i="8"/>
  <c r="G429" i="8"/>
  <c r="F429" i="8"/>
  <c r="E429" i="8"/>
  <c r="AB428" i="8"/>
  <c r="Y428" i="8"/>
  <c r="X428" i="8"/>
  <c r="W428" i="8"/>
  <c r="V428" i="8"/>
  <c r="U428" i="8"/>
  <c r="T428" i="8"/>
  <c r="P428" i="8"/>
  <c r="AA428" i="8" s="1"/>
  <c r="AC428" i="8" s="1"/>
  <c r="N428" i="8"/>
  <c r="M428" i="8"/>
  <c r="K428" i="8"/>
  <c r="J428" i="8"/>
  <c r="I428" i="8"/>
  <c r="H428" i="8"/>
  <c r="G428" i="8"/>
  <c r="F428" i="8"/>
  <c r="E428" i="8"/>
  <c r="AB427" i="8"/>
  <c r="Y427" i="8"/>
  <c r="X427" i="8"/>
  <c r="W427" i="8"/>
  <c r="V427" i="8"/>
  <c r="U427" i="8"/>
  <c r="T427" i="8"/>
  <c r="P427" i="8"/>
  <c r="AA427" i="8" s="1"/>
  <c r="N427" i="8"/>
  <c r="M427" i="8"/>
  <c r="K427" i="8"/>
  <c r="J427" i="8"/>
  <c r="I427" i="8"/>
  <c r="H427" i="8"/>
  <c r="G427" i="8"/>
  <c r="F427" i="8"/>
  <c r="E427" i="8"/>
  <c r="AB426" i="8"/>
  <c r="Y426" i="8"/>
  <c r="X426" i="8"/>
  <c r="W426" i="8"/>
  <c r="V426" i="8"/>
  <c r="U426" i="8"/>
  <c r="T426" i="8"/>
  <c r="P426" i="8"/>
  <c r="AA426" i="8" s="1"/>
  <c r="N426" i="8"/>
  <c r="M426" i="8"/>
  <c r="K426" i="8"/>
  <c r="J426" i="8"/>
  <c r="I426" i="8"/>
  <c r="H426" i="8"/>
  <c r="G426" i="8"/>
  <c r="F426" i="8"/>
  <c r="E426" i="8"/>
  <c r="AB425" i="8"/>
  <c r="Y425" i="8"/>
  <c r="X425" i="8"/>
  <c r="W425" i="8"/>
  <c r="V425" i="8"/>
  <c r="U425" i="8"/>
  <c r="T425" i="8"/>
  <c r="P425" i="8"/>
  <c r="AA425" i="8" s="1"/>
  <c r="N425" i="8"/>
  <c r="M425" i="8"/>
  <c r="K425" i="8"/>
  <c r="J425" i="8"/>
  <c r="I425" i="8"/>
  <c r="H425" i="8"/>
  <c r="G425" i="8"/>
  <c r="F425" i="8"/>
  <c r="E425" i="8"/>
  <c r="AB424" i="8"/>
  <c r="Y424" i="8"/>
  <c r="X424" i="8"/>
  <c r="W424" i="8"/>
  <c r="V424" i="8"/>
  <c r="U424" i="8"/>
  <c r="T424" i="8"/>
  <c r="P424" i="8"/>
  <c r="AA424" i="8" s="1"/>
  <c r="N424" i="8"/>
  <c r="M424" i="8"/>
  <c r="K424" i="8"/>
  <c r="J424" i="8"/>
  <c r="I424" i="8"/>
  <c r="H424" i="8"/>
  <c r="G424" i="8"/>
  <c r="F424" i="8"/>
  <c r="E424" i="8"/>
  <c r="AB423" i="8"/>
  <c r="Y423" i="8"/>
  <c r="X423" i="8"/>
  <c r="W423" i="8"/>
  <c r="V423" i="8"/>
  <c r="U423" i="8"/>
  <c r="T423" i="8"/>
  <c r="P423" i="8"/>
  <c r="AA423" i="8" s="1"/>
  <c r="N423" i="8"/>
  <c r="M423" i="8"/>
  <c r="K423" i="8"/>
  <c r="J423" i="8"/>
  <c r="I423" i="8"/>
  <c r="H423" i="8"/>
  <c r="G423" i="8"/>
  <c r="F423" i="8"/>
  <c r="E423" i="8"/>
  <c r="AB422" i="8"/>
  <c r="Y422" i="8"/>
  <c r="X422" i="8"/>
  <c r="W422" i="8"/>
  <c r="V422" i="8"/>
  <c r="U422" i="8"/>
  <c r="T422" i="8"/>
  <c r="P422" i="8"/>
  <c r="AA422" i="8" s="1"/>
  <c r="N422" i="8"/>
  <c r="M422" i="8"/>
  <c r="K422" i="8"/>
  <c r="J422" i="8"/>
  <c r="I422" i="8"/>
  <c r="H422" i="8"/>
  <c r="G422" i="8"/>
  <c r="F422" i="8"/>
  <c r="E422" i="8"/>
  <c r="AB421" i="8"/>
  <c r="Z421" i="8"/>
  <c r="Y421" i="8"/>
  <c r="X421" i="8"/>
  <c r="W421" i="8"/>
  <c r="V421" i="8"/>
  <c r="U421" i="8"/>
  <c r="T421" i="8"/>
  <c r="P421" i="8"/>
  <c r="N421" i="8"/>
  <c r="AA421" i="8" s="1"/>
  <c r="AC421" i="8" s="1"/>
  <c r="M421" i="8"/>
  <c r="K421" i="8"/>
  <c r="J421" i="8"/>
  <c r="I421" i="8"/>
  <c r="H421" i="8"/>
  <c r="G421" i="8"/>
  <c r="F421" i="8"/>
  <c r="E421" i="8"/>
  <c r="AB420" i="8"/>
  <c r="Y420" i="8"/>
  <c r="X420" i="8"/>
  <c r="W420" i="8"/>
  <c r="V420" i="8"/>
  <c r="U420" i="8"/>
  <c r="T420" i="8"/>
  <c r="P420" i="8"/>
  <c r="AA420" i="8" s="1"/>
  <c r="N420" i="8"/>
  <c r="M420" i="8"/>
  <c r="K420" i="8"/>
  <c r="J420" i="8"/>
  <c r="I420" i="8"/>
  <c r="H420" i="8"/>
  <c r="G420" i="8"/>
  <c r="F420" i="8"/>
  <c r="E420" i="8"/>
  <c r="AB419" i="8"/>
  <c r="Z419" i="8"/>
  <c r="Y419" i="8"/>
  <c r="X419" i="8"/>
  <c r="W419" i="8"/>
  <c r="V419" i="8"/>
  <c r="U419" i="8"/>
  <c r="T419" i="8"/>
  <c r="P419" i="8"/>
  <c r="N419" i="8"/>
  <c r="AA419" i="8" s="1"/>
  <c r="AC419" i="8" s="1"/>
  <c r="M419" i="8"/>
  <c r="K419" i="8"/>
  <c r="J419" i="8"/>
  <c r="I419" i="8"/>
  <c r="H419" i="8"/>
  <c r="G419" i="8"/>
  <c r="F419" i="8"/>
  <c r="E419" i="8"/>
  <c r="AB418" i="8"/>
  <c r="Y418" i="8"/>
  <c r="X418" i="8"/>
  <c r="W418" i="8"/>
  <c r="V418" i="8"/>
  <c r="U418" i="8"/>
  <c r="T418" i="8"/>
  <c r="P418" i="8"/>
  <c r="AA418" i="8" s="1"/>
  <c r="N418" i="8"/>
  <c r="M418" i="8"/>
  <c r="K418" i="8"/>
  <c r="J418" i="8"/>
  <c r="I418" i="8"/>
  <c r="H418" i="8"/>
  <c r="G418" i="8"/>
  <c r="F418" i="8"/>
  <c r="E418" i="8"/>
  <c r="AB417" i="8"/>
  <c r="Z417" i="8"/>
  <c r="Y417" i="8"/>
  <c r="X417" i="8"/>
  <c r="W417" i="8"/>
  <c r="V417" i="8"/>
  <c r="U417" i="8"/>
  <c r="T417" i="8"/>
  <c r="P417" i="8"/>
  <c r="N417" i="8"/>
  <c r="AA417" i="8" s="1"/>
  <c r="AC417" i="8" s="1"/>
  <c r="M417" i="8"/>
  <c r="K417" i="8"/>
  <c r="J417" i="8"/>
  <c r="I417" i="8"/>
  <c r="H417" i="8"/>
  <c r="G417" i="8"/>
  <c r="F417" i="8"/>
  <c r="E417" i="8"/>
  <c r="AB416" i="8"/>
  <c r="Y416" i="8"/>
  <c r="X416" i="8"/>
  <c r="W416" i="8"/>
  <c r="V416" i="8"/>
  <c r="U416" i="8"/>
  <c r="T416" i="8"/>
  <c r="P416" i="8"/>
  <c r="AA416" i="8" s="1"/>
  <c r="N416" i="8"/>
  <c r="M416" i="8"/>
  <c r="K416" i="8"/>
  <c r="J416" i="8"/>
  <c r="I416" i="8"/>
  <c r="H416" i="8"/>
  <c r="G416" i="8"/>
  <c r="F416" i="8"/>
  <c r="E416" i="8"/>
  <c r="AB415" i="8"/>
  <c r="Z415" i="8"/>
  <c r="Y415" i="8"/>
  <c r="X415" i="8"/>
  <c r="W415" i="8"/>
  <c r="V415" i="8"/>
  <c r="U415" i="8"/>
  <c r="T415" i="8"/>
  <c r="P415" i="8"/>
  <c r="N415" i="8"/>
  <c r="AA415" i="8" s="1"/>
  <c r="AC415" i="8" s="1"/>
  <c r="M415" i="8"/>
  <c r="K415" i="8"/>
  <c r="J415" i="8"/>
  <c r="I415" i="8"/>
  <c r="H415" i="8"/>
  <c r="G415" i="8"/>
  <c r="F415" i="8"/>
  <c r="E415" i="8"/>
  <c r="AB414" i="8"/>
  <c r="Y414" i="8"/>
  <c r="X414" i="8"/>
  <c r="W414" i="8"/>
  <c r="V414" i="8"/>
  <c r="U414" i="8"/>
  <c r="T414" i="8"/>
  <c r="P414" i="8"/>
  <c r="AA414" i="8" s="1"/>
  <c r="N414" i="8"/>
  <c r="M414" i="8"/>
  <c r="K414" i="8"/>
  <c r="J414" i="8"/>
  <c r="I414" i="8"/>
  <c r="H414" i="8"/>
  <c r="G414" i="8"/>
  <c r="F414" i="8"/>
  <c r="E414" i="8"/>
  <c r="AB413" i="8"/>
  <c r="Y413" i="8"/>
  <c r="X413" i="8"/>
  <c r="W413" i="8"/>
  <c r="V413" i="8"/>
  <c r="U413" i="8"/>
  <c r="T413" i="8"/>
  <c r="P413" i="8"/>
  <c r="Z413" i="8" s="1"/>
  <c r="N413" i="8"/>
  <c r="AA413" i="8" s="1"/>
  <c r="AC413" i="8" s="1"/>
  <c r="M413" i="8"/>
  <c r="K413" i="8"/>
  <c r="J413" i="8"/>
  <c r="I413" i="8"/>
  <c r="H413" i="8"/>
  <c r="G413" i="8"/>
  <c r="F413" i="8"/>
  <c r="E413" i="8"/>
  <c r="AB412" i="8"/>
  <c r="Y412" i="8"/>
  <c r="X412" i="8"/>
  <c r="W412" i="8"/>
  <c r="V412" i="8"/>
  <c r="U412" i="8"/>
  <c r="T412" i="8"/>
  <c r="P412" i="8"/>
  <c r="AA412" i="8" s="1"/>
  <c r="N412" i="8"/>
  <c r="M412" i="8"/>
  <c r="K412" i="8"/>
  <c r="J412" i="8"/>
  <c r="I412" i="8"/>
  <c r="H412" i="8"/>
  <c r="G412" i="8"/>
  <c r="F412" i="8"/>
  <c r="E412" i="8"/>
  <c r="AB411" i="8"/>
  <c r="Y411" i="8"/>
  <c r="X411" i="8"/>
  <c r="W411" i="8"/>
  <c r="V411" i="8"/>
  <c r="U411" i="8"/>
  <c r="T411" i="8"/>
  <c r="P411" i="8"/>
  <c r="AA411" i="8" s="1"/>
  <c r="N411" i="8"/>
  <c r="M411" i="8"/>
  <c r="K411" i="8"/>
  <c r="J411" i="8"/>
  <c r="I411" i="8"/>
  <c r="H411" i="8"/>
  <c r="G411" i="8"/>
  <c r="F411" i="8"/>
  <c r="E411" i="8"/>
  <c r="AB410" i="8"/>
  <c r="Y410" i="8"/>
  <c r="X410" i="8"/>
  <c r="W410" i="8"/>
  <c r="V410" i="8"/>
  <c r="U410" i="8"/>
  <c r="T410" i="8"/>
  <c r="P410" i="8"/>
  <c r="AA410" i="8" s="1"/>
  <c r="N410" i="8"/>
  <c r="M410" i="8"/>
  <c r="K410" i="8"/>
  <c r="J410" i="8"/>
  <c r="I410" i="8"/>
  <c r="H410" i="8"/>
  <c r="G410" i="8"/>
  <c r="F410" i="8"/>
  <c r="E410" i="8"/>
  <c r="AB409" i="8"/>
  <c r="Y409" i="8"/>
  <c r="X409" i="8"/>
  <c r="W409" i="8"/>
  <c r="V409" i="8"/>
  <c r="U409" i="8"/>
  <c r="T409" i="8"/>
  <c r="P409" i="8"/>
  <c r="AA409" i="8" s="1"/>
  <c r="N409" i="8"/>
  <c r="M409" i="8"/>
  <c r="K409" i="8"/>
  <c r="J409" i="8"/>
  <c r="I409" i="8"/>
  <c r="H409" i="8"/>
  <c r="G409" i="8"/>
  <c r="F409" i="8"/>
  <c r="E409" i="8"/>
  <c r="AB408" i="8"/>
  <c r="Y408" i="8"/>
  <c r="X408" i="8"/>
  <c r="W408" i="8"/>
  <c r="V408" i="8"/>
  <c r="U408" i="8"/>
  <c r="T408" i="8"/>
  <c r="P408" i="8"/>
  <c r="AA408" i="8" s="1"/>
  <c r="N408" i="8"/>
  <c r="M408" i="8"/>
  <c r="K408" i="8"/>
  <c r="J408" i="8"/>
  <c r="I408" i="8"/>
  <c r="H408" i="8"/>
  <c r="G408" i="8"/>
  <c r="F408" i="8"/>
  <c r="E408" i="8"/>
  <c r="AB407" i="8"/>
  <c r="Y407" i="8"/>
  <c r="X407" i="8"/>
  <c r="W407" i="8"/>
  <c r="V407" i="8"/>
  <c r="U407" i="8"/>
  <c r="T407" i="8"/>
  <c r="P407" i="8"/>
  <c r="AA407" i="8" s="1"/>
  <c r="N407" i="8"/>
  <c r="M407" i="8"/>
  <c r="K407" i="8"/>
  <c r="J407" i="8"/>
  <c r="I407" i="8"/>
  <c r="H407" i="8"/>
  <c r="G407" i="8"/>
  <c r="F407" i="8"/>
  <c r="E407" i="8"/>
  <c r="AB406" i="8"/>
  <c r="Y406" i="8"/>
  <c r="X406" i="8"/>
  <c r="W406" i="8"/>
  <c r="V406" i="8"/>
  <c r="U406" i="8"/>
  <c r="T406" i="8"/>
  <c r="P406" i="8"/>
  <c r="AA406" i="8" s="1"/>
  <c r="N406" i="8"/>
  <c r="M406" i="8"/>
  <c r="K406" i="8"/>
  <c r="J406" i="8"/>
  <c r="I406" i="8"/>
  <c r="H406" i="8"/>
  <c r="G406" i="8"/>
  <c r="F406" i="8"/>
  <c r="E406" i="8"/>
  <c r="AB405" i="8"/>
  <c r="Y405" i="8"/>
  <c r="X405" i="8"/>
  <c r="W405" i="8"/>
  <c r="V405" i="8"/>
  <c r="U405" i="8"/>
  <c r="T405" i="8"/>
  <c r="P405" i="8"/>
  <c r="AA405" i="8" s="1"/>
  <c r="N405" i="8"/>
  <c r="M405" i="8"/>
  <c r="K405" i="8"/>
  <c r="J405" i="8"/>
  <c r="I405" i="8"/>
  <c r="H405" i="8"/>
  <c r="G405" i="8"/>
  <c r="F405" i="8"/>
  <c r="E405" i="8"/>
  <c r="AB404" i="8"/>
  <c r="Y404" i="8"/>
  <c r="X404" i="8"/>
  <c r="W404" i="8"/>
  <c r="V404" i="8"/>
  <c r="U404" i="8"/>
  <c r="T404" i="8"/>
  <c r="P404" i="8"/>
  <c r="AA404" i="8" s="1"/>
  <c r="N404" i="8"/>
  <c r="M404" i="8"/>
  <c r="K404" i="8"/>
  <c r="J404" i="8"/>
  <c r="I404" i="8"/>
  <c r="H404" i="8"/>
  <c r="G404" i="8"/>
  <c r="F404" i="8"/>
  <c r="E404" i="8"/>
  <c r="AB403" i="8"/>
  <c r="Y403" i="8"/>
  <c r="X403" i="8"/>
  <c r="W403" i="8"/>
  <c r="V403" i="8"/>
  <c r="U403" i="8"/>
  <c r="T403" i="8"/>
  <c r="P403" i="8"/>
  <c r="AA403" i="8" s="1"/>
  <c r="N403" i="8"/>
  <c r="M403" i="8"/>
  <c r="K403" i="8"/>
  <c r="J403" i="8"/>
  <c r="I403" i="8"/>
  <c r="H403" i="8"/>
  <c r="G403" i="8"/>
  <c r="F403" i="8"/>
  <c r="E403" i="8"/>
  <c r="AB402" i="8"/>
  <c r="Y402" i="8"/>
  <c r="X402" i="8"/>
  <c r="W402" i="8"/>
  <c r="V402" i="8"/>
  <c r="U402" i="8"/>
  <c r="T402" i="8"/>
  <c r="P402" i="8"/>
  <c r="AA402" i="8" s="1"/>
  <c r="N402" i="8"/>
  <c r="M402" i="8"/>
  <c r="K402" i="8"/>
  <c r="J402" i="8"/>
  <c r="I402" i="8"/>
  <c r="H402" i="8"/>
  <c r="G402" i="8"/>
  <c r="F402" i="8"/>
  <c r="E402" i="8"/>
  <c r="AB401" i="8"/>
  <c r="Y401" i="8"/>
  <c r="X401" i="8"/>
  <c r="W401" i="8"/>
  <c r="V401" i="8"/>
  <c r="U401" i="8"/>
  <c r="T401" i="8"/>
  <c r="P401" i="8"/>
  <c r="AA401" i="8" s="1"/>
  <c r="N401" i="8"/>
  <c r="M401" i="8"/>
  <c r="K401" i="8"/>
  <c r="J401" i="8"/>
  <c r="I401" i="8"/>
  <c r="H401" i="8"/>
  <c r="G401" i="8"/>
  <c r="F401" i="8"/>
  <c r="E401" i="8"/>
  <c r="AB400" i="8"/>
  <c r="Y400" i="8"/>
  <c r="X400" i="8"/>
  <c r="W400" i="8"/>
  <c r="V400" i="8"/>
  <c r="U400" i="8"/>
  <c r="T400" i="8"/>
  <c r="P400" i="8"/>
  <c r="AA400" i="8" s="1"/>
  <c r="N400" i="8"/>
  <c r="M400" i="8"/>
  <c r="K400" i="8"/>
  <c r="J400" i="8"/>
  <c r="I400" i="8"/>
  <c r="H400" i="8"/>
  <c r="G400" i="8"/>
  <c r="F400" i="8"/>
  <c r="E400" i="8"/>
  <c r="AB399" i="8"/>
  <c r="Y399" i="8"/>
  <c r="X399" i="8"/>
  <c r="W399" i="8"/>
  <c r="V399" i="8"/>
  <c r="U399" i="8"/>
  <c r="T399" i="8"/>
  <c r="P399" i="8"/>
  <c r="AA399" i="8" s="1"/>
  <c r="N399" i="8"/>
  <c r="M399" i="8"/>
  <c r="K399" i="8"/>
  <c r="J399" i="8"/>
  <c r="I399" i="8"/>
  <c r="H399" i="8"/>
  <c r="G399" i="8"/>
  <c r="F399" i="8"/>
  <c r="E399" i="8"/>
  <c r="AB398" i="8"/>
  <c r="Y398" i="8"/>
  <c r="X398" i="8"/>
  <c r="W398" i="8"/>
  <c r="V398" i="8"/>
  <c r="U398" i="8"/>
  <c r="T398" i="8"/>
  <c r="P398" i="8"/>
  <c r="AA398" i="8" s="1"/>
  <c r="N398" i="8"/>
  <c r="M398" i="8"/>
  <c r="K398" i="8"/>
  <c r="J398" i="8"/>
  <c r="I398" i="8"/>
  <c r="H398" i="8"/>
  <c r="G398" i="8"/>
  <c r="F398" i="8"/>
  <c r="E398" i="8"/>
  <c r="AB397" i="8"/>
  <c r="Y397" i="8"/>
  <c r="X397" i="8"/>
  <c r="W397" i="8"/>
  <c r="V397" i="8"/>
  <c r="U397" i="8"/>
  <c r="T397" i="8"/>
  <c r="P397" i="8"/>
  <c r="AA397" i="8" s="1"/>
  <c r="N397" i="8"/>
  <c r="M397" i="8"/>
  <c r="K397" i="8"/>
  <c r="J397" i="8"/>
  <c r="I397" i="8"/>
  <c r="H397" i="8"/>
  <c r="G397" i="8"/>
  <c r="F397" i="8"/>
  <c r="E397" i="8"/>
  <c r="AB396" i="8"/>
  <c r="Y396" i="8"/>
  <c r="X396" i="8"/>
  <c r="W396" i="8"/>
  <c r="V396" i="8"/>
  <c r="U396" i="8"/>
  <c r="T396" i="8"/>
  <c r="P396" i="8"/>
  <c r="AA396" i="8" s="1"/>
  <c r="N396" i="8"/>
  <c r="M396" i="8"/>
  <c r="K396" i="8"/>
  <c r="J396" i="8"/>
  <c r="I396" i="8"/>
  <c r="H396" i="8"/>
  <c r="G396" i="8"/>
  <c r="F396" i="8"/>
  <c r="E396" i="8"/>
  <c r="AB395" i="8"/>
  <c r="Y395" i="8"/>
  <c r="X395" i="8"/>
  <c r="W395" i="8"/>
  <c r="V395" i="8"/>
  <c r="U395" i="8"/>
  <c r="T395" i="8"/>
  <c r="P395" i="8"/>
  <c r="Z395" i="8" s="1"/>
  <c r="N395" i="8"/>
  <c r="AA395" i="8" s="1"/>
  <c r="M395" i="8"/>
  <c r="K395" i="8"/>
  <c r="J395" i="8"/>
  <c r="I395" i="8"/>
  <c r="H395" i="8"/>
  <c r="G395" i="8"/>
  <c r="F395" i="8"/>
  <c r="E395" i="8"/>
  <c r="AB394" i="8"/>
  <c r="Y394" i="8"/>
  <c r="X394" i="8"/>
  <c r="W394" i="8"/>
  <c r="V394" i="8"/>
  <c r="U394" i="8"/>
  <c r="T394" i="8"/>
  <c r="P394" i="8"/>
  <c r="AA394" i="8" s="1"/>
  <c r="N394" i="8"/>
  <c r="M394" i="8"/>
  <c r="K394" i="8"/>
  <c r="J394" i="8"/>
  <c r="I394" i="8"/>
  <c r="H394" i="8"/>
  <c r="G394" i="8"/>
  <c r="F394" i="8"/>
  <c r="E394" i="8"/>
  <c r="AB393" i="8"/>
  <c r="Z393" i="8"/>
  <c r="Y393" i="8"/>
  <c r="X393" i="8"/>
  <c r="W393" i="8"/>
  <c r="V393" i="8"/>
  <c r="U393" i="8"/>
  <c r="T393" i="8"/>
  <c r="P393" i="8"/>
  <c r="N393" i="8"/>
  <c r="AA393" i="8" s="1"/>
  <c r="AC393" i="8" s="1"/>
  <c r="M393" i="8"/>
  <c r="K393" i="8"/>
  <c r="J393" i="8"/>
  <c r="I393" i="8"/>
  <c r="H393" i="8"/>
  <c r="G393" i="8"/>
  <c r="F393" i="8"/>
  <c r="E393" i="8"/>
  <c r="AB392" i="8"/>
  <c r="Y392" i="8"/>
  <c r="X392" i="8"/>
  <c r="W392" i="8"/>
  <c r="V392" i="8"/>
  <c r="U392" i="8"/>
  <c r="T392" i="8"/>
  <c r="P392" i="8"/>
  <c r="N392" i="8"/>
  <c r="M392" i="8"/>
  <c r="K392" i="8"/>
  <c r="J392" i="8"/>
  <c r="I392" i="8"/>
  <c r="H392" i="8"/>
  <c r="G392" i="8"/>
  <c r="F392" i="8"/>
  <c r="E392" i="8"/>
  <c r="AB391" i="8"/>
  <c r="Z391" i="8"/>
  <c r="Y391" i="8"/>
  <c r="X391" i="8"/>
  <c r="W391" i="8"/>
  <c r="V391" i="8"/>
  <c r="U391" i="8"/>
  <c r="T391" i="8"/>
  <c r="P391" i="8"/>
  <c r="N391" i="8"/>
  <c r="AA391" i="8" s="1"/>
  <c r="AC391" i="8" s="1"/>
  <c r="M391" i="8"/>
  <c r="K391" i="8"/>
  <c r="J391" i="8"/>
  <c r="I391" i="8"/>
  <c r="H391" i="8"/>
  <c r="G391" i="8"/>
  <c r="F391" i="8"/>
  <c r="E391" i="8"/>
  <c r="AC390" i="8"/>
  <c r="AB390" i="8"/>
  <c r="AA390" i="8"/>
  <c r="Y390" i="8"/>
  <c r="X390" i="8"/>
  <c r="W390" i="8"/>
  <c r="V390" i="8"/>
  <c r="U390" i="8"/>
  <c r="T390" i="8"/>
  <c r="P390" i="8"/>
  <c r="Z390" i="8" s="1"/>
  <c r="N390" i="8"/>
  <c r="M390" i="8"/>
  <c r="K390" i="8"/>
  <c r="J390" i="8"/>
  <c r="I390" i="8"/>
  <c r="H390" i="8"/>
  <c r="G390" i="8"/>
  <c r="F390" i="8"/>
  <c r="E390" i="8"/>
  <c r="AB389" i="8"/>
  <c r="Y389" i="8"/>
  <c r="X389" i="8"/>
  <c r="W389" i="8"/>
  <c r="V389" i="8"/>
  <c r="U389" i="8"/>
  <c r="T389" i="8"/>
  <c r="P389" i="8"/>
  <c r="AA389" i="8" s="1"/>
  <c r="AC389" i="8" s="1"/>
  <c r="N389" i="8"/>
  <c r="M389" i="8"/>
  <c r="K389" i="8"/>
  <c r="J389" i="8"/>
  <c r="I389" i="8"/>
  <c r="H389" i="8"/>
  <c r="G389" i="8"/>
  <c r="F389" i="8"/>
  <c r="E389" i="8"/>
  <c r="AB388" i="8"/>
  <c r="Y388" i="8"/>
  <c r="X388" i="8"/>
  <c r="W388" i="8"/>
  <c r="V388" i="8"/>
  <c r="U388" i="8"/>
  <c r="T388" i="8"/>
  <c r="P388" i="8"/>
  <c r="Z388" i="8" s="1"/>
  <c r="N388" i="8"/>
  <c r="M388" i="8"/>
  <c r="K388" i="8"/>
  <c r="J388" i="8"/>
  <c r="I388" i="8"/>
  <c r="H388" i="8"/>
  <c r="G388" i="8"/>
  <c r="F388" i="8"/>
  <c r="E388" i="8"/>
  <c r="AB387" i="8"/>
  <c r="Y387" i="8"/>
  <c r="X387" i="8"/>
  <c r="W387" i="8"/>
  <c r="V387" i="8"/>
  <c r="U387" i="8"/>
  <c r="T387" i="8"/>
  <c r="P387" i="8"/>
  <c r="Z387" i="8" s="1"/>
  <c r="N387" i="8"/>
  <c r="AA387" i="8" s="1"/>
  <c r="AC387" i="8" s="1"/>
  <c r="M387" i="8"/>
  <c r="K387" i="8"/>
  <c r="J387" i="8"/>
  <c r="I387" i="8"/>
  <c r="H387" i="8"/>
  <c r="G387" i="8"/>
  <c r="F387" i="8"/>
  <c r="E387" i="8"/>
  <c r="AB386" i="8"/>
  <c r="AA386" i="8"/>
  <c r="AC386" i="8" s="1"/>
  <c r="Y386" i="8"/>
  <c r="X386" i="8"/>
  <c r="W386" i="8"/>
  <c r="V386" i="8"/>
  <c r="U386" i="8"/>
  <c r="T386" i="8"/>
  <c r="P386" i="8"/>
  <c r="Z386" i="8" s="1"/>
  <c r="N386" i="8"/>
  <c r="M386" i="8"/>
  <c r="K386" i="8"/>
  <c r="J386" i="8"/>
  <c r="I386" i="8"/>
  <c r="H386" i="8"/>
  <c r="G386" i="8"/>
  <c r="F386" i="8"/>
  <c r="E386" i="8"/>
  <c r="AB385" i="8"/>
  <c r="Y385" i="8"/>
  <c r="X385" i="8"/>
  <c r="W385" i="8"/>
  <c r="V385" i="8"/>
  <c r="U385" i="8"/>
  <c r="T385" i="8"/>
  <c r="P385" i="8"/>
  <c r="AA385" i="8" s="1"/>
  <c r="N385" i="8"/>
  <c r="M385" i="8"/>
  <c r="K385" i="8"/>
  <c r="J385" i="8"/>
  <c r="I385" i="8"/>
  <c r="H385" i="8"/>
  <c r="G385" i="8"/>
  <c r="F385" i="8"/>
  <c r="E385" i="8"/>
  <c r="AB384" i="8"/>
  <c r="AA384" i="8"/>
  <c r="AC384" i="8" s="1"/>
  <c r="Y384" i="8"/>
  <c r="X384" i="8"/>
  <c r="W384" i="8"/>
  <c r="V384" i="8"/>
  <c r="U384" i="8"/>
  <c r="T384" i="8"/>
  <c r="P384" i="8"/>
  <c r="Z384" i="8" s="1"/>
  <c r="N384" i="8"/>
  <c r="M384" i="8"/>
  <c r="K384" i="8"/>
  <c r="J384" i="8"/>
  <c r="I384" i="8"/>
  <c r="H384" i="8"/>
  <c r="G384" i="8"/>
  <c r="F384" i="8"/>
  <c r="E384" i="8"/>
  <c r="AB383" i="8"/>
  <c r="Z383" i="8"/>
  <c r="Y383" i="8"/>
  <c r="X383" i="8"/>
  <c r="W383" i="8"/>
  <c r="V383" i="8"/>
  <c r="U383" i="8"/>
  <c r="T383" i="8"/>
  <c r="P383" i="8"/>
  <c r="N383" i="8"/>
  <c r="AA383" i="8" s="1"/>
  <c r="AC383" i="8" s="1"/>
  <c r="M383" i="8"/>
  <c r="K383" i="8"/>
  <c r="J383" i="8"/>
  <c r="I383" i="8"/>
  <c r="H383" i="8"/>
  <c r="G383" i="8"/>
  <c r="F383" i="8"/>
  <c r="E383" i="8"/>
  <c r="AC382" i="8"/>
  <c r="AB382" i="8"/>
  <c r="AA382" i="8"/>
  <c r="Y382" i="8"/>
  <c r="X382" i="8"/>
  <c r="W382" i="8"/>
  <c r="V382" i="8"/>
  <c r="U382" i="8"/>
  <c r="T382" i="8"/>
  <c r="P382" i="8"/>
  <c r="Z382" i="8" s="1"/>
  <c r="N382" i="8"/>
  <c r="M382" i="8"/>
  <c r="K382" i="8"/>
  <c r="J382" i="8"/>
  <c r="I382" i="8"/>
  <c r="H382" i="8"/>
  <c r="G382" i="8"/>
  <c r="F382" i="8"/>
  <c r="E382" i="8"/>
  <c r="AB381" i="8"/>
  <c r="Y381" i="8"/>
  <c r="X381" i="8"/>
  <c r="W381" i="8"/>
  <c r="V381" i="8"/>
  <c r="U381" i="8"/>
  <c r="T381" i="8"/>
  <c r="P381" i="8"/>
  <c r="AA381" i="8" s="1"/>
  <c r="N381" i="8"/>
  <c r="M381" i="8"/>
  <c r="K381" i="8"/>
  <c r="J381" i="8"/>
  <c r="I381" i="8"/>
  <c r="H381" i="8"/>
  <c r="G381" i="8"/>
  <c r="F381" i="8"/>
  <c r="E381" i="8"/>
  <c r="AB380" i="8"/>
  <c r="Y380" i="8"/>
  <c r="X380" i="8"/>
  <c r="W380" i="8"/>
  <c r="V380" i="8"/>
  <c r="U380" i="8"/>
  <c r="T380" i="8"/>
  <c r="P380" i="8"/>
  <c r="Z380" i="8" s="1"/>
  <c r="N380" i="8"/>
  <c r="M380" i="8"/>
  <c r="K380" i="8"/>
  <c r="J380" i="8"/>
  <c r="I380" i="8"/>
  <c r="H380" i="8"/>
  <c r="G380" i="8"/>
  <c r="F380" i="8"/>
  <c r="E380" i="8"/>
  <c r="AB379" i="8"/>
  <c r="Z379" i="8"/>
  <c r="Y379" i="8"/>
  <c r="X379" i="8"/>
  <c r="W379" i="8"/>
  <c r="V379" i="8"/>
  <c r="U379" i="8"/>
  <c r="T379" i="8"/>
  <c r="P379" i="8"/>
  <c r="N379" i="8"/>
  <c r="AA379" i="8" s="1"/>
  <c r="AC379" i="8" s="1"/>
  <c r="M379" i="8"/>
  <c r="K379" i="8"/>
  <c r="J379" i="8"/>
  <c r="I379" i="8"/>
  <c r="H379" i="8"/>
  <c r="G379" i="8"/>
  <c r="F379" i="8"/>
  <c r="E379" i="8"/>
  <c r="AB378" i="8"/>
  <c r="AA378" i="8"/>
  <c r="AC378" i="8" s="1"/>
  <c r="Y378" i="8"/>
  <c r="X378" i="8"/>
  <c r="W378" i="8"/>
  <c r="V378" i="8"/>
  <c r="U378" i="8"/>
  <c r="T378" i="8"/>
  <c r="P378" i="8"/>
  <c r="Z378" i="8" s="1"/>
  <c r="N378" i="8"/>
  <c r="M378" i="8"/>
  <c r="K378" i="8"/>
  <c r="J378" i="8"/>
  <c r="I378" i="8"/>
  <c r="H378" i="8"/>
  <c r="G378" i="8"/>
  <c r="F378" i="8"/>
  <c r="E378" i="8"/>
  <c r="AB377" i="8"/>
  <c r="Y377" i="8"/>
  <c r="X377" i="8"/>
  <c r="W377" i="8"/>
  <c r="V377" i="8"/>
  <c r="U377" i="8"/>
  <c r="T377" i="8"/>
  <c r="P377" i="8"/>
  <c r="AA377" i="8" s="1"/>
  <c r="N377" i="8"/>
  <c r="M377" i="8"/>
  <c r="K377" i="8"/>
  <c r="J377" i="8"/>
  <c r="I377" i="8"/>
  <c r="H377" i="8"/>
  <c r="G377" i="8"/>
  <c r="F377" i="8"/>
  <c r="E377" i="8"/>
  <c r="AB376" i="8"/>
  <c r="AA376" i="8"/>
  <c r="AC376" i="8" s="1"/>
  <c r="Y376" i="8"/>
  <c r="X376" i="8"/>
  <c r="W376" i="8"/>
  <c r="V376" i="8"/>
  <c r="U376" i="8"/>
  <c r="T376" i="8"/>
  <c r="P376" i="8"/>
  <c r="Z376" i="8" s="1"/>
  <c r="N376" i="8"/>
  <c r="M376" i="8"/>
  <c r="K376" i="8"/>
  <c r="J376" i="8"/>
  <c r="I376" i="8"/>
  <c r="H376" i="8"/>
  <c r="G376" i="8"/>
  <c r="F376" i="8"/>
  <c r="E376" i="8"/>
  <c r="AB375" i="8"/>
  <c r="Z375" i="8"/>
  <c r="Y375" i="8"/>
  <c r="X375" i="8"/>
  <c r="W375" i="8"/>
  <c r="V375" i="8"/>
  <c r="U375" i="8"/>
  <c r="T375" i="8"/>
  <c r="P375" i="8"/>
  <c r="N375" i="8"/>
  <c r="AA375" i="8" s="1"/>
  <c r="AC375" i="8" s="1"/>
  <c r="M375" i="8"/>
  <c r="K375" i="8"/>
  <c r="J375" i="8"/>
  <c r="I375" i="8"/>
  <c r="H375" i="8"/>
  <c r="G375" i="8"/>
  <c r="F375" i="8"/>
  <c r="E375" i="8"/>
  <c r="AC374" i="8"/>
  <c r="AB374" i="8"/>
  <c r="AA374" i="8"/>
  <c r="Y374" i="8"/>
  <c r="X374" i="8"/>
  <c r="W374" i="8"/>
  <c r="V374" i="8"/>
  <c r="U374" i="8"/>
  <c r="T374" i="8"/>
  <c r="P374" i="8"/>
  <c r="Z374" i="8" s="1"/>
  <c r="N374" i="8"/>
  <c r="M374" i="8"/>
  <c r="K374" i="8"/>
  <c r="J374" i="8"/>
  <c r="I374" i="8"/>
  <c r="H374" i="8"/>
  <c r="G374" i="8"/>
  <c r="F374" i="8"/>
  <c r="E374" i="8"/>
  <c r="AB373" i="8"/>
  <c r="Y373" i="8"/>
  <c r="X373" i="8"/>
  <c r="W373" i="8"/>
  <c r="V373" i="8"/>
  <c r="U373" i="8"/>
  <c r="T373" i="8"/>
  <c r="P373" i="8"/>
  <c r="AA373" i="8" s="1"/>
  <c r="N373" i="8"/>
  <c r="M373" i="8"/>
  <c r="K373" i="8"/>
  <c r="J373" i="8"/>
  <c r="I373" i="8"/>
  <c r="H373" i="8"/>
  <c r="G373" i="8"/>
  <c r="F373" i="8"/>
  <c r="E373" i="8"/>
  <c r="AB372" i="8"/>
  <c r="Y372" i="8"/>
  <c r="X372" i="8"/>
  <c r="W372" i="8"/>
  <c r="V372" i="8"/>
  <c r="U372" i="8"/>
  <c r="T372" i="8"/>
  <c r="P372" i="8"/>
  <c r="N372" i="8"/>
  <c r="M372" i="8"/>
  <c r="K372" i="8"/>
  <c r="J372" i="8"/>
  <c r="I372" i="8"/>
  <c r="H372" i="8"/>
  <c r="G372" i="8"/>
  <c r="F372" i="8"/>
  <c r="E372" i="8"/>
  <c r="AB371" i="8"/>
  <c r="Z371" i="8"/>
  <c r="Y371" i="8"/>
  <c r="X371" i="8"/>
  <c r="W371" i="8"/>
  <c r="V371" i="8"/>
  <c r="U371" i="8"/>
  <c r="T371" i="8"/>
  <c r="P371" i="8"/>
  <c r="N371" i="8"/>
  <c r="AA371" i="8" s="1"/>
  <c r="AC371" i="8" s="1"/>
  <c r="M371" i="8"/>
  <c r="K371" i="8"/>
  <c r="J371" i="8"/>
  <c r="I371" i="8"/>
  <c r="H371" i="8"/>
  <c r="G371" i="8"/>
  <c r="F371" i="8"/>
  <c r="E371" i="8"/>
  <c r="AB370" i="8"/>
  <c r="AA370" i="8"/>
  <c r="AC370" i="8" s="1"/>
  <c r="Y370" i="8"/>
  <c r="X370" i="8"/>
  <c r="W370" i="8"/>
  <c r="V370" i="8"/>
  <c r="U370" i="8"/>
  <c r="T370" i="8"/>
  <c r="P370" i="8"/>
  <c r="Z370" i="8" s="1"/>
  <c r="N370" i="8"/>
  <c r="M370" i="8"/>
  <c r="K370" i="8"/>
  <c r="J370" i="8"/>
  <c r="I370" i="8"/>
  <c r="H370" i="8"/>
  <c r="G370" i="8"/>
  <c r="F370" i="8"/>
  <c r="E370" i="8"/>
  <c r="AB369" i="8"/>
  <c r="Y369" i="8"/>
  <c r="X369" i="8"/>
  <c r="W369" i="8"/>
  <c r="V369" i="8"/>
  <c r="U369" i="8"/>
  <c r="T369" i="8"/>
  <c r="P369" i="8"/>
  <c r="AA369" i="8" s="1"/>
  <c r="N369" i="8"/>
  <c r="M369" i="8"/>
  <c r="K369" i="8"/>
  <c r="J369" i="8"/>
  <c r="I369" i="8"/>
  <c r="H369" i="8"/>
  <c r="G369" i="8"/>
  <c r="F369" i="8"/>
  <c r="E369" i="8"/>
  <c r="AB368" i="8"/>
  <c r="AA368" i="8"/>
  <c r="AC368" i="8" s="1"/>
  <c r="Y368" i="8"/>
  <c r="X368" i="8"/>
  <c r="W368" i="8"/>
  <c r="V368" i="8"/>
  <c r="U368" i="8"/>
  <c r="T368" i="8"/>
  <c r="P368" i="8"/>
  <c r="Z368" i="8" s="1"/>
  <c r="N368" i="8"/>
  <c r="M368" i="8"/>
  <c r="K368" i="8"/>
  <c r="J368" i="8"/>
  <c r="I368" i="8"/>
  <c r="H368" i="8"/>
  <c r="G368" i="8"/>
  <c r="F368" i="8"/>
  <c r="E368" i="8"/>
  <c r="AB367" i="8"/>
  <c r="Z367" i="8"/>
  <c r="Y367" i="8"/>
  <c r="X367" i="8"/>
  <c r="W367" i="8"/>
  <c r="V367" i="8"/>
  <c r="U367" i="8"/>
  <c r="T367" i="8"/>
  <c r="P367" i="8"/>
  <c r="N367" i="8"/>
  <c r="AA367" i="8" s="1"/>
  <c r="AC367" i="8" s="1"/>
  <c r="M367" i="8"/>
  <c r="K367" i="8"/>
  <c r="J367" i="8"/>
  <c r="I367" i="8"/>
  <c r="H367" i="8"/>
  <c r="G367" i="8"/>
  <c r="F367" i="8"/>
  <c r="E367" i="8"/>
  <c r="AC366" i="8"/>
  <c r="AB366" i="8"/>
  <c r="AA366" i="8"/>
  <c r="Y366" i="8"/>
  <c r="X366" i="8"/>
  <c r="W366" i="8"/>
  <c r="V366" i="8"/>
  <c r="U366" i="8"/>
  <c r="T366" i="8"/>
  <c r="P366" i="8"/>
  <c r="Z366" i="8" s="1"/>
  <c r="N366" i="8"/>
  <c r="M366" i="8"/>
  <c r="K366" i="8"/>
  <c r="J366" i="8"/>
  <c r="I366" i="8"/>
  <c r="H366" i="8"/>
  <c r="G366" i="8"/>
  <c r="F366" i="8"/>
  <c r="E366" i="8"/>
  <c r="AB365" i="8"/>
  <c r="Y365" i="8"/>
  <c r="X365" i="8"/>
  <c r="W365" i="8"/>
  <c r="V365" i="8"/>
  <c r="U365" i="8"/>
  <c r="T365" i="8"/>
  <c r="P365" i="8"/>
  <c r="AA365" i="8" s="1"/>
  <c r="N365" i="8"/>
  <c r="M365" i="8"/>
  <c r="K365" i="8"/>
  <c r="J365" i="8"/>
  <c r="I365" i="8"/>
  <c r="H365" i="8"/>
  <c r="G365" i="8"/>
  <c r="F365" i="8"/>
  <c r="E365" i="8"/>
  <c r="AB364" i="8"/>
  <c r="Y364" i="8"/>
  <c r="X364" i="8"/>
  <c r="W364" i="8"/>
  <c r="V364" i="8"/>
  <c r="U364" i="8"/>
  <c r="T364" i="8"/>
  <c r="P364" i="8"/>
  <c r="N364" i="8"/>
  <c r="M364" i="8"/>
  <c r="K364" i="8"/>
  <c r="J364" i="8"/>
  <c r="I364" i="8"/>
  <c r="H364" i="8"/>
  <c r="G364" i="8"/>
  <c r="F364" i="8"/>
  <c r="E364" i="8"/>
  <c r="AB363" i="8"/>
  <c r="Z363" i="8"/>
  <c r="Y363" i="8"/>
  <c r="X363" i="8"/>
  <c r="W363" i="8"/>
  <c r="V363" i="8"/>
  <c r="U363" i="8"/>
  <c r="T363" i="8"/>
  <c r="P363" i="8"/>
  <c r="N363" i="8"/>
  <c r="AA363" i="8" s="1"/>
  <c r="AC363" i="8" s="1"/>
  <c r="M363" i="8"/>
  <c r="K363" i="8"/>
  <c r="J363" i="8"/>
  <c r="I363" i="8"/>
  <c r="H363" i="8"/>
  <c r="G363" i="8"/>
  <c r="F363" i="8"/>
  <c r="E363" i="8"/>
  <c r="AB362" i="8"/>
  <c r="AA362" i="8"/>
  <c r="AC362" i="8" s="1"/>
  <c r="Y362" i="8"/>
  <c r="X362" i="8"/>
  <c r="W362" i="8"/>
  <c r="V362" i="8"/>
  <c r="U362" i="8"/>
  <c r="T362" i="8"/>
  <c r="P362" i="8"/>
  <c r="Z362" i="8" s="1"/>
  <c r="N362" i="8"/>
  <c r="M362" i="8"/>
  <c r="K362" i="8"/>
  <c r="J362" i="8"/>
  <c r="I362" i="8"/>
  <c r="H362" i="8"/>
  <c r="G362" i="8"/>
  <c r="F362" i="8"/>
  <c r="E362" i="8"/>
  <c r="AB361" i="8"/>
  <c r="Y361" i="8"/>
  <c r="X361" i="8"/>
  <c r="W361" i="8"/>
  <c r="V361" i="8"/>
  <c r="U361" i="8"/>
  <c r="T361" i="8"/>
  <c r="P361" i="8"/>
  <c r="AA361" i="8" s="1"/>
  <c r="N361" i="8"/>
  <c r="M361" i="8"/>
  <c r="K361" i="8"/>
  <c r="J361" i="8"/>
  <c r="I361" i="8"/>
  <c r="H361" i="8"/>
  <c r="G361" i="8"/>
  <c r="F361" i="8"/>
  <c r="E361" i="8"/>
  <c r="AB360" i="8"/>
  <c r="AA360" i="8"/>
  <c r="AC360" i="8" s="1"/>
  <c r="Y360" i="8"/>
  <c r="X360" i="8"/>
  <c r="W360" i="8"/>
  <c r="V360" i="8"/>
  <c r="U360" i="8"/>
  <c r="T360" i="8"/>
  <c r="P360" i="8"/>
  <c r="Z360" i="8" s="1"/>
  <c r="N360" i="8"/>
  <c r="M360" i="8"/>
  <c r="K360" i="8"/>
  <c r="J360" i="8"/>
  <c r="I360" i="8"/>
  <c r="H360" i="8"/>
  <c r="G360" i="8"/>
  <c r="F360" i="8"/>
  <c r="E360" i="8"/>
  <c r="AB359" i="8"/>
  <c r="Z359" i="8"/>
  <c r="Y359" i="8"/>
  <c r="X359" i="8"/>
  <c r="W359" i="8"/>
  <c r="V359" i="8"/>
  <c r="U359" i="8"/>
  <c r="T359" i="8"/>
  <c r="P359" i="8"/>
  <c r="N359" i="8"/>
  <c r="AA359" i="8" s="1"/>
  <c r="AC359" i="8" s="1"/>
  <c r="M359" i="8"/>
  <c r="K359" i="8"/>
  <c r="J359" i="8"/>
  <c r="I359" i="8"/>
  <c r="H359" i="8"/>
  <c r="G359" i="8"/>
  <c r="F359" i="8"/>
  <c r="E359" i="8"/>
  <c r="AC358" i="8"/>
  <c r="AB358" i="8"/>
  <c r="AA358" i="8"/>
  <c r="Y358" i="8"/>
  <c r="X358" i="8"/>
  <c r="W358" i="8"/>
  <c r="V358" i="8"/>
  <c r="U358" i="8"/>
  <c r="T358" i="8"/>
  <c r="P358" i="8"/>
  <c r="Z358" i="8" s="1"/>
  <c r="N358" i="8"/>
  <c r="M358" i="8"/>
  <c r="K358" i="8"/>
  <c r="J358" i="8"/>
  <c r="I358" i="8"/>
  <c r="H358" i="8"/>
  <c r="G358" i="8"/>
  <c r="F358" i="8"/>
  <c r="E358" i="8"/>
  <c r="AB357" i="8"/>
  <c r="Y357" i="8"/>
  <c r="X357" i="8"/>
  <c r="W357" i="8"/>
  <c r="V357" i="8"/>
  <c r="U357" i="8"/>
  <c r="T357" i="8"/>
  <c r="P357" i="8"/>
  <c r="AA357" i="8" s="1"/>
  <c r="AC357" i="8" s="1"/>
  <c r="N357" i="8"/>
  <c r="M357" i="8"/>
  <c r="K357" i="8"/>
  <c r="J357" i="8"/>
  <c r="I357" i="8"/>
  <c r="H357" i="8"/>
  <c r="G357" i="8"/>
  <c r="F357" i="8"/>
  <c r="E357" i="8"/>
  <c r="AB356" i="8"/>
  <c r="Y356" i="8"/>
  <c r="X356" i="8"/>
  <c r="W356" i="8"/>
  <c r="V356" i="8"/>
  <c r="U356" i="8"/>
  <c r="T356" i="8"/>
  <c r="P356" i="8"/>
  <c r="N356" i="8"/>
  <c r="M356" i="8"/>
  <c r="K356" i="8"/>
  <c r="J356" i="8"/>
  <c r="I356" i="8"/>
  <c r="H356" i="8"/>
  <c r="G356" i="8"/>
  <c r="F356" i="8"/>
  <c r="E356" i="8"/>
  <c r="AB355" i="8"/>
  <c r="Z355" i="8"/>
  <c r="Y355" i="8"/>
  <c r="X355" i="8"/>
  <c r="W355" i="8"/>
  <c r="V355" i="8"/>
  <c r="U355" i="8"/>
  <c r="T355" i="8"/>
  <c r="P355" i="8"/>
  <c r="N355" i="8"/>
  <c r="AA355" i="8" s="1"/>
  <c r="AC355" i="8" s="1"/>
  <c r="M355" i="8"/>
  <c r="K355" i="8"/>
  <c r="J355" i="8"/>
  <c r="I355" i="8"/>
  <c r="H355" i="8"/>
  <c r="G355" i="8"/>
  <c r="F355" i="8"/>
  <c r="E355" i="8"/>
  <c r="AB354" i="8"/>
  <c r="AA354" i="8"/>
  <c r="AC354" i="8" s="1"/>
  <c r="Y354" i="8"/>
  <c r="X354" i="8"/>
  <c r="W354" i="8"/>
  <c r="V354" i="8"/>
  <c r="U354" i="8"/>
  <c r="T354" i="8"/>
  <c r="P354" i="8"/>
  <c r="Z354" i="8" s="1"/>
  <c r="N354" i="8"/>
  <c r="M354" i="8"/>
  <c r="K354" i="8"/>
  <c r="J354" i="8"/>
  <c r="I354" i="8"/>
  <c r="H354" i="8"/>
  <c r="G354" i="8"/>
  <c r="F354" i="8"/>
  <c r="E354" i="8"/>
  <c r="AB353" i="8"/>
  <c r="Y353" i="8"/>
  <c r="X353" i="8"/>
  <c r="W353" i="8"/>
  <c r="V353" i="8"/>
  <c r="U353" i="8"/>
  <c r="T353" i="8"/>
  <c r="P353" i="8"/>
  <c r="AA353" i="8" s="1"/>
  <c r="N353" i="8"/>
  <c r="M353" i="8"/>
  <c r="K353" i="8"/>
  <c r="J353" i="8"/>
  <c r="I353" i="8"/>
  <c r="H353" i="8"/>
  <c r="G353" i="8"/>
  <c r="F353" i="8"/>
  <c r="E353" i="8"/>
  <c r="AB352" i="8"/>
  <c r="Y352" i="8"/>
  <c r="X352" i="8"/>
  <c r="W352" i="8"/>
  <c r="V352" i="8"/>
  <c r="U352" i="8"/>
  <c r="T352" i="8"/>
  <c r="P352" i="8"/>
  <c r="Z352" i="8" s="1"/>
  <c r="N352" i="8"/>
  <c r="M352" i="8"/>
  <c r="K352" i="8"/>
  <c r="J352" i="8"/>
  <c r="I352" i="8"/>
  <c r="H352" i="8"/>
  <c r="G352" i="8"/>
  <c r="F352" i="8"/>
  <c r="E352" i="8"/>
  <c r="AB351" i="8"/>
  <c r="AA351" i="8"/>
  <c r="AC351" i="8" s="1"/>
  <c r="Y351" i="8"/>
  <c r="X351" i="8"/>
  <c r="W351" i="8"/>
  <c r="V351" i="8"/>
  <c r="U351" i="8"/>
  <c r="T351" i="8"/>
  <c r="P351" i="8"/>
  <c r="Z351" i="8" s="1"/>
  <c r="N351" i="8"/>
  <c r="M351" i="8"/>
  <c r="K351" i="8"/>
  <c r="J351" i="8"/>
  <c r="I351" i="8"/>
  <c r="H351" i="8"/>
  <c r="G351" i="8"/>
  <c r="F351" i="8"/>
  <c r="E351" i="8"/>
  <c r="AB350" i="8"/>
  <c r="AA350" i="8"/>
  <c r="AC350" i="8" s="1"/>
  <c r="Y350" i="8"/>
  <c r="X350" i="8"/>
  <c r="W350" i="8"/>
  <c r="V350" i="8"/>
  <c r="U350" i="8"/>
  <c r="T350" i="8"/>
  <c r="P350" i="8"/>
  <c r="Z350" i="8" s="1"/>
  <c r="N350" i="8"/>
  <c r="M350" i="8"/>
  <c r="K350" i="8"/>
  <c r="J350" i="8"/>
  <c r="I350" i="8"/>
  <c r="H350" i="8"/>
  <c r="G350" i="8"/>
  <c r="F350" i="8"/>
  <c r="E350" i="8"/>
  <c r="AB349" i="8"/>
  <c r="Z349" i="8"/>
  <c r="Y349" i="8"/>
  <c r="X349" i="8"/>
  <c r="W349" i="8"/>
  <c r="V349" i="8"/>
  <c r="U349" i="8"/>
  <c r="T349" i="8"/>
  <c r="P349" i="8"/>
  <c r="N349" i="8"/>
  <c r="AA349" i="8" s="1"/>
  <c r="AC349" i="8" s="1"/>
  <c r="M349" i="8"/>
  <c r="K349" i="8"/>
  <c r="J349" i="8"/>
  <c r="I349" i="8"/>
  <c r="H349" i="8"/>
  <c r="G349" i="8"/>
  <c r="F349" i="8"/>
  <c r="E349" i="8"/>
  <c r="AB348" i="8"/>
  <c r="Y348" i="8"/>
  <c r="X348" i="8"/>
  <c r="W348" i="8"/>
  <c r="V348" i="8"/>
  <c r="U348" i="8"/>
  <c r="T348" i="8"/>
  <c r="P348" i="8"/>
  <c r="Z348" i="8" s="1"/>
  <c r="N348" i="8"/>
  <c r="AA348" i="8" s="1"/>
  <c r="AC348" i="8" s="1"/>
  <c r="M348" i="8"/>
  <c r="K348" i="8"/>
  <c r="J348" i="8"/>
  <c r="I348" i="8"/>
  <c r="H348" i="8"/>
  <c r="G348" i="8"/>
  <c r="F348" i="8"/>
  <c r="E348" i="8"/>
  <c r="AB347" i="8"/>
  <c r="Z347" i="8"/>
  <c r="Y347" i="8"/>
  <c r="X347" i="8"/>
  <c r="W347" i="8"/>
  <c r="V347" i="8"/>
  <c r="U347" i="8"/>
  <c r="T347" i="8"/>
  <c r="P347" i="8"/>
  <c r="N347" i="8"/>
  <c r="AA347" i="8" s="1"/>
  <c r="M347" i="8"/>
  <c r="K347" i="8"/>
  <c r="J347" i="8"/>
  <c r="I347" i="8"/>
  <c r="H347" i="8"/>
  <c r="G347" i="8"/>
  <c r="F347" i="8"/>
  <c r="E347" i="8"/>
  <c r="AC346" i="8"/>
  <c r="AB346" i="8"/>
  <c r="Z346" i="8"/>
  <c r="Y346" i="8"/>
  <c r="X346" i="8"/>
  <c r="W346" i="8"/>
  <c r="V346" i="8"/>
  <c r="U346" i="8"/>
  <c r="T346" i="8"/>
  <c r="P346" i="8"/>
  <c r="N346" i="8"/>
  <c r="AA346" i="8" s="1"/>
  <c r="M346" i="8"/>
  <c r="K346" i="8"/>
  <c r="J346" i="8"/>
  <c r="I346" i="8"/>
  <c r="H346" i="8"/>
  <c r="G346" i="8"/>
  <c r="F346" i="8"/>
  <c r="E346" i="8"/>
  <c r="AB345" i="8"/>
  <c r="Z345" i="8"/>
  <c r="Y345" i="8"/>
  <c r="X345" i="8"/>
  <c r="W345" i="8"/>
  <c r="V345" i="8"/>
  <c r="U345" i="8"/>
  <c r="T345" i="8"/>
  <c r="P345" i="8"/>
  <c r="N345" i="8"/>
  <c r="AA345" i="8" s="1"/>
  <c r="M345" i="8"/>
  <c r="K345" i="8"/>
  <c r="J345" i="8"/>
  <c r="I345" i="8"/>
  <c r="H345" i="8"/>
  <c r="G345" i="8"/>
  <c r="F345" i="8"/>
  <c r="E345" i="8"/>
  <c r="AC344" i="8"/>
  <c r="AB344" i="8"/>
  <c r="Z344" i="8"/>
  <c r="Y344" i="8"/>
  <c r="X344" i="8"/>
  <c r="W344" i="8"/>
  <c r="V344" i="8"/>
  <c r="U344" i="8"/>
  <c r="T344" i="8"/>
  <c r="P344" i="8"/>
  <c r="N344" i="8"/>
  <c r="AA344" i="8" s="1"/>
  <c r="M344" i="8"/>
  <c r="K344" i="8"/>
  <c r="J344" i="8"/>
  <c r="I344" i="8"/>
  <c r="H344" i="8"/>
  <c r="G344" i="8"/>
  <c r="F344" i="8"/>
  <c r="E344" i="8"/>
  <c r="AB343" i="8"/>
  <c r="Z343" i="8"/>
  <c r="Y343" i="8"/>
  <c r="X343" i="8"/>
  <c r="W343" i="8"/>
  <c r="V343" i="8"/>
  <c r="U343" i="8"/>
  <c r="T343" i="8"/>
  <c r="P343" i="8"/>
  <c r="N343" i="8"/>
  <c r="AA343" i="8" s="1"/>
  <c r="M343" i="8"/>
  <c r="K343" i="8"/>
  <c r="J343" i="8"/>
  <c r="I343" i="8"/>
  <c r="H343" i="8"/>
  <c r="G343" i="8"/>
  <c r="F343" i="8"/>
  <c r="E343" i="8"/>
  <c r="AB342" i="8"/>
  <c r="Z342" i="8"/>
  <c r="Y342" i="8"/>
  <c r="X342" i="8"/>
  <c r="W342" i="8"/>
  <c r="V342" i="8"/>
  <c r="U342" i="8"/>
  <c r="T342" i="8"/>
  <c r="P342" i="8"/>
  <c r="N342" i="8"/>
  <c r="AA342" i="8" s="1"/>
  <c r="AC342" i="8" s="1"/>
  <c r="M342" i="8"/>
  <c r="K342" i="8"/>
  <c r="J342" i="8"/>
  <c r="I342" i="8"/>
  <c r="H342" i="8"/>
  <c r="G342" i="8"/>
  <c r="F342" i="8"/>
  <c r="E342" i="8"/>
  <c r="AB341" i="8"/>
  <c r="Z341" i="8"/>
  <c r="Y341" i="8"/>
  <c r="X341" i="8"/>
  <c r="W341" i="8"/>
  <c r="V341" i="8"/>
  <c r="U341" i="8"/>
  <c r="T341" i="8"/>
  <c r="P341" i="8"/>
  <c r="N341" i="8"/>
  <c r="AA341" i="8" s="1"/>
  <c r="AC341" i="8" s="1"/>
  <c r="M341" i="8"/>
  <c r="K341" i="8"/>
  <c r="J341" i="8"/>
  <c r="I341" i="8"/>
  <c r="H341" i="8"/>
  <c r="G341" i="8"/>
  <c r="F341" i="8"/>
  <c r="E341" i="8"/>
  <c r="AC340" i="8"/>
  <c r="AB340" i="8"/>
  <c r="Z340" i="8"/>
  <c r="Y340" i="8"/>
  <c r="X340" i="8"/>
  <c r="W340" i="8"/>
  <c r="V340" i="8"/>
  <c r="U340" i="8"/>
  <c r="T340" i="8"/>
  <c r="P340" i="8"/>
  <c r="N340" i="8"/>
  <c r="AA340" i="8" s="1"/>
  <c r="M340" i="8"/>
  <c r="K340" i="8"/>
  <c r="J340" i="8"/>
  <c r="I340" i="8"/>
  <c r="H340" i="8"/>
  <c r="G340" i="8"/>
  <c r="F340" i="8"/>
  <c r="E340" i="8"/>
  <c r="AB339" i="8"/>
  <c r="Z339" i="8"/>
  <c r="Y339" i="8"/>
  <c r="X339" i="8"/>
  <c r="W339" i="8"/>
  <c r="V339" i="8"/>
  <c r="U339" i="8"/>
  <c r="T339" i="8"/>
  <c r="P339" i="8"/>
  <c r="N339" i="8"/>
  <c r="AA339" i="8" s="1"/>
  <c r="M339" i="8"/>
  <c r="K339" i="8"/>
  <c r="J339" i="8"/>
  <c r="I339" i="8"/>
  <c r="H339" i="8"/>
  <c r="G339" i="8"/>
  <c r="F339" i="8"/>
  <c r="E339" i="8"/>
  <c r="AC338" i="8"/>
  <c r="AB338" i="8"/>
  <c r="Z338" i="8"/>
  <c r="Y338" i="8"/>
  <c r="X338" i="8"/>
  <c r="W338" i="8"/>
  <c r="V338" i="8"/>
  <c r="U338" i="8"/>
  <c r="T338" i="8"/>
  <c r="P338" i="8"/>
  <c r="N338" i="8"/>
  <c r="AA338" i="8" s="1"/>
  <c r="M338" i="8"/>
  <c r="K338" i="8"/>
  <c r="J338" i="8"/>
  <c r="I338" i="8"/>
  <c r="H338" i="8"/>
  <c r="G338" i="8"/>
  <c r="F338" i="8"/>
  <c r="E338" i="8"/>
  <c r="AB337" i="8"/>
  <c r="Z337" i="8"/>
  <c r="Y337" i="8"/>
  <c r="X337" i="8"/>
  <c r="W337" i="8"/>
  <c r="V337" i="8"/>
  <c r="U337" i="8"/>
  <c r="T337" i="8"/>
  <c r="P337" i="8"/>
  <c r="N337" i="8"/>
  <c r="AA337" i="8" s="1"/>
  <c r="AC337" i="8" s="1"/>
  <c r="M337" i="8"/>
  <c r="K337" i="8"/>
  <c r="J337" i="8"/>
  <c r="I337" i="8"/>
  <c r="H337" i="8"/>
  <c r="G337" i="8"/>
  <c r="F337" i="8"/>
  <c r="E337" i="8"/>
  <c r="AB336" i="8"/>
  <c r="Y336" i="8"/>
  <c r="X336" i="8"/>
  <c r="W336" i="8"/>
  <c r="V336" i="8"/>
  <c r="U336" i="8"/>
  <c r="T336" i="8"/>
  <c r="P336" i="8"/>
  <c r="Z336" i="8" s="1"/>
  <c r="AC336" i="8" s="1"/>
  <c r="N336" i="8"/>
  <c r="AA336" i="8" s="1"/>
  <c r="M336" i="8"/>
  <c r="K336" i="8"/>
  <c r="J336" i="8"/>
  <c r="I336" i="8"/>
  <c r="H336" i="8"/>
  <c r="G336" i="8"/>
  <c r="F336" i="8"/>
  <c r="E336" i="8"/>
  <c r="AB335" i="8"/>
  <c r="Z335" i="8"/>
  <c r="Y335" i="8"/>
  <c r="X335" i="8"/>
  <c r="W335" i="8"/>
  <c r="V335" i="8"/>
  <c r="U335" i="8"/>
  <c r="T335" i="8"/>
  <c r="P335" i="8"/>
  <c r="N335" i="8"/>
  <c r="AA335" i="8" s="1"/>
  <c r="M335" i="8"/>
  <c r="K335" i="8"/>
  <c r="J335" i="8"/>
  <c r="I335" i="8"/>
  <c r="H335" i="8"/>
  <c r="G335" i="8"/>
  <c r="F335" i="8"/>
  <c r="E335" i="8"/>
  <c r="AB334" i="8"/>
  <c r="Y334" i="8"/>
  <c r="X334" i="8"/>
  <c r="W334" i="8"/>
  <c r="V334" i="8"/>
  <c r="U334" i="8"/>
  <c r="T334" i="8"/>
  <c r="P334" i="8"/>
  <c r="AA334" i="8" s="1"/>
  <c r="N334" i="8"/>
  <c r="M334" i="8"/>
  <c r="K334" i="8"/>
  <c r="J334" i="8"/>
  <c r="I334" i="8"/>
  <c r="H334" i="8"/>
  <c r="G334" i="8"/>
  <c r="F334" i="8"/>
  <c r="E334" i="8"/>
  <c r="AB333" i="8"/>
  <c r="Z333" i="8"/>
  <c r="Y333" i="8"/>
  <c r="X333" i="8"/>
  <c r="W333" i="8"/>
  <c r="V333" i="8"/>
  <c r="U333" i="8"/>
  <c r="T333" i="8"/>
  <c r="P333" i="8"/>
  <c r="N333" i="8"/>
  <c r="AA333" i="8" s="1"/>
  <c r="AC333" i="8" s="1"/>
  <c r="M333" i="8"/>
  <c r="K333" i="8"/>
  <c r="J333" i="8"/>
  <c r="I333" i="8"/>
  <c r="H333" i="8"/>
  <c r="G333" i="8"/>
  <c r="F333" i="8"/>
  <c r="E333" i="8"/>
  <c r="AB332" i="8"/>
  <c r="Y332" i="8"/>
  <c r="X332" i="8"/>
  <c r="W332" i="8"/>
  <c r="V332" i="8"/>
  <c r="U332" i="8"/>
  <c r="T332" i="8"/>
  <c r="P332" i="8"/>
  <c r="AA332" i="8" s="1"/>
  <c r="N332" i="8"/>
  <c r="M332" i="8"/>
  <c r="K332" i="8"/>
  <c r="J332" i="8"/>
  <c r="I332" i="8"/>
  <c r="H332" i="8"/>
  <c r="G332" i="8"/>
  <c r="F332" i="8"/>
  <c r="E332" i="8"/>
  <c r="AB331" i="8"/>
  <c r="Z331" i="8"/>
  <c r="Y331" i="8"/>
  <c r="X331" i="8"/>
  <c r="W331" i="8"/>
  <c r="V331" i="8"/>
  <c r="U331" i="8"/>
  <c r="T331" i="8"/>
  <c r="P331" i="8"/>
  <c r="N331" i="8"/>
  <c r="AA331" i="8" s="1"/>
  <c r="M331" i="8"/>
  <c r="K331" i="8"/>
  <c r="J331" i="8"/>
  <c r="I331" i="8"/>
  <c r="H331" i="8"/>
  <c r="G331" i="8"/>
  <c r="F331" i="8"/>
  <c r="E331" i="8"/>
  <c r="AB330" i="8"/>
  <c r="Y330" i="8"/>
  <c r="X330" i="8"/>
  <c r="W330" i="8"/>
  <c r="V330" i="8"/>
  <c r="U330" i="8"/>
  <c r="T330" i="8"/>
  <c r="P330" i="8"/>
  <c r="AA330" i="8" s="1"/>
  <c r="N330" i="8"/>
  <c r="M330" i="8"/>
  <c r="K330" i="8"/>
  <c r="J330" i="8"/>
  <c r="I330" i="8"/>
  <c r="H330" i="8"/>
  <c r="G330" i="8"/>
  <c r="F330" i="8"/>
  <c r="E330" i="8"/>
  <c r="AB329" i="8"/>
  <c r="Z329" i="8"/>
  <c r="Y329" i="8"/>
  <c r="X329" i="8"/>
  <c r="W329" i="8"/>
  <c r="V329" i="8"/>
  <c r="U329" i="8"/>
  <c r="T329" i="8"/>
  <c r="P329" i="8"/>
  <c r="N329" i="8"/>
  <c r="AA329" i="8" s="1"/>
  <c r="AC329" i="8" s="1"/>
  <c r="M329" i="8"/>
  <c r="K329" i="8"/>
  <c r="J329" i="8"/>
  <c r="I329" i="8"/>
  <c r="H329" i="8"/>
  <c r="G329" i="8"/>
  <c r="F329" i="8"/>
  <c r="E329" i="8"/>
  <c r="AB328" i="8"/>
  <c r="Y328" i="8"/>
  <c r="X328" i="8"/>
  <c r="W328" i="8"/>
  <c r="V328" i="8"/>
  <c r="U328" i="8"/>
  <c r="T328" i="8"/>
  <c r="P328" i="8"/>
  <c r="AA328" i="8" s="1"/>
  <c r="N328" i="8"/>
  <c r="M328" i="8"/>
  <c r="K328" i="8"/>
  <c r="J328" i="8"/>
  <c r="I328" i="8"/>
  <c r="H328" i="8"/>
  <c r="G328" i="8"/>
  <c r="F328" i="8"/>
  <c r="E328" i="8"/>
  <c r="AB327" i="8"/>
  <c r="Z327" i="8"/>
  <c r="Y327" i="8"/>
  <c r="X327" i="8"/>
  <c r="W327" i="8"/>
  <c r="V327" i="8"/>
  <c r="U327" i="8"/>
  <c r="T327" i="8"/>
  <c r="P327" i="8"/>
  <c r="N327" i="8"/>
  <c r="AA327" i="8" s="1"/>
  <c r="M327" i="8"/>
  <c r="K327" i="8"/>
  <c r="J327" i="8"/>
  <c r="I327" i="8"/>
  <c r="H327" i="8"/>
  <c r="G327" i="8"/>
  <c r="F327" i="8"/>
  <c r="E327" i="8"/>
  <c r="AB326" i="8"/>
  <c r="Y326" i="8"/>
  <c r="X326" i="8"/>
  <c r="W326" i="8"/>
  <c r="V326" i="8"/>
  <c r="U326" i="8"/>
  <c r="T326" i="8"/>
  <c r="P326" i="8"/>
  <c r="AA326" i="8" s="1"/>
  <c r="AC326" i="8" s="1"/>
  <c r="N326" i="8"/>
  <c r="M326" i="8"/>
  <c r="K326" i="8"/>
  <c r="J326" i="8"/>
  <c r="I326" i="8"/>
  <c r="H326" i="8"/>
  <c r="G326" i="8"/>
  <c r="F326" i="8"/>
  <c r="E326" i="8"/>
  <c r="AB325" i="8"/>
  <c r="Z325" i="8"/>
  <c r="Y325" i="8"/>
  <c r="X325" i="8"/>
  <c r="W325" i="8"/>
  <c r="V325" i="8"/>
  <c r="U325" i="8"/>
  <c r="T325" i="8"/>
  <c r="P325" i="8"/>
  <c r="N325" i="8"/>
  <c r="AA325" i="8" s="1"/>
  <c r="AC325" i="8" s="1"/>
  <c r="M325" i="8"/>
  <c r="K325" i="8"/>
  <c r="J325" i="8"/>
  <c r="I325" i="8"/>
  <c r="H325" i="8"/>
  <c r="G325" i="8"/>
  <c r="F325" i="8"/>
  <c r="E325" i="8"/>
  <c r="AB324" i="8"/>
  <c r="Y324" i="8"/>
  <c r="X324" i="8"/>
  <c r="W324" i="8"/>
  <c r="V324" i="8"/>
  <c r="U324" i="8"/>
  <c r="T324" i="8"/>
  <c r="P324" i="8"/>
  <c r="AA324" i="8" s="1"/>
  <c r="N324" i="8"/>
  <c r="M324" i="8"/>
  <c r="K324" i="8"/>
  <c r="J324" i="8"/>
  <c r="I324" i="8"/>
  <c r="H324" i="8"/>
  <c r="G324" i="8"/>
  <c r="F324" i="8"/>
  <c r="E324" i="8"/>
  <c r="AB323" i="8"/>
  <c r="Z323" i="8"/>
  <c r="Y323" i="8"/>
  <c r="X323" i="8"/>
  <c r="W323" i="8"/>
  <c r="V323" i="8"/>
  <c r="U323" i="8"/>
  <c r="T323" i="8"/>
  <c r="P323" i="8"/>
  <c r="N323" i="8"/>
  <c r="AA323" i="8" s="1"/>
  <c r="M323" i="8"/>
  <c r="K323" i="8"/>
  <c r="J323" i="8"/>
  <c r="I323" i="8"/>
  <c r="H323" i="8"/>
  <c r="G323" i="8"/>
  <c r="F323" i="8"/>
  <c r="E323" i="8"/>
  <c r="AB322" i="8"/>
  <c r="Y322" i="8"/>
  <c r="X322" i="8"/>
  <c r="W322" i="8"/>
  <c r="V322" i="8"/>
  <c r="U322" i="8"/>
  <c r="T322" i="8"/>
  <c r="P322" i="8"/>
  <c r="AA322" i="8" s="1"/>
  <c r="N322" i="8"/>
  <c r="M322" i="8"/>
  <c r="K322" i="8"/>
  <c r="J322" i="8"/>
  <c r="I322" i="8"/>
  <c r="H322" i="8"/>
  <c r="G322" i="8"/>
  <c r="F322" i="8"/>
  <c r="E322" i="8"/>
  <c r="AB321" i="8"/>
  <c r="Z321" i="8"/>
  <c r="Y321" i="8"/>
  <c r="X321" i="8"/>
  <c r="W321" i="8"/>
  <c r="V321" i="8"/>
  <c r="U321" i="8"/>
  <c r="T321" i="8"/>
  <c r="P321" i="8"/>
  <c r="N321" i="8"/>
  <c r="AA321" i="8" s="1"/>
  <c r="AC321" i="8" s="1"/>
  <c r="M321" i="8"/>
  <c r="K321" i="8"/>
  <c r="J321" i="8"/>
  <c r="I321" i="8"/>
  <c r="H321" i="8"/>
  <c r="G321" i="8"/>
  <c r="F321" i="8"/>
  <c r="E321" i="8"/>
  <c r="AB320" i="8"/>
  <c r="Y320" i="8"/>
  <c r="X320" i="8"/>
  <c r="W320" i="8"/>
  <c r="V320" i="8"/>
  <c r="U320" i="8"/>
  <c r="T320" i="8"/>
  <c r="P320" i="8"/>
  <c r="AA320" i="8" s="1"/>
  <c r="N320" i="8"/>
  <c r="M320" i="8"/>
  <c r="K320" i="8"/>
  <c r="J320" i="8"/>
  <c r="I320" i="8"/>
  <c r="H320" i="8"/>
  <c r="G320" i="8"/>
  <c r="F320" i="8"/>
  <c r="E320" i="8"/>
  <c r="AB319" i="8"/>
  <c r="Z319" i="8"/>
  <c r="Y319" i="8"/>
  <c r="X319" i="8"/>
  <c r="W319" i="8"/>
  <c r="V319" i="8"/>
  <c r="U319" i="8"/>
  <c r="T319" i="8"/>
  <c r="P319" i="8"/>
  <c r="N319" i="8"/>
  <c r="AA319" i="8" s="1"/>
  <c r="M319" i="8"/>
  <c r="K319" i="8"/>
  <c r="J319" i="8"/>
  <c r="I319" i="8"/>
  <c r="H319" i="8"/>
  <c r="G319" i="8"/>
  <c r="F319" i="8"/>
  <c r="E319" i="8"/>
  <c r="AB318" i="8"/>
  <c r="Y318" i="8"/>
  <c r="X318" i="8"/>
  <c r="W318" i="8"/>
  <c r="V318" i="8"/>
  <c r="U318" i="8"/>
  <c r="T318" i="8"/>
  <c r="P318" i="8"/>
  <c r="AA318" i="8" s="1"/>
  <c r="N318" i="8"/>
  <c r="M318" i="8"/>
  <c r="K318" i="8"/>
  <c r="J318" i="8"/>
  <c r="I318" i="8"/>
  <c r="H318" i="8"/>
  <c r="G318" i="8"/>
  <c r="F318" i="8"/>
  <c r="E318" i="8"/>
  <c r="AB317" i="8"/>
  <c r="Z317" i="8"/>
  <c r="Y317" i="8"/>
  <c r="X317" i="8"/>
  <c r="W317" i="8"/>
  <c r="V317" i="8"/>
  <c r="U317" i="8"/>
  <c r="T317" i="8"/>
  <c r="P317" i="8"/>
  <c r="N317" i="8"/>
  <c r="AA317" i="8" s="1"/>
  <c r="AC317" i="8" s="1"/>
  <c r="M317" i="8"/>
  <c r="K317" i="8"/>
  <c r="J317" i="8"/>
  <c r="I317" i="8"/>
  <c r="H317" i="8"/>
  <c r="G317" i="8"/>
  <c r="F317" i="8"/>
  <c r="E317" i="8"/>
  <c r="AB316" i="8"/>
  <c r="Y316" i="8"/>
  <c r="X316" i="8"/>
  <c r="W316" i="8"/>
  <c r="V316" i="8"/>
  <c r="U316" i="8"/>
  <c r="T316" i="8"/>
  <c r="P316" i="8"/>
  <c r="AA316" i="8" s="1"/>
  <c r="N316" i="8"/>
  <c r="M316" i="8"/>
  <c r="K316" i="8"/>
  <c r="J316" i="8"/>
  <c r="I316" i="8"/>
  <c r="H316" i="8"/>
  <c r="G316" i="8"/>
  <c r="F316" i="8"/>
  <c r="E316" i="8"/>
  <c r="AB315" i="8"/>
  <c r="Z315" i="8"/>
  <c r="Y315" i="8"/>
  <c r="X315" i="8"/>
  <c r="W315" i="8"/>
  <c r="V315" i="8"/>
  <c r="U315" i="8"/>
  <c r="T315" i="8"/>
  <c r="P315" i="8"/>
  <c r="N315" i="8"/>
  <c r="AA315" i="8" s="1"/>
  <c r="M315" i="8"/>
  <c r="K315" i="8"/>
  <c r="J315" i="8"/>
  <c r="I315" i="8"/>
  <c r="H315" i="8"/>
  <c r="G315" i="8"/>
  <c r="F315" i="8"/>
  <c r="E315" i="8"/>
  <c r="AB314" i="8"/>
  <c r="Y314" i="8"/>
  <c r="X314" i="8"/>
  <c r="W314" i="8"/>
  <c r="V314" i="8"/>
  <c r="U314" i="8"/>
  <c r="T314" i="8"/>
  <c r="P314" i="8"/>
  <c r="AA314" i="8" s="1"/>
  <c r="AC314" i="8" s="1"/>
  <c r="N314" i="8"/>
  <c r="M314" i="8"/>
  <c r="K314" i="8"/>
  <c r="J314" i="8"/>
  <c r="I314" i="8"/>
  <c r="H314" i="8"/>
  <c r="G314" i="8"/>
  <c r="F314" i="8"/>
  <c r="E314" i="8"/>
  <c r="AB313" i="8"/>
  <c r="Z313" i="8"/>
  <c r="Y313" i="8"/>
  <c r="X313" i="8"/>
  <c r="W313" i="8"/>
  <c r="V313" i="8"/>
  <c r="U313" i="8"/>
  <c r="T313" i="8"/>
  <c r="P313" i="8"/>
  <c r="N313" i="8"/>
  <c r="AA313" i="8" s="1"/>
  <c r="AC313" i="8" s="1"/>
  <c r="M313" i="8"/>
  <c r="K313" i="8"/>
  <c r="J313" i="8"/>
  <c r="I313" i="8"/>
  <c r="H313" i="8"/>
  <c r="G313" i="8"/>
  <c r="F313" i="8"/>
  <c r="E313" i="8"/>
  <c r="AB312" i="8"/>
  <c r="Y312" i="8"/>
  <c r="X312" i="8"/>
  <c r="W312" i="8"/>
  <c r="V312" i="8"/>
  <c r="U312" i="8"/>
  <c r="T312" i="8"/>
  <c r="P312" i="8"/>
  <c r="AA312" i="8" s="1"/>
  <c r="N312" i="8"/>
  <c r="M312" i="8"/>
  <c r="K312" i="8"/>
  <c r="J312" i="8"/>
  <c r="I312" i="8"/>
  <c r="H312" i="8"/>
  <c r="G312" i="8"/>
  <c r="F312" i="8"/>
  <c r="E312" i="8"/>
  <c r="AB311" i="8"/>
  <c r="Z311" i="8"/>
  <c r="Y311" i="8"/>
  <c r="X311" i="8"/>
  <c r="W311" i="8"/>
  <c r="V311" i="8"/>
  <c r="U311" i="8"/>
  <c r="T311" i="8"/>
  <c r="P311" i="8"/>
  <c r="N311" i="8"/>
  <c r="AA311" i="8" s="1"/>
  <c r="M311" i="8"/>
  <c r="K311" i="8"/>
  <c r="J311" i="8"/>
  <c r="I311" i="8"/>
  <c r="H311" i="8"/>
  <c r="G311" i="8"/>
  <c r="F311" i="8"/>
  <c r="E311" i="8"/>
  <c r="AB310" i="8"/>
  <c r="Y310" i="8"/>
  <c r="X310" i="8"/>
  <c r="W310" i="8"/>
  <c r="V310" i="8"/>
  <c r="U310" i="8"/>
  <c r="T310" i="8"/>
  <c r="P310" i="8"/>
  <c r="AA310" i="8" s="1"/>
  <c r="N310" i="8"/>
  <c r="M310" i="8"/>
  <c r="K310" i="8"/>
  <c r="J310" i="8"/>
  <c r="I310" i="8"/>
  <c r="H310" i="8"/>
  <c r="G310" i="8"/>
  <c r="F310" i="8"/>
  <c r="E310" i="8"/>
  <c r="AB309" i="8"/>
  <c r="Z309" i="8"/>
  <c r="Y309" i="8"/>
  <c r="X309" i="8"/>
  <c r="W309" i="8"/>
  <c r="V309" i="8"/>
  <c r="U309" i="8"/>
  <c r="T309" i="8"/>
  <c r="P309" i="8"/>
  <c r="N309" i="8"/>
  <c r="AA309" i="8" s="1"/>
  <c r="AC309" i="8" s="1"/>
  <c r="M309" i="8"/>
  <c r="K309" i="8"/>
  <c r="J309" i="8"/>
  <c r="I309" i="8"/>
  <c r="H309" i="8"/>
  <c r="G309" i="8"/>
  <c r="F309" i="8"/>
  <c r="E309" i="8"/>
  <c r="AB308" i="8"/>
  <c r="Y308" i="8"/>
  <c r="X308" i="8"/>
  <c r="W308" i="8"/>
  <c r="V308" i="8"/>
  <c r="U308" i="8"/>
  <c r="T308" i="8"/>
  <c r="P308" i="8"/>
  <c r="AA308" i="8" s="1"/>
  <c r="N308" i="8"/>
  <c r="M308" i="8"/>
  <c r="K308" i="8"/>
  <c r="J308" i="8"/>
  <c r="I308" i="8"/>
  <c r="H308" i="8"/>
  <c r="G308" i="8"/>
  <c r="F308" i="8"/>
  <c r="E308" i="8"/>
  <c r="AB307" i="8"/>
  <c r="Z307" i="8"/>
  <c r="Y307" i="8"/>
  <c r="X307" i="8"/>
  <c r="W307" i="8"/>
  <c r="V307" i="8"/>
  <c r="U307" i="8"/>
  <c r="T307" i="8"/>
  <c r="P307" i="8"/>
  <c r="N307" i="8"/>
  <c r="AA307" i="8" s="1"/>
  <c r="M307" i="8"/>
  <c r="K307" i="8"/>
  <c r="J307" i="8"/>
  <c r="I307" i="8"/>
  <c r="H307" i="8"/>
  <c r="G307" i="8"/>
  <c r="F307" i="8"/>
  <c r="E307" i="8"/>
  <c r="AB306" i="8"/>
  <c r="Y306" i="8"/>
  <c r="X306" i="8"/>
  <c r="W306" i="8"/>
  <c r="V306" i="8"/>
  <c r="U306" i="8"/>
  <c r="T306" i="8"/>
  <c r="P306" i="8"/>
  <c r="AA306" i="8" s="1"/>
  <c r="N306" i="8"/>
  <c r="M306" i="8"/>
  <c r="K306" i="8"/>
  <c r="J306" i="8"/>
  <c r="I306" i="8"/>
  <c r="H306" i="8"/>
  <c r="G306" i="8"/>
  <c r="F306" i="8"/>
  <c r="E306" i="8"/>
  <c r="AB305" i="8"/>
  <c r="Z305" i="8"/>
  <c r="Y305" i="8"/>
  <c r="X305" i="8"/>
  <c r="W305" i="8"/>
  <c r="V305" i="8"/>
  <c r="U305" i="8"/>
  <c r="T305" i="8"/>
  <c r="P305" i="8"/>
  <c r="N305" i="8"/>
  <c r="AA305" i="8" s="1"/>
  <c r="AC305" i="8" s="1"/>
  <c r="M305" i="8"/>
  <c r="K305" i="8"/>
  <c r="J305" i="8"/>
  <c r="I305" i="8"/>
  <c r="H305" i="8"/>
  <c r="G305" i="8"/>
  <c r="F305" i="8"/>
  <c r="E305" i="8"/>
  <c r="AB304" i="8"/>
  <c r="Y304" i="8"/>
  <c r="X304" i="8"/>
  <c r="W304" i="8"/>
  <c r="V304" i="8"/>
  <c r="U304" i="8"/>
  <c r="T304" i="8"/>
  <c r="P304" i="8"/>
  <c r="AA304" i="8" s="1"/>
  <c r="N304" i="8"/>
  <c r="M304" i="8"/>
  <c r="K304" i="8"/>
  <c r="J304" i="8"/>
  <c r="I304" i="8"/>
  <c r="H304" i="8"/>
  <c r="G304" i="8"/>
  <c r="F304" i="8"/>
  <c r="E304" i="8"/>
  <c r="AB303" i="8"/>
  <c r="Z303" i="8"/>
  <c r="Y303" i="8"/>
  <c r="X303" i="8"/>
  <c r="W303" i="8"/>
  <c r="V303" i="8"/>
  <c r="U303" i="8"/>
  <c r="T303" i="8"/>
  <c r="P303" i="8"/>
  <c r="N303" i="8"/>
  <c r="AA303" i="8" s="1"/>
  <c r="M303" i="8"/>
  <c r="K303" i="8"/>
  <c r="J303" i="8"/>
  <c r="I303" i="8"/>
  <c r="H303" i="8"/>
  <c r="G303" i="8"/>
  <c r="F303" i="8"/>
  <c r="E303" i="8"/>
  <c r="AB302" i="8"/>
  <c r="Y302" i="8"/>
  <c r="X302" i="8"/>
  <c r="W302" i="8"/>
  <c r="V302" i="8"/>
  <c r="U302" i="8"/>
  <c r="T302" i="8"/>
  <c r="P302" i="8"/>
  <c r="AA302" i="8" s="1"/>
  <c r="N302" i="8"/>
  <c r="M302" i="8"/>
  <c r="K302" i="8"/>
  <c r="J302" i="8"/>
  <c r="I302" i="8"/>
  <c r="H302" i="8"/>
  <c r="G302" i="8"/>
  <c r="F302" i="8"/>
  <c r="E302" i="8"/>
  <c r="AB301" i="8"/>
  <c r="Z301" i="8"/>
  <c r="Y301" i="8"/>
  <c r="X301" i="8"/>
  <c r="W301" i="8"/>
  <c r="V301" i="8"/>
  <c r="U301" i="8"/>
  <c r="T301" i="8"/>
  <c r="P301" i="8"/>
  <c r="N301" i="8"/>
  <c r="AA301" i="8" s="1"/>
  <c r="AC301" i="8" s="1"/>
  <c r="M301" i="8"/>
  <c r="K301" i="8"/>
  <c r="J301" i="8"/>
  <c r="I301" i="8"/>
  <c r="H301" i="8"/>
  <c r="G301" i="8"/>
  <c r="F301" i="8"/>
  <c r="E301" i="8"/>
  <c r="AB300" i="8"/>
  <c r="Y300" i="8"/>
  <c r="X300" i="8"/>
  <c r="W300" i="8"/>
  <c r="V300" i="8"/>
  <c r="U300" i="8"/>
  <c r="T300" i="8"/>
  <c r="P300" i="8"/>
  <c r="AA300" i="8" s="1"/>
  <c r="N300" i="8"/>
  <c r="M300" i="8"/>
  <c r="K300" i="8"/>
  <c r="J300" i="8"/>
  <c r="I300" i="8"/>
  <c r="H300" i="8"/>
  <c r="G300" i="8"/>
  <c r="F300" i="8"/>
  <c r="E300" i="8"/>
  <c r="AB299" i="8"/>
  <c r="Z299" i="8"/>
  <c r="Y299" i="8"/>
  <c r="X299" i="8"/>
  <c r="W299" i="8"/>
  <c r="V299" i="8"/>
  <c r="U299" i="8"/>
  <c r="T299" i="8"/>
  <c r="P299" i="8"/>
  <c r="N299" i="8"/>
  <c r="AA299" i="8" s="1"/>
  <c r="M299" i="8"/>
  <c r="K299" i="8"/>
  <c r="J299" i="8"/>
  <c r="I299" i="8"/>
  <c r="H299" i="8"/>
  <c r="G299" i="8"/>
  <c r="F299" i="8"/>
  <c r="E299" i="8"/>
  <c r="AB298" i="8"/>
  <c r="Y298" i="8"/>
  <c r="X298" i="8"/>
  <c r="W298" i="8"/>
  <c r="V298" i="8"/>
  <c r="U298" i="8"/>
  <c r="T298" i="8"/>
  <c r="P298" i="8"/>
  <c r="AA298" i="8" s="1"/>
  <c r="N298" i="8"/>
  <c r="M298" i="8"/>
  <c r="K298" i="8"/>
  <c r="J298" i="8"/>
  <c r="I298" i="8"/>
  <c r="H298" i="8"/>
  <c r="G298" i="8"/>
  <c r="F298" i="8"/>
  <c r="E298" i="8"/>
  <c r="AB297" i="8"/>
  <c r="Z297" i="8"/>
  <c r="Y297" i="8"/>
  <c r="X297" i="8"/>
  <c r="W297" i="8"/>
  <c r="V297" i="8"/>
  <c r="U297" i="8"/>
  <c r="T297" i="8"/>
  <c r="P297" i="8"/>
  <c r="N297" i="8"/>
  <c r="AA297" i="8" s="1"/>
  <c r="AC297" i="8" s="1"/>
  <c r="M297" i="8"/>
  <c r="K297" i="8"/>
  <c r="J297" i="8"/>
  <c r="I297" i="8"/>
  <c r="H297" i="8"/>
  <c r="G297" i="8"/>
  <c r="F297" i="8"/>
  <c r="E297" i="8"/>
  <c r="AB296" i="8"/>
  <c r="Y296" i="8"/>
  <c r="X296" i="8"/>
  <c r="W296" i="8"/>
  <c r="V296" i="8"/>
  <c r="U296" i="8"/>
  <c r="T296" i="8"/>
  <c r="P296" i="8"/>
  <c r="AA296" i="8" s="1"/>
  <c r="N296" i="8"/>
  <c r="M296" i="8"/>
  <c r="K296" i="8"/>
  <c r="J296" i="8"/>
  <c r="I296" i="8"/>
  <c r="H296" i="8"/>
  <c r="G296" i="8"/>
  <c r="F296" i="8"/>
  <c r="E296" i="8"/>
  <c r="AB295" i="8"/>
  <c r="Z295" i="8"/>
  <c r="Y295" i="8"/>
  <c r="X295" i="8"/>
  <c r="W295" i="8"/>
  <c r="V295" i="8"/>
  <c r="U295" i="8"/>
  <c r="T295" i="8"/>
  <c r="P295" i="8"/>
  <c r="N295" i="8"/>
  <c r="AA295" i="8" s="1"/>
  <c r="M295" i="8"/>
  <c r="K295" i="8"/>
  <c r="J295" i="8"/>
  <c r="I295" i="8"/>
  <c r="H295" i="8"/>
  <c r="G295" i="8"/>
  <c r="F295" i="8"/>
  <c r="E295" i="8"/>
  <c r="AB294" i="8"/>
  <c r="Y294" i="8"/>
  <c r="X294" i="8"/>
  <c r="W294" i="8"/>
  <c r="V294" i="8"/>
  <c r="U294" i="8"/>
  <c r="T294" i="8"/>
  <c r="P294" i="8"/>
  <c r="AA294" i="8" s="1"/>
  <c r="N294" i="8"/>
  <c r="M294" i="8"/>
  <c r="K294" i="8"/>
  <c r="J294" i="8"/>
  <c r="I294" i="8"/>
  <c r="H294" i="8"/>
  <c r="G294" i="8"/>
  <c r="F294" i="8"/>
  <c r="E294" i="8"/>
  <c r="AB293" i="8"/>
  <c r="Z293" i="8"/>
  <c r="Y293" i="8"/>
  <c r="X293" i="8"/>
  <c r="W293" i="8"/>
  <c r="V293" i="8"/>
  <c r="U293" i="8"/>
  <c r="T293" i="8"/>
  <c r="P293" i="8"/>
  <c r="N293" i="8"/>
  <c r="AA293" i="8" s="1"/>
  <c r="AC293" i="8" s="1"/>
  <c r="M293" i="8"/>
  <c r="K293" i="8"/>
  <c r="J293" i="8"/>
  <c r="I293" i="8"/>
  <c r="H293" i="8"/>
  <c r="G293" i="8"/>
  <c r="F293" i="8"/>
  <c r="E293" i="8"/>
  <c r="AB292" i="8"/>
  <c r="Y292" i="8"/>
  <c r="X292" i="8"/>
  <c r="W292" i="8"/>
  <c r="V292" i="8"/>
  <c r="U292" i="8"/>
  <c r="T292" i="8"/>
  <c r="P292" i="8"/>
  <c r="AA292" i="8" s="1"/>
  <c r="N292" i="8"/>
  <c r="M292" i="8"/>
  <c r="K292" i="8"/>
  <c r="J292" i="8"/>
  <c r="I292" i="8"/>
  <c r="H292" i="8"/>
  <c r="G292" i="8"/>
  <c r="F292" i="8"/>
  <c r="E292" i="8"/>
  <c r="AB291" i="8"/>
  <c r="Z291" i="8"/>
  <c r="Y291" i="8"/>
  <c r="X291" i="8"/>
  <c r="W291" i="8"/>
  <c r="V291" i="8"/>
  <c r="U291" i="8"/>
  <c r="T291" i="8"/>
  <c r="P291" i="8"/>
  <c r="N291" i="8"/>
  <c r="AA291" i="8" s="1"/>
  <c r="M291" i="8"/>
  <c r="K291" i="8"/>
  <c r="J291" i="8"/>
  <c r="I291" i="8"/>
  <c r="H291" i="8"/>
  <c r="G291" i="8"/>
  <c r="F291" i="8"/>
  <c r="E291" i="8"/>
  <c r="AB290" i="8"/>
  <c r="Y290" i="8"/>
  <c r="X290" i="8"/>
  <c r="W290" i="8"/>
  <c r="V290" i="8"/>
  <c r="U290" i="8"/>
  <c r="T290" i="8"/>
  <c r="P290" i="8"/>
  <c r="AA290" i="8" s="1"/>
  <c r="N290" i="8"/>
  <c r="M290" i="8"/>
  <c r="K290" i="8"/>
  <c r="J290" i="8"/>
  <c r="I290" i="8"/>
  <c r="H290" i="8"/>
  <c r="G290" i="8"/>
  <c r="F290" i="8"/>
  <c r="E290" i="8"/>
  <c r="AB289" i="8"/>
  <c r="Z289" i="8"/>
  <c r="Y289" i="8"/>
  <c r="X289" i="8"/>
  <c r="W289" i="8"/>
  <c r="V289" i="8"/>
  <c r="U289" i="8"/>
  <c r="T289" i="8"/>
  <c r="P289" i="8"/>
  <c r="N289" i="8"/>
  <c r="AA289" i="8" s="1"/>
  <c r="AC289" i="8" s="1"/>
  <c r="M289" i="8"/>
  <c r="K289" i="8"/>
  <c r="J289" i="8"/>
  <c r="I289" i="8"/>
  <c r="H289" i="8"/>
  <c r="G289" i="8"/>
  <c r="F289" i="8"/>
  <c r="E289" i="8"/>
  <c r="AB288" i="8"/>
  <c r="Y288" i="8"/>
  <c r="X288" i="8"/>
  <c r="W288" i="8"/>
  <c r="V288" i="8"/>
  <c r="U288" i="8"/>
  <c r="T288" i="8"/>
  <c r="P288" i="8"/>
  <c r="AA288" i="8" s="1"/>
  <c r="N288" i="8"/>
  <c r="M288" i="8"/>
  <c r="K288" i="8"/>
  <c r="J288" i="8"/>
  <c r="I288" i="8"/>
  <c r="H288" i="8"/>
  <c r="G288" i="8"/>
  <c r="F288" i="8"/>
  <c r="E288" i="8"/>
  <c r="AB287" i="8"/>
  <c r="Z287" i="8"/>
  <c r="Y287" i="8"/>
  <c r="X287" i="8"/>
  <c r="W287" i="8"/>
  <c r="V287" i="8"/>
  <c r="U287" i="8"/>
  <c r="T287" i="8"/>
  <c r="P287" i="8"/>
  <c r="N287" i="8"/>
  <c r="AA287" i="8" s="1"/>
  <c r="M287" i="8"/>
  <c r="K287" i="8"/>
  <c r="J287" i="8"/>
  <c r="I287" i="8"/>
  <c r="H287" i="8"/>
  <c r="G287" i="8"/>
  <c r="F287" i="8"/>
  <c r="E287" i="8"/>
  <c r="AB286" i="8"/>
  <c r="Y286" i="8"/>
  <c r="X286" i="8"/>
  <c r="W286" i="8"/>
  <c r="V286" i="8"/>
  <c r="U286" i="8"/>
  <c r="T286" i="8"/>
  <c r="P286" i="8"/>
  <c r="AA286" i="8" s="1"/>
  <c r="N286" i="8"/>
  <c r="M286" i="8"/>
  <c r="K286" i="8"/>
  <c r="J286" i="8"/>
  <c r="I286" i="8"/>
  <c r="H286" i="8"/>
  <c r="G286" i="8"/>
  <c r="F286" i="8"/>
  <c r="E286" i="8"/>
  <c r="AB285" i="8"/>
  <c r="Z285" i="8"/>
  <c r="Y285" i="8"/>
  <c r="X285" i="8"/>
  <c r="W285" i="8"/>
  <c r="V285" i="8"/>
  <c r="U285" i="8"/>
  <c r="T285" i="8"/>
  <c r="P285" i="8"/>
  <c r="N285" i="8"/>
  <c r="AA285" i="8" s="1"/>
  <c r="AC285" i="8" s="1"/>
  <c r="M285" i="8"/>
  <c r="K285" i="8"/>
  <c r="J285" i="8"/>
  <c r="I285" i="8"/>
  <c r="H285" i="8"/>
  <c r="G285" i="8"/>
  <c r="F285" i="8"/>
  <c r="E285" i="8"/>
  <c r="AB284" i="8"/>
  <c r="Y284" i="8"/>
  <c r="X284" i="8"/>
  <c r="W284" i="8"/>
  <c r="V284" i="8"/>
  <c r="U284" i="8"/>
  <c r="T284" i="8"/>
  <c r="P284" i="8"/>
  <c r="AA284" i="8" s="1"/>
  <c r="N284" i="8"/>
  <c r="M284" i="8"/>
  <c r="K284" i="8"/>
  <c r="J284" i="8"/>
  <c r="I284" i="8"/>
  <c r="H284" i="8"/>
  <c r="G284" i="8"/>
  <c r="F284" i="8"/>
  <c r="E284" i="8"/>
  <c r="AB283" i="8"/>
  <c r="Z283" i="8"/>
  <c r="Y283" i="8"/>
  <c r="X283" i="8"/>
  <c r="W283" i="8"/>
  <c r="V283" i="8"/>
  <c r="U283" i="8"/>
  <c r="T283" i="8"/>
  <c r="P283" i="8"/>
  <c r="N283" i="8"/>
  <c r="AA283" i="8" s="1"/>
  <c r="M283" i="8"/>
  <c r="K283" i="8"/>
  <c r="J283" i="8"/>
  <c r="I283" i="8"/>
  <c r="H283" i="8"/>
  <c r="G283" i="8"/>
  <c r="F283" i="8"/>
  <c r="E283" i="8"/>
  <c r="AB282" i="8"/>
  <c r="Y282" i="8"/>
  <c r="X282" i="8"/>
  <c r="W282" i="8"/>
  <c r="V282" i="8"/>
  <c r="U282" i="8"/>
  <c r="T282" i="8"/>
  <c r="P282" i="8"/>
  <c r="AA282" i="8" s="1"/>
  <c r="N282" i="8"/>
  <c r="M282" i="8"/>
  <c r="K282" i="8"/>
  <c r="J282" i="8"/>
  <c r="I282" i="8"/>
  <c r="H282" i="8"/>
  <c r="G282" i="8"/>
  <c r="F282" i="8"/>
  <c r="E282" i="8"/>
  <c r="AB281" i="8"/>
  <c r="Z281" i="8"/>
  <c r="Y281" i="8"/>
  <c r="X281" i="8"/>
  <c r="W281" i="8"/>
  <c r="V281" i="8"/>
  <c r="U281" i="8"/>
  <c r="T281" i="8"/>
  <c r="P281" i="8"/>
  <c r="N281" i="8"/>
  <c r="AA281" i="8" s="1"/>
  <c r="AC281" i="8" s="1"/>
  <c r="M281" i="8"/>
  <c r="K281" i="8"/>
  <c r="J281" i="8"/>
  <c r="I281" i="8"/>
  <c r="H281" i="8"/>
  <c r="G281" i="8"/>
  <c r="F281" i="8"/>
  <c r="E281" i="8"/>
  <c r="AB280" i="8"/>
  <c r="Y280" i="8"/>
  <c r="X280" i="8"/>
  <c r="W280" i="8"/>
  <c r="V280" i="8"/>
  <c r="U280" i="8"/>
  <c r="T280" i="8"/>
  <c r="P280" i="8"/>
  <c r="AA280" i="8" s="1"/>
  <c r="AC280" i="8" s="1"/>
  <c r="N280" i="8"/>
  <c r="M280" i="8"/>
  <c r="K280" i="8"/>
  <c r="J280" i="8"/>
  <c r="I280" i="8"/>
  <c r="H280" i="8"/>
  <c r="G280" i="8"/>
  <c r="F280" i="8"/>
  <c r="E280" i="8"/>
  <c r="AB279" i="8"/>
  <c r="Z279" i="8"/>
  <c r="Y279" i="8"/>
  <c r="X279" i="8"/>
  <c r="W279" i="8"/>
  <c r="V279" i="8"/>
  <c r="U279" i="8"/>
  <c r="T279" i="8"/>
  <c r="P279" i="8"/>
  <c r="N279" i="8"/>
  <c r="AA279" i="8" s="1"/>
  <c r="M279" i="8"/>
  <c r="K279" i="8"/>
  <c r="J279" i="8"/>
  <c r="I279" i="8"/>
  <c r="H279" i="8"/>
  <c r="G279" i="8"/>
  <c r="F279" i="8"/>
  <c r="E279" i="8"/>
  <c r="AB278" i="8"/>
  <c r="Y278" i="8"/>
  <c r="X278" i="8"/>
  <c r="W278" i="8"/>
  <c r="V278" i="8"/>
  <c r="U278" i="8"/>
  <c r="T278" i="8"/>
  <c r="P278" i="8"/>
  <c r="AA278" i="8" s="1"/>
  <c r="N278" i="8"/>
  <c r="M278" i="8"/>
  <c r="K278" i="8"/>
  <c r="J278" i="8"/>
  <c r="I278" i="8"/>
  <c r="H278" i="8"/>
  <c r="G278" i="8"/>
  <c r="F278" i="8"/>
  <c r="E278" i="8"/>
  <c r="AB277" i="8"/>
  <c r="Z277" i="8"/>
  <c r="Y277" i="8"/>
  <c r="X277" i="8"/>
  <c r="W277" i="8"/>
  <c r="V277" i="8"/>
  <c r="U277" i="8"/>
  <c r="T277" i="8"/>
  <c r="P277" i="8"/>
  <c r="N277" i="8"/>
  <c r="AA277" i="8" s="1"/>
  <c r="AC277" i="8" s="1"/>
  <c r="M277" i="8"/>
  <c r="K277" i="8"/>
  <c r="J277" i="8"/>
  <c r="I277" i="8"/>
  <c r="H277" i="8"/>
  <c r="G277" i="8"/>
  <c r="F277" i="8"/>
  <c r="E277" i="8"/>
  <c r="AB276" i="8"/>
  <c r="Y276" i="8"/>
  <c r="X276" i="8"/>
  <c r="W276" i="8"/>
  <c r="V276" i="8"/>
  <c r="U276" i="8"/>
  <c r="T276" i="8"/>
  <c r="P276" i="8"/>
  <c r="AA276" i="8" s="1"/>
  <c r="AC276" i="8" s="1"/>
  <c r="N276" i="8"/>
  <c r="M276" i="8"/>
  <c r="K276" i="8"/>
  <c r="J276" i="8"/>
  <c r="I276" i="8"/>
  <c r="H276" i="8"/>
  <c r="G276" i="8"/>
  <c r="F276" i="8"/>
  <c r="E276" i="8"/>
  <c r="AB275" i="8"/>
  <c r="Z275" i="8"/>
  <c r="Y275" i="8"/>
  <c r="X275" i="8"/>
  <c r="W275" i="8"/>
  <c r="V275" i="8"/>
  <c r="U275" i="8"/>
  <c r="T275" i="8"/>
  <c r="P275" i="8"/>
  <c r="N275" i="8"/>
  <c r="AA275" i="8" s="1"/>
  <c r="M275" i="8"/>
  <c r="K275" i="8"/>
  <c r="J275" i="8"/>
  <c r="I275" i="8"/>
  <c r="H275" i="8"/>
  <c r="G275" i="8"/>
  <c r="F275" i="8"/>
  <c r="E275" i="8"/>
  <c r="AB274" i="8"/>
  <c r="Y274" i="8"/>
  <c r="X274" i="8"/>
  <c r="W274" i="8"/>
  <c r="V274" i="8"/>
  <c r="U274" i="8"/>
  <c r="T274" i="8"/>
  <c r="P274" i="8"/>
  <c r="AA274" i="8" s="1"/>
  <c r="N274" i="8"/>
  <c r="M274" i="8"/>
  <c r="K274" i="8"/>
  <c r="J274" i="8"/>
  <c r="I274" i="8"/>
  <c r="H274" i="8"/>
  <c r="G274" i="8"/>
  <c r="F274" i="8"/>
  <c r="E274" i="8"/>
  <c r="AB273" i="8"/>
  <c r="Z273" i="8"/>
  <c r="Y273" i="8"/>
  <c r="X273" i="8"/>
  <c r="W273" i="8"/>
  <c r="V273" i="8"/>
  <c r="U273" i="8"/>
  <c r="T273" i="8"/>
  <c r="P273" i="8"/>
  <c r="N273" i="8"/>
  <c r="AA273" i="8" s="1"/>
  <c r="AC273" i="8" s="1"/>
  <c r="M273" i="8"/>
  <c r="K273" i="8"/>
  <c r="J273" i="8"/>
  <c r="I273" i="8"/>
  <c r="H273" i="8"/>
  <c r="G273" i="8"/>
  <c r="F273" i="8"/>
  <c r="E273" i="8"/>
  <c r="AB272" i="8"/>
  <c r="Y272" i="8"/>
  <c r="X272" i="8"/>
  <c r="W272" i="8"/>
  <c r="V272" i="8"/>
  <c r="U272" i="8"/>
  <c r="T272" i="8"/>
  <c r="P272" i="8"/>
  <c r="AA272" i="8" s="1"/>
  <c r="N272" i="8"/>
  <c r="M272" i="8"/>
  <c r="K272" i="8"/>
  <c r="J272" i="8"/>
  <c r="I272" i="8"/>
  <c r="H272" i="8"/>
  <c r="G272" i="8"/>
  <c r="F272" i="8"/>
  <c r="E272" i="8"/>
  <c r="AB271" i="8"/>
  <c r="Z271" i="8"/>
  <c r="Y271" i="8"/>
  <c r="X271" i="8"/>
  <c r="W271" i="8"/>
  <c r="V271" i="8"/>
  <c r="U271" i="8"/>
  <c r="T271" i="8"/>
  <c r="P271" i="8"/>
  <c r="N271" i="8"/>
  <c r="AA271" i="8" s="1"/>
  <c r="M271" i="8"/>
  <c r="K271" i="8"/>
  <c r="J271" i="8"/>
  <c r="I271" i="8"/>
  <c r="H271" i="8"/>
  <c r="G271" i="8"/>
  <c r="F271" i="8"/>
  <c r="E271" i="8"/>
  <c r="AB270" i="8"/>
  <c r="Y270" i="8"/>
  <c r="X270" i="8"/>
  <c r="W270" i="8"/>
  <c r="V270" i="8"/>
  <c r="U270" i="8"/>
  <c r="T270" i="8"/>
  <c r="P270" i="8"/>
  <c r="AA270" i="8" s="1"/>
  <c r="N270" i="8"/>
  <c r="M270" i="8"/>
  <c r="K270" i="8"/>
  <c r="J270" i="8"/>
  <c r="I270" i="8"/>
  <c r="H270" i="8"/>
  <c r="G270" i="8"/>
  <c r="F270" i="8"/>
  <c r="E270" i="8"/>
  <c r="AB269" i="8"/>
  <c r="Z269" i="8"/>
  <c r="Y269" i="8"/>
  <c r="X269" i="8"/>
  <c r="W269" i="8"/>
  <c r="V269" i="8"/>
  <c r="U269" i="8"/>
  <c r="T269" i="8"/>
  <c r="P269" i="8"/>
  <c r="N269" i="8"/>
  <c r="AA269" i="8" s="1"/>
  <c r="AC269" i="8" s="1"/>
  <c r="M269" i="8"/>
  <c r="K269" i="8"/>
  <c r="J269" i="8"/>
  <c r="I269" i="8"/>
  <c r="H269" i="8"/>
  <c r="G269" i="8"/>
  <c r="F269" i="8"/>
  <c r="E269" i="8"/>
  <c r="AB268" i="8"/>
  <c r="Y268" i="8"/>
  <c r="X268" i="8"/>
  <c r="W268" i="8"/>
  <c r="V268" i="8"/>
  <c r="U268" i="8"/>
  <c r="T268" i="8"/>
  <c r="P268" i="8"/>
  <c r="AA268" i="8" s="1"/>
  <c r="N268" i="8"/>
  <c r="M268" i="8"/>
  <c r="K268" i="8"/>
  <c r="J268" i="8"/>
  <c r="I268" i="8"/>
  <c r="H268" i="8"/>
  <c r="G268" i="8"/>
  <c r="F268" i="8"/>
  <c r="E268" i="8"/>
  <c r="AB267" i="8"/>
  <c r="Z267" i="8"/>
  <c r="Y267" i="8"/>
  <c r="X267" i="8"/>
  <c r="W267" i="8"/>
  <c r="V267" i="8"/>
  <c r="U267" i="8"/>
  <c r="T267" i="8"/>
  <c r="P267" i="8"/>
  <c r="N267" i="8"/>
  <c r="AA267" i="8" s="1"/>
  <c r="M267" i="8"/>
  <c r="K267" i="8"/>
  <c r="J267" i="8"/>
  <c r="I267" i="8"/>
  <c r="H267" i="8"/>
  <c r="G267" i="8"/>
  <c r="F267" i="8"/>
  <c r="E267" i="8"/>
  <c r="AB266" i="8"/>
  <c r="Y266" i="8"/>
  <c r="X266" i="8"/>
  <c r="W266" i="8"/>
  <c r="V266" i="8"/>
  <c r="U266" i="8"/>
  <c r="T266" i="8"/>
  <c r="P266" i="8"/>
  <c r="AA266" i="8" s="1"/>
  <c r="N266" i="8"/>
  <c r="M266" i="8"/>
  <c r="K266" i="8"/>
  <c r="J266" i="8"/>
  <c r="I266" i="8"/>
  <c r="H266" i="8"/>
  <c r="G266" i="8"/>
  <c r="F266" i="8"/>
  <c r="E266" i="8"/>
  <c r="AB265" i="8"/>
  <c r="Z265" i="8"/>
  <c r="Y265" i="8"/>
  <c r="X265" i="8"/>
  <c r="W265" i="8"/>
  <c r="V265" i="8"/>
  <c r="U265" i="8"/>
  <c r="T265" i="8"/>
  <c r="P265" i="8"/>
  <c r="N265" i="8"/>
  <c r="AA265" i="8" s="1"/>
  <c r="AC265" i="8" s="1"/>
  <c r="M265" i="8"/>
  <c r="K265" i="8"/>
  <c r="J265" i="8"/>
  <c r="I265" i="8"/>
  <c r="H265" i="8"/>
  <c r="G265" i="8"/>
  <c r="F265" i="8"/>
  <c r="E265" i="8"/>
  <c r="AB264" i="8"/>
  <c r="Y264" i="8"/>
  <c r="X264" i="8"/>
  <c r="W264" i="8"/>
  <c r="V264" i="8"/>
  <c r="U264" i="8"/>
  <c r="T264" i="8"/>
  <c r="P264" i="8"/>
  <c r="AA264" i="8" s="1"/>
  <c r="N264" i="8"/>
  <c r="M264" i="8"/>
  <c r="K264" i="8"/>
  <c r="J264" i="8"/>
  <c r="I264" i="8"/>
  <c r="H264" i="8"/>
  <c r="G264" i="8"/>
  <c r="F264" i="8"/>
  <c r="E264" i="8"/>
  <c r="AB263" i="8"/>
  <c r="Z263" i="8"/>
  <c r="Y263" i="8"/>
  <c r="X263" i="8"/>
  <c r="W263" i="8"/>
  <c r="V263" i="8"/>
  <c r="U263" i="8"/>
  <c r="T263" i="8"/>
  <c r="P263" i="8"/>
  <c r="N263" i="8"/>
  <c r="AA263" i="8" s="1"/>
  <c r="M263" i="8"/>
  <c r="K263" i="8"/>
  <c r="J263" i="8"/>
  <c r="I263" i="8"/>
  <c r="H263" i="8"/>
  <c r="G263" i="8"/>
  <c r="F263" i="8"/>
  <c r="E263" i="8"/>
  <c r="AB262" i="8"/>
  <c r="Y262" i="8"/>
  <c r="X262" i="8"/>
  <c r="W262" i="8"/>
  <c r="V262" i="8"/>
  <c r="U262" i="8"/>
  <c r="T262" i="8"/>
  <c r="P262" i="8"/>
  <c r="AA262" i="8" s="1"/>
  <c r="N262" i="8"/>
  <c r="M262" i="8"/>
  <c r="K262" i="8"/>
  <c r="J262" i="8"/>
  <c r="I262" i="8"/>
  <c r="H262" i="8"/>
  <c r="G262" i="8"/>
  <c r="F262" i="8"/>
  <c r="E262" i="8"/>
  <c r="AB261" i="8"/>
  <c r="Y261" i="8"/>
  <c r="X261" i="8"/>
  <c r="W261" i="8"/>
  <c r="V261" i="8"/>
  <c r="U261" i="8"/>
  <c r="T261" i="8"/>
  <c r="P261" i="8"/>
  <c r="AA261" i="8" s="1"/>
  <c r="N261" i="8"/>
  <c r="M261" i="8"/>
  <c r="K261" i="8"/>
  <c r="J261" i="8"/>
  <c r="I261" i="8"/>
  <c r="H261" i="8"/>
  <c r="G261" i="8"/>
  <c r="F261" i="8"/>
  <c r="E261" i="8"/>
  <c r="AB260" i="8"/>
  <c r="Y260" i="8"/>
  <c r="X260" i="8"/>
  <c r="W260" i="8"/>
  <c r="V260" i="8"/>
  <c r="U260" i="8"/>
  <c r="T260" i="8"/>
  <c r="P260" i="8"/>
  <c r="AA260" i="8" s="1"/>
  <c r="N260" i="8"/>
  <c r="M260" i="8"/>
  <c r="K260" i="8"/>
  <c r="J260" i="8"/>
  <c r="I260" i="8"/>
  <c r="H260" i="8"/>
  <c r="G260" i="8"/>
  <c r="F260" i="8"/>
  <c r="E260" i="8"/>
  <c r="AB259" i="8"/>
  <c r="Y259" i="8"/>
  <c r="X259" i="8"/>
  <c r="W259" i="8"/>
  <c r="V259" i="8"/>
  <c r="U259" i="8"/>
  <c r="T259" i="8"/>
  <c r="P259" i="8"/>
  <c r="Z259" i="8" s="1"/>
  <c r="N259" i="8"/>
  <c r="M259" i="8"/>
  <c r="K259" i="8"/>
  <c r="J259" i="8"/>
  <c r="I259" i="8"/>
  <c r="H259" i="8"/>
  <c r="G259" i="8"/>
  <c r="F259" i="8"/>
  <c r="E259" i="8"/>
  <c r="AB258" i="8"/>
  <c r="Y258" i="8"/>
  <c r="X258" i="8"/>
  <c r="W258" i="8"/>
  <c r="V258" i="8"/>
  <c r="U258" i="8"/>
  <c r="T258" i="8"/>
  <c r="P258" i="8"/>
  <c r="Z258" i="8" s="1"/>
  <c r="N258" i="8"/>
  <c r="M258" i="8"/>
  <c r="K258" i="8"/>
  <c r="J258" i="8"/>
  <c r="I258" i="8"/>
  <c r="H258" i="8"/>
  <c r="G258" i="8"/>
  <c r="F258" i="8"/>
  <c r="E258" i="8"/>
  <c r="AB257" i="8"/>
  <c r="Y257" i="8"/>
  <c r="X257" i="8"/>
  <c r="W257" i="8"/>
  <c r="V257" i="8"/>
  <c r="U257" i="8"/>
  <c r="T257" i="8"/>
  <c r="P257" i="8"/>
  <c r="Z257" i="8" s="1"/>
  <c r="N257" i="8"/>
  <c r="M257" i="8"/>
  <c r="K257" i="8"/>
  <c r="J257" i="8"/>
  <c r="I257" i="8"/>
  <c r="H257" i="8"/>
  <c r="G257" i="8"/>
  <c r="F257" i="8"/>
  <c r="E257" i="8"/>
  <c r="AC256" i="8"/>
  <c r="AB256" i="8"/>
  <c r="AA256" i="8"/>
  <c r="Y256" i="8"/>
  <c r="X256" i="8"/>
  <c r="W256" i="8"/>
  <c r="V256" i="8"/>
  <c r="U256" i="8"/>
  <c r="T256" i="8"/>
  <c r="P256" i="8"/>
  <c r="Z256" i="8" s="1"/>
  <c r="N256" i="8"/>
  <c r="M256" i="8"/>
  <c r="K256" i="8"/>
  <c r="J256" i="8"/>
  <c r="I256" i="8"/>
  <c r="H256" i="8"/>
  <c r="G256" i="8"/>
  <c r="F256" i="8"/>
  <c r="E256" i="8"/>
  <c r="AB255" i="8"/>
  <c r="Y255" i="8"/>
  <c r="X255" i="8"/>
  <c r="W255" i="8"/>
  <c r="V255" i="8"/>
  <c r="U255" i="8"/>
  <c r="T255" i="8"/>
  <c r="P255" i="8"/>
  <c r="AA255" i="8" s="1"/>
  <c r="N255" i="8"/>
  <c r="M255" i="8"/>
  <c r="K255" i="8"/>
  <c r="J255" i="8"/>
  <c r="I255" i="8"/>
  <c r="H255" i="8"/>
  <c r="G255" i="8"/>
  <c r="F255" i="8"/>
  <c r="E255" i="8"/>
  <c r="AB254" i="8"/>
  <c r="AA254" i="8"/>
  <c r="AC254" i="8" s="1"/>
  <c r="Y254" i="8"/>
  <c r="X254" i="8"/>
  <c r="W254" i="8"/>
  <c r="V254" i="8"/>
  <c r="U254" i="8"/>
  <c r="T254" i="8"/>
  <c r="P254" i="8"/>
  <c r="Z254" i="8" s="1"/>
  <c r="N254" i="8"/>
  <c r="M254" i="8"/>
  <c r="K254" i="8"/>
  <c r="J254" i="8"/>
  <c r="I254" i="8"/>
  <c r="H254" i="8"/>
  <c r="G254" i="8"/>
  <c r="F254" i="8"/>
  <c r="E254" i="8"/>
  <c r="AB253" i="8"/>
  <c r="Z253" i="8"/>
  <c r="Y253" i="8"/>
  <c r="X253" i="8"/>
  <c r="W253" i="8"/>
  <c r="V253" i="8"/>
  <c r="U253" i="8"/>
  <c r="T253" i="8"/>
  <c r="P253" i="8"/>
  <c r="N253" i="8"/>
  <c r="AA253" i="8" s="1"/>
  <c r="AC253" i="8" s="1"/>
  <c r="M253" i="8"/>
  <c r="K253" i="8"/>
  <c r="J253" i="8"/>
  <c r="I253" i="8"/>
  <c r="H253" i="8"/>
  <c r="G253" i="8"/>
  <c r="F253" i="8"/>
  <c r="E253" i="8"/>
  <c r="AB252" i="8"/>
  <c r="AA252" i="8"/>
  <c r="AC252" i="8" s="1"/>
  <c r="Y252" i="8"/>
  <c r="X252" i="8"/>
  <c r="W252" i="8"/>
  <c r="V252" i="8"/>
  <c r="U252" i="8"/>
  <c r="T252" i="8"/>
  <c r="P252" i="8"/>
  <c r="Z252" i="8" s="1"/>
  <c r="N252" i="8"/>
  <c r="M252" i="8"/>
  <c r="K252" i="8"/>
  <c r="J252" i="8"/>
  <c r="I252" i="8"/>
  <c r="H252" i="8"/>
  <c r="G252" i="8"/>
  <c r="F252" i="8"/>
  <c r="E252" i="8"/>
  <c r="AB251" i="8"/>
  <c r="Y251" i="8"/>
  <c r="X251" i="8"/>
  <c r="W251" i="8"/>
  <c r="V251" i="8"/>
  <c r="U251" i="8"/>
  <c r="T251" i="8"/>
  <c r="P251" i="8"/>
  <c r="Z251" i="8" s="1"/>
  <c r="N251" i="8"/>
  <c r="M251" i="8"/>
  <c r="K251" i="8"/>
  <c r="J251" i="8"/>
  <c r="I251" i="8"/>
  <c r="H251" i="8"/>
  <c r="G251" i="8"/>
  <c r="F251" i="8"/>
  <c r="E251" i="8"/>
  <c r="AB250" i="8"/>
  <c r="Y250" i="8"/>
  <c r="X250" i="8"/>
  <c r="W250" i="8"/>
  <c r="V250" i="8"/>
  <c r="U250" i="8"/>
  <c r="T250" i="8"/>
  <c r="P250" i="8"/>
  <c r="Z250" i="8" s="1"/>
  <c r="N250" i="8"/>
  <c r="M250" i="8"/>
  <c r="K250" i="8"/>
  <c r="J250" i="8"/>
  <c r="I250" i="8"/>
  <c r="H250" i="8"/>
  <c r="G250" i="8"/>
  <c r="F250" i="8"/>
  <c r="E250" i="8"/>
  <c r="AB249" i="8"/>
  <c r="Y249" i="8"/>
  <c r="X249" i="8"/>
  <c r="W249" i="8"/>
  <c r="V249" i="8"/>
  <c r="U249" i="8"/>
  <c r="T249" i="8"/>
  <c r="P249" i="8"/>
  <c r="Z249" i="8" s="1"/>
  <c r="N249" i="8"/>
  <c r="M249" i="8"/>
  <c r="K249" i="8"/>
  <c r="J249" i="8"/>
  <c r="I249" i="8"/>
  <c r="H249" i="8"/>
  <c r="G249" i="8"/>
  <c r="F249" i="8"/>
  <c r="E249" i="8"/>
  <c r="AC248" i="8"/>
  <c r="AB248" i="8"/>
  <c r="AA248" i="8"/>
  <c r="Y248" i="8"/>
  <c r="X248" i="8"/>
  <c r="W248" i="8"/>
  <c r="V248" i="8"/>
  <c r="U248" i="8"/>
  <c r="T248" i="8"/>
  <c r="P248" i="8"/>
  <c r="Z248" i="8" s="1"/>
  <c r="N248" i="8"/>
  <c r="M248" i="8"/>
  <c r="K248" i="8"/>
  <c r="J248" i="8"/>
  <c r="I248" i="8"/>
  <c r="H248" i="8"/>
  <c r="G248" i="8"/>
  <c r="F248" i="8"/>
  <c r="E248" i="8"/>
  <c r="AB247" i="8"/>
  <c r="Y247" i="8"/>
  <c r="X247" i="8"/>
  <c r="W247" i="8"/>
  <c r="V247" i="8"/>
  <c r="U247" i="8"/>
  <c r="T247" i="8"/>
  <c r="P247" i="8"/>
  <c r="AA247" i="8" s="1"/>
  <c r="N247" i="8"/>
  <c r="M247" i="8"/>
  <c r="K247" i="8"/>
  <c r="J247" i="8"/>
  <c r="I247" i="8"/>
  <c r="H247" i="8"/>
  <c r="G247" i="8"/>
  <c r="F247" i="8"/>
  <c r="E247" i="8"/>
  <c r="AB246" i="8"/>
  <c r="AA246" i="8"/>
  <c r="AC246" i="8" s="1"/>
  <c r="Y246" i="8"/>
  <c r="X246" i="8"/>
  <c r="W246" i="8"/>
  <c r="V246" i="8"/>
  <c r="U246" i="8"/>
  <c r="T246" i="8"/>
  <c r="P246" i="8"/>
  <c r="Z246" i="8" s="1"/>
  <c r="N246" i="8"/>
  <c r="M246" i="8"/>
  <c r="K246" i="8"/>
  <c r="J246" i="8"/>
  <c r="I246" i="8"/>
  <c r="H246" i="8"/>
  <c r="G246" i="8"/>
  <c r="F246" i="8"/>
  <c r="E246" i="8"/>
  <c r="AB245" i="8"/>
  <c r="Z245" i="8"/>
  <c r="Y245" i="8"/>
  <c r="X245" i="8"/>
  <c r="W245" i="8"/>
  <c r="V245" i="8"/>
  <c r="U245" i="8"/>
  <c r="T245" i="8"/>
  <c r="P245" i="8"/>
  <c r="N245" i="8"/>
  <c r="AA245" i="8" s="1"/>
  <c r="AC245" i="8" s="1"/>
  <c r="M245" i="8"/>
  <c r="K245" i="8"/>
  <c r="J245" i="8"/>
  <c r="I245" i="8"/>
  <c r="H245" i="8"/>
  <c r="G245" i="8"/>
  <c r="F245" i="8"/>
  <c r="E245" i="8"/>
  <c r="AB244" i="8"/>
  <c r="AA244" i="8"/>
  <c r="AC244" i="8" s="1"/>
  <c r="Y244" i="8"/>
  <c r="X244" i="8"/>
  <c r="W244" i="8"/>
  <c r="V244" i="8"/>
  <c r="U244" i="8"/>
  <c r="T244" i="8"/>
  <c r="P244" i="8"/>
  <c r="Z244" i="8" s="1"/>
  <c r="N244" i="8"/>
  <c r="M244" i="8"/>
  <c r="K244" i="8"/>
  <c r="J244" i="8"/>
  <c r="I244" i="8"/>
  <c r="H244" i="8"/>
  <c r="G244" i="8"/>
  <c r="F244" i="8"/>
  <c r="E244" i="8"/>
  <c r="AB243" i="8"/>
  <c r="AA243" i="8"/>
  <c r="AC243" i="8" s="1"/>
  <c r="Y243" i="8"/>
  <c r="X243" i="8"/>
  <c r="W243" i="8"/>
  <c r="V243" i="8"/>
  <c r="U243" i="8"/>
  <c r="T243" i="8"/>
  <c r="P243" i="8"/>
  <c r="Z243" i="8" s="1"/>
  <c r="N243" i="8"/>
  <c r="M243" i="8"/>
  <c r="K243" i="8"/>
  <c r="J243" i="8"/>
  <c r="I243" i="8"/>
  <c r="H243" i="8"/>
  <c r="G243" i="8"/>
  <c r="F243" i="8"/>
  <c r="E243" i="8"/>
  <c r="AB242" i="8"/>
  <c r="Y242" i="8"/>
  <c r="X242" i="8"/>
  <c r="W242" i="8"/>
  <c r="V242" i="8"/>
  <c r="U242" i="8"/>
  <c r="T242" i="8"/>
  <c r="P242" i="8"/>
  <c r="Z242" i="8" s="1"/>
  <c r="N242" i="8"/>
  <c r="M242" i="8"/>
  <c r="K242" i="8"/>
  <c r="J242" i="8"/>
  <c r="I242" i="8"/>
  <c r="H242" i="8"/>
  <c r="G242" i="8"/>
  <c r="F242" i="8"/>
  <c r="E242" i="8"/>
  <c r="AB241" i="8"/>
  <c r="Y241" i="8"/>
  <c r="X241" i="8"/>
  <c r="W241" i="8"/>
  <c r="V241" i="8"/>
  <c r="U241" i="8"/>
  <c r="T241" i="8"/>
  <c r="P241" i="8"/>
  <c r="Z241" i="8" s="1"/>
  <c r="N241" i="8"/>
  <c r="M241" i="8"/>
  <c r="K241" i="8"/>
  <c r="J241" i="8"/>
  <c r="I241" i="8"/>
  <c r="H241" i="8"/>
  <c r="G241" i="8"/>
  <c r="F241" i="8"/>
  <c r="E241" i="8"/>
  <c r="AC240" i="8"/>
  <c r="AB240" i="8"/>
  <c r="AA240" i="8"/>
  <c r="Y240" i="8"/>
  <c r="X240" i="8"/>
  <c r="W240" i="8"/>
  <c r="V240" i="8"/>
  <c r="U240" i="8"/>
  <c r="T240" i="8"/>
  <c r="P240" i="8"/>
  <c r="Z240" i="8" s="1"/>
  <c r="N240" i="8"/>
  <c r="M240" i="8"/>
  <c r="K240" i="8"/>
  <c r="J240" i="8"/>
  <c r="I240" i="8"/>
  <c r="H240" i="8"/>
  <c r="G240" i="8"/>
  <c r="F240" i="8"/>
  <c r="E240" i="8"/>
  <c r="AB239" i="8"/>
  <c r="Y239" i="8"/>
  <c r="X239" i="8"/>
  <c r="W239" i="8"/>
  <c r="V239" i="8"/>
  <c r="U239" i="8"/>
  <c r="T239" i="8"/>
  <c r="P239" i="8"/>
  <c r="AA239" i="8" s="1"/>
  <c r="N239" i="8"/>
  <c r="M239" i="8"/>
  <c r="K239" i="8"/>
  <c r="J239" i="8"/>
  <c r="I239" i="8"/>
  <c r="H239" i="8"/>
  <c r="G239" i="8"/>
  <c r="F239" i="8"/>
  <c r="E239" i="8"/>
  <c r="AB238" i="8"/>
  <c r="AA238" i="8"/>
  <c r="AC238" i="8" s="1"/>
  <c r="Y238" i="8"/>
  <c r="X238" i="8"/>
  <c r="W238" i="8"/>
  <c r="V238" i="8"/>
  <c r="U238" i="8"/>
  <c r="T238" i="8"/>
  <c r="P238" i="8"/>
  <c r="Z238" i="8" s="1"/>
  <c r="N238" i="8"/>
  <c r="M238" i="8"/>
  <c r="K238" i="8"/>
  <c r="J238" i="8"/>
  <c r="I238" i="8"/>
  <c r="H238" i="8"/>
  <c r="G238" i="8"/>
  <c r="F238" i="8"/>
  <c r="E238" i="8"/>
  <c r="AB237" i="8"/>
  <c r="Z237" i="8"/>
  <c r="Y237" i="8"/>
  <c r="X237" i="8"/>
  <c r="W237" i="8"/>
  <c r="V237" i="8"/>
  <c r="U237" i="8"/>
  <c r="T237" i="8"/>
  <c r="P237" i="8"/>
  <c r="N237" i="8"/>
  <c r="AA237" i="8" s="1"/>
  <c r="AC237" i="8" s="1"/>
  <c r="M237" i="8"/>
  <c r="K237" i="8"/>
  <c r="J237" i="8"/>
  <c r="I237" i="8"/>
  <c r="H237" i="8"/>
  <c r="G237" i="8"/>
  <c r="F237" i="8"/>
  <c r="E237" i="8"/>
  <c r="AB236" i="8"/>
  <c r="AA236" i="8"/>
  <c r="AC236" i="8" s="1"/>
  <c r="Y236" i="8"/>
  <c r="X236" i="8"/>
  <c r="W236" i="8"/>
  <c r="V236" i="8"/>
  <c r="U236" i="8"/>
  <c r="T236" i="8"/>
  <c r="P236" i="8"/>
  <c r="Z236" i="8" s="1"/>
  <c r="N236" i="8"/>
  <c r="M236" i="8"/>
  <c r="K236" i="8"/>
  <c r="J236" i="8"/>
  <c r="I236" i="8"/>
  <c r="H236" i="8"/>
  <c r="G236" i="8"/>
  <c r="F236" i="8"/>
  <c r="E236" i="8"/>
  <c r="AB235" i="8"/>
  <c r="AA235" i="8"/>
  <c r="AC235" i="8" s="1"/>
  <c r="Y235" i="8"/>
  <c r="X235" i="8"/>
  <c r="W235" i="8"/>
  <c r="V235" i="8"/>
  <c r="U235" i="8"/>
  <c r="T235" i="8"/>
  <c r="P235" i="8"/>
  <c r="Z235" i="8" s="1"/>
  <c r="N235" i="8"/>
  <c r="M235" i="8"/>
  <c r="K235" i="8"/>
  <c r="J235" i="8"/>
  <c r="I235" i="8"/>
  <c r="H235" i="8"/>
  <c r="G235" i="8"/>
  <c r="F235" i="8"/>
  <c r="E235" i="8"/>
  <c r="AB234" i="8"/>
  <c r="Y234" i="8"/>
  <c r="X234" i="8"/>
  <c r="W234" i="8"/>
  <c r="V234" i="8"/>
  <c r="U234" i="8"/>
  <c r="T234" i="8"/>
  <c r="P234" i="8"/>
  <c r="Z234" i="8" s="1"/>
  <c r="N234" i="8"/>
  <c r="M234" i="8"/>
  <c r="K234" i="8"/>
  <c r="J234" i="8"/>
  <c r="I234" i="8"/>
  <c r="H234" i="8"/>
  <c r="G234" i="8"/>
  <c r="F234" i="8"/>
  <c r="E234" i="8"/>
  <c r="AB233" i="8"/>
  <c r="Z233" i="8"/>
  <c r="Y233" i="8"/>
  <c r="X233" i="8"/>
  <c r="W233" i="8"/>
  <c r="V233" i="8"/>
  <c r="U233" i="8"/>
  <c r="T233" i="8"/>
  <c r="P233" i="8"/>
  <c r="N233" i="8"/>
  <c r="AA233" i="8" s="1"/>
  <c r="AC233" i="8" s="1"/>
  <c r="M233" i="8"/>
  <c r="K233" i="8"/>
  <c r="J233" i="8"/>
  <c r="I233" i="8"/>
  <c r="H233" i="8"/>
  <c r="G233" i="8"/>
  <c r="F233" i="8"/>
  <c r="E233" i="8"/>
  <c r="AB232" i="8"/>
  <c r="AA232" i="8"/>
  <c r="AC232" i="8" s="1"/>
  <c r="Y232" i="8"/>
  <c r="X232" i="8"/>
  <c r="W232" i="8"/>
  <c r="V232" i="8"/>
  <c r="U232" i="8"/>
  <c r="T232" i="8"/>
  <c r="P232" i="8"/>
  <c r="Z232" i="8" s="1"/>
  <c r="N232" i="8"/>
  <c r="M232" i="8"/>
  <c r="K232" i="8"/>
  <c r="J232" i="8"/>
  <c r="I232" i="8"/>
  <c r="H232" i="8"/>
  <c r="G232" i="8"/>
  <c r="F232" i="8"/>
  <c r="E232" i="8"/>
  <c r="AB231" i="8"/>
  <c r="Y231" i="8"/>
  <c r="X231" i="8"/>
  <c r="W231" i="8"/>
  <c r="V231" i="8"/>
  <c r="U231" i="8"/>
  <c r="T231" i="8"/>
  <c r="P231" i="8"/>
  <c r="Z231" i="8" s="1"/>
  <c r="N231" i="8"/>
  <c r="M231" i="8"/>
  <c r="K231" i="8"/>
  <c r="J231" i="8"/>
  <c r="I231" i="8"/>
  <c r="H231" i="8"/>
  <c r="G231" i="8"/>
  <c r="F231" i="8"/>
  <c r="E231" i="8"/>
  <c r="AC230" i="8"/>
  <c r="AB230" i="8"/>
  <c r="AA230" i="8"/>
  <c r="Y230" i="8"/>
  <c r="X230" i="8"/>
  <c r="W230" i="8"/>
  <c r="V230" i="8"/>
  <c r="U230" i="8"/>
  <c r="T230" i="8"/>
  <c r="P230" i="8"/>
  <c r="Z230" i="8" s="1"/>
  <c r="N230" i="8"/>
  <c r="M230" i="8"/>
  <c r="K230" i="8"/>
  <c r="J230" i="8"/>
  <c r="I230" i="8"/>
  <c r="H230" i="8"/>
  <c r="G230" i="8"/>
  <c r="F230" i="8"/>
  <c r="E230" i="8"/>
  <c r="AB229" i="8"/>
  <c r="Z229" i="8"/>
  <c r="Y229" i="8"/>
  <c r="X229" i="8"/>
  <c r="W229" i="8"/>
  <c r="V229" i="8"/>
  <c r="U229" i="8"/>
  <c r="T229" i="8"/>
  <c r="P229" i="8"/>
  <c r="N229" i="8"/>
  <c r="AA229" i="8" s="1"/>
  <c r="AC229" i="8" s="1"/>
  <c r="M229" i="8"/>
  <c r="K229" i="8"/>
  <c r="J229" i="8"/>
  <c r="I229" i="8"/>
  <c r="H229" i="8"/>
  <c r="G229" i="8"/>
  <c r="F229" i="8"/>
  <c r="E229" i="8"/>
  <c r="AB228" i="8"/>
  <c r="Y228" i="8"/>
  <c r="X228" i="8"/>
  <c r="W228" i="8"/>
  <c r="V228" i="8"/>
  <c r="U228" i="8"/>
  <c r="T228" i="8"/>
  <c r="P228" i="8"/>
  <c r="N228" i="8"/>
  <c r="M228" i="8"/>
  <c r="K228" i="8"/>
  <c r="J228" i="8"/>
  <c r="I228" i="8"/>
  <c r="H228" i="8"/>
  <c r="G228" i="8"/>
  <c r="F228" i="8"/>
  <c r="E228" i="8"/>
  <c r="AB227" i="8"/>
  <c r="Y227" i="8"/>
  <c r="X227" i="8"/>
  <c r="W227" i="8"/>
  <c r="V227" i="8"/>
  <c r="U227" i="8"/>
  <c r="T227" i="8"/>
  <c r="P227" i="8"/>
  <c r="AA227" i="8" s="1"/>
  <c r="N227" i="8"/>
  <c r="M227" i="8"/>
  <c r="K227" i="8"/>
  <c r="J227" i="8"/>
  <c r="I227" i="8"/>
  <c r="H227" i="8"/>
  <c r="G227" i="8"/>
  <c r="F227" i="8"/>
  <c r="E227" i="8"/>
  <c r="AB226" i="8"/>
  <c r="AA226" i="8"/>
  <c r="AC226" i="8" s="1"/>
  <c r="Y226" i="8"/>
  <c r="X226" i="8"/>
  <c r="W226" i="8"/>
  <c r="V226" i="8"/>
  <c r="U226" i="8"/>
  <c r="T226" i="8"/>
  <c r="P226" i="8"/>
  <c r="Z226" i="8" s="1"/>
  <c r="N226" i="8"/>
  <c r="M226" i="8"/>
  <c r="K226" i="8"/>
  <c r="J226" i="8"/>
  <c r="I226" i="8"/>
  <c r="H226" i="8"/>
  <c r="G226" i="8"/>
  <c r="F226" i="8"/>
  <c r="E226" i="8"/>
  <c r="AB225" i="8"/>
  <c r="Y225" i="8"/>
  <c r="X225" i="8"/>
  <c r="W225" i="8"/>
  <c r="V225" i="8"/>
  <c r="U225" i="8"/>
  <c r="T225" i="8"/>
  <c r="P225" i="8"/>
  <c r="AA225" i="8" s="1"/>
  <c r="N225" i="8"/>
  <c r="M225" i="8"/>
  <c r="K225" i="8"/>
  <c r="J225" i="8"/>
  <c r="I225" i="8"/>
  <c r="H225" i="8"/>
  <c r="G225" i="8"/>
  <c r="F225" i="8"/>
  <c r="E225" i="8"/>
  <c r="AB224" i="8"/>
  <c r="Y224" i="8"/>
  <c r="X224" i="8"/>
  <c r="W224" i="8"/>
  <c r="V224" i="8"/>
  <c r="U224" i="8"/>
  <c r="T224" i="8"/>
  <c r="P224" i="8"/>
  <c r="N224" i="8"/>
  <c r="M224" i="8"/>
  <c r="K224" i="8"/>
  <c r="J224" i="8"/>
  <c r="I224" i="8"/>
  <c r="H224" i="8"/>
  <c r="G224" i="8"/>
  <c r="F224" i="8"/>
  <c r="E224" i="8"/>
  <c r="AC223" i="8"/>
  <c r="AB223" i="8"/>
  <c r="Z223" i="8"/>
  <c r="Y223" i="8"/>
  <c r="X223" i="8"/>
  <c r="W223" i="8"/>
  <c r="V223" i="8"/>
  <c r="U223" i="8"/>
  <c r="T223" i="8"/>
  <c r="P223" i="8"/>
  <c r="N223" i="8"/>
  <c r="AA223" i="8" s="1"/>
  <c r="M223" i="8"/>
  <c r="K223" i="8"/>
  <c r="J223" i="8"/>
  <c r="I223" i="8"/>
  <c r="H223" i="8"/>
  <c r="G223" i="8"/>
  <c r="F223" i="8"/>
  <c r="E223" i="8"/>
  <c r="AB222" i="8"/>
  <c r="AA222" i="8"/>
  <c r="AC222" i="8" s="1"/>
  <c r="Y222" i="8"/>
  <c r="X222" i="8"/>
  <c r="W222" i="8"/>
  <c r="V222" i="8"/>
  <c r="U222" i="8"/>
  <c r="T222" i="8"/>
  <c r="P222" i="8"/>
  <c r="Z222" i="8" s="1"/>
  <c r="N222" i="8"/>
  <c r="M222" i="8"/>
  <c r="K222" i="8"/>
  <c r="J222" i="8"/>
  <c r="I222" i="8"/>
  <c r="H222" i="8"/>
  <c r="G222" i="8"/>
  <c r="F222" i="8"/>
  <c r="E222" i="8"/>
  <c r="AB221" i="8"/>
  <c r="Z221" i="8"/>
  <c r="Y221" i="8"/>
  <c r="X221" i="8"/>
  <c r="W221" i="8"/>
  <c r="V221" i="8"/>
  <c r="U221" i="8"/>
  <c r="T221" i="8"/>
  <c r="P221" i="8"/>
  <c r="N221" i="8"/>
  <c r="AA221" i="8" s="1"/>
  <c r="AC221" i="8" s="1"/>
  <c r="M221" i="8"/>
  <c r="K221" i="8"/>
  <c r="J221" i="8"/>
  <c r="I221" i="8"/>
  <c r="H221" i="8"/>
  <c r="G221" i="8"/>
  <c r="F221" i="8"/>
  <c r="E221" i="8"/>
  <c r="AB220" i="8"/>
  <c r="Y220" i="8"/>
  <c r="X220" i="8"/>
  <c r="W220" i="8"/>
  <c r="V220" i="8"/>
  <c r="U220" i="8"/>
  <c r="T220" i="8"/>
  <c r="P220" i="8"/>
  <c r="Z220" i="8" s="1"/>
  <c r="N220" i="8"/>
  <c r="M220" i="8"/>
  <c r="K220" i="8"/>
  <c r="J220" i="8"/>
  <c r="I220" i="8"/>
  <c r="H220" i="8"/>
  <c r="G220" i="8"/>
  <c r="F220" i="8"/>
  <c r="E220" i="8"/>
  <c r="AB219" i="8"/>
  <c r="Y219" i="8"/>
  <c r="X219" i="8"/>
  <c r="W219" i="8"/>
  <c r="V219" i="8"/>
  <c r="U219" i="8"/>
  <c r="T219" i="8"/>
  <c r="P219" i="8"/>
  <c r="Z219" i="8" s="1"/>
  <c r="N219" i="8"/>
  <c r="M219" i="8"/>
  <c r="K219" i="8"/>
  <c r="J219" i="8"/>
  <c r="I219" i="8"/>
  <c r="H219" i="8"/>
  <c r="G219" i="8"/>
  <c r="F219" i="8"/>
  <c r="E219" i="8"/>
  <c r="AB218" i="8"/>
  <c r="Y218" i="8"/>
  <c r="X218" i="8"/>
  <c r="W218" i="8"/>
  <c r="V218" i="8"/>
  <c r="U218" i="8"/>
  <c r="T218" i="8"/>
  <c r="P218" i="8"/>
  <c r="Z218" i="8" s="1"/>
  <c r="N218" i="8"/>
  <c r="AA218" i="8" s="1"/>
  <c r="AC218" i="8" s="1"/>
  <c r="M218" i="8"/>
  <c r="K218" i="8"/>
  <c r="J218" i="8"/>
  <c r="I218" i="8"/>
  <c r="H218" i="8"/>
  <c r="G218" i="8"/>
  <c r="F218" i="8"/>
  <c r="E218" i="8"/>
  <c r="AB217" i="8"/>
  <c r="Z217" i="8"/>
  <c r="Y217" i="8"/>
  <c r="X217" i="8"/>
  <c r="W217" i="8"/>
  <c r="V217" i="8"/>
  <c r="U217" i="8"/>
  <c r="T217" i="8"/>
  <c r="P217" i="8"/>
  <c r="N217" i="8"/>
  <c r="AA217" i="8" s="1"/>
  <c r="AC217" i="8" s="1"/>
  <c r="M217" i="8"/>
  <c r="K217" i="8"/>
  <c r="J217" i="8"/>
  <c r="I217" i="8"/>
  <c r="H217" i="8"/>
  <c r="G217" i="8"/>
  <c r="F217" i="8"/>
  <c r="E217" i="8"/>
  <c r="AB216" i="8"/>
  <c r="Y216" i="8"/>
  <c r="X216" i="8"/>
  <c r="W216" i="8"/>
  <c r="V216" i="8"/>
  <c r="U216" i="8"/>
  <c r="T216" i="8"/>
  <c r="P216" i="8"/>
  <c r="AA216" i="8" s="1"/>
  <c r="N216" i="8"/>
  <c r="M216" i="8"/>
  <c r="K216" i="8"/>
  <c r="J216" i="8"/>
  <c r="I216" i="8"/>
  <c r="H216" i="8"/>
  <c r="G216" i="8"/>
  <c r="F216" i="8"/>
  <c r="E216" i="8"/>
  <c r="AB215" i="8"/>
  <c r="Z215" i="8"/>
  <c r="Y215" i="8"/>
  <c r="X215" i="8"/>
  <c r="W215" i="8"/>
  <c r="V215" i="8"/>
  <c r="U215" i="8"/>
  <c r="T215" i="8"/>
  <c r="P215" i="8"/>
  <c r="N215" i="8"/>
  <c r="AA215" i="8" s="1"/>
  <c r="AC215" i="8" s="1"/>
  <c r="M215" i="8"/>
  <c r="K215" i="8"/>
  <c r="J215" i="8"/>
  <c r="I215" i="8"/>
  <c r="H215" i="8"/>
  <c r="G215" i="8"/>
  <c r="F215" i="8"/>
  <c r="E215" i="8"/>
  <c r="AB214" i="8"/>
  <c r="Y214" i="8"/>
  <c r="X214" i="8"/>
  <c r="W214" i="8"/>
  <c r="V214" i="8"/>
  <c r="U214" i="8"/>
  <c r="T214" i="8"/>
  <c r="P214" i="8"/>
  <c r="AA214" i="8" s="1"/>
  <c r="N214" i="8"/>
  <c r="M214" i="8"/>
  <c r="K214" i="8"/>
  <c r="J214" i="8"/>
  <c r="I214" i="8"/>
  <c r="H214" i="8"/>
  <c r="G214" i="8"/>
  <c r="F214" i="8"/>
  <c r="E214" i="8"/>
  <c r="AB213" i="8"/>
  <c r="Z213" i="8"/>
  <c r="Y213" i="8"/>
  <c r="X213" i="8"/>
  <c r="W213" i="8"/>
  <c r="V213" i="8"/>
  <c r="U213" i="8"/>
  <c r="T213" i="8"/>
  <c r="P213" i="8"/>
  <c r="N213" i="8"/>
  <c r="AA213" i="8" s="1"/>
  <c r="AC213" i="8" s="1"/>
  <c r="M213" i="8"/>
  <c r="K213" i="8"/>
  <c r="J213" i="8"/>
  <c r="I213" i="8"/>
  <c r="H213" i="8"/>
  <c r="G213" i="8"/>
  <c r="F213" i="8"/>
  <c r="E213" i="8"/>
  <c r="AB212" i="8"/>
  <c r="Y212" i="8"/>
  <c r="X212" i="8"/>
  <c r="W212" i="8"/>
  <c r="V212" i="8"/>
  <c r="U212" i="8"/>
  <c r="T212" i="8"/>
  <c r="P212" i="8"/>
  <c r="AA212" i="8" s="1"/>
  <c r="N212" i="8"/>
  <c r="M212" i="8"/>
  <c r="K212" i="8"/>
  <c r="J212" i="8"/>
  <c r="I212" i="8"/>
  <c r="H212" i="8"/>
  <c r="G212" i="8"/>
  <c r="F212" i="8"/>
  <c r="E212" i="8"/>
  <c r="AB211" i="8"/>
  <c r="Z211" i="8"/>
  <c r="Y211" i="8"/>
  <c r="X211" i="8"/>
  <c r="W211" i="8"/>
  <c r="V211" i="8"/>
  <c r="U211" i="8"/>
  <c r="T211" i="8"/>
  <c r="P211" i="8"/>
  <c r="N211" i="8"/>
  <c r="AA211" i="8" s="1"/>
  <c r="AC211" i="8" s="1"/>
  <c r="M211" i="8"/>
  <c r="K211" i="8"/>
  <c r="J211" i="8"/>
  <c r="I211" i="8"/>
  <c r="H211" i="8"/>
  <c r="G211" i="8"/>
  <c r="F211" i="8"/>
  <c r="E211" i="8"/>
  <c r="AB210" i="8"/>
  <c r="Y210" i="8"/>
  <c r="X210" i="8"/>
  <c r="W210" i="8"/>
  <c r="V210" i="8"/>
  <c r="U210" i="8"/>
  <c r="T210" i="8"/>
  <c r="P210" i="8"/>
  <c r="AA210" i="8" s="1"/>
  <c r="AC210" i="8" s="1"/>
  <c r="N210" i="8"/>
  <c r="M210" i="8"/>
  <c r="K210" i="8"/>
  <c r="J210" i="8"/>
  <c r="I210" i="8"/>
  <c r="H210" i="8"/>
  <c r="G210" i="8"/>
  <c r="F210" i="8"/>
  <c r="E210" i="8"/>
  <c r="AB209" i="8"/>
  <c r="Z209" i="8"/>
  <c r="Y209" i="8"/>
  <c r="X209" i="8"/>
  <c r="W209" i="8"/>
  <c r="V209" i="8"/>
  <c r="U209" i="8"/>
  <c r="T209" i="8"/>
  <c r="P209" i="8"/>
  <c r="N209" i="8"/>
  <c r="AA209" i="8" s="1"/>
  <c r="AC209" i="8" s="1"/>
  <c r="M209" i="8"/>
  <c r="K209" i="8"/>
  <c r="J209" i="8"/>
  <c r="I209" i="8"/>
  <c r="H209" i="8"/>
  <c r="G209" i="8"/>
  <c r="F209" i="8"/>
  <c r="E209" i="8"/>
  <c r="AB208" i="8"/>
  <c r="Y208" i="8"/>
  <c r="X208" i="8"/>
  <c r="W208" i="8"/>
  <c r="V208" i="8"/>
  <c r="U208" i="8"/>
  <c r="T208" i="8"/>
  <c r="P208" i="8"/>
  <c r="AA208" i="8" s="1"/>
  <c r="N208" i="8"/>
  <c r="M208" i="8"/>
  <c r="K208" i="8"/>
  <c r="J208" i="8"/>
  <c r="I208" i="8"/>
  <c r="H208" i="8"/>
  <c r="G208" i="8"/>
  <c r="F208" i="8"/>
  <c r="E208" i="8"/>
  <c r="AB207" i="8"/>
  <c r="Z207" i="8"/>
  <c r="Y207" i="8"/>
  <c r="X207" i="8"/>
  <c r="W207" i="8"/>
  <c r="V207" i="8"/>
  <c r="U207" i="8"/>
  <c r="T207" i="8"/>
  <c r="P207" i="8"/>
  <c r="N207" i="8"/>
  <c r="AA207" i="8" s="1"/>
  <c r="AC207" i="8" s="1"/>
  <c r="M207" i="8"/>
  <c r="K207" i="8"/>
  <c r="J207" i="8"/>
  <c r="I207" i="8"/>
  <c r="H207" i="8"/>
  <c r="G207" i="8"/>
  <c r="F207" i="8"/>
  <c r="E207" i="8"/>
  <c r="AB206" i="8"/>
  <c r="Y206" i="8"/>
  <c r="X206" i="8"/>
  <c r="W206" i="8"/>
  <c r="V206" i="8"/>
  <c r="U206" i="8"/>
  <c r="T206" i="8"/>
  <c r="P206" i="8"/>
  <c r="AA206" i="8" s="1"/>
  <c r="N206" i="8"/>
  <c r="M206" i="8"/>
  <c r="K206" i="8"/>
  <c r="J206" i="8"/>
  <c r="I206" i="8"/>
  <c r="H206" i="8"/>
  <c r="G206" i="8"/>
  <c r="F206" i="8"/>
  <c r="E206" i="8"/>
  <c r="AB205" i="8"/>
  <c r="Z205" i="8"/>
  <c r="Y205" i="8"/>
  <c r="X205" i="8"/>
  <c r="W205" i="8"/>
  <c r="V205" i="8"/>
  <c r="U205" i="8"/>
  <c r="T205" i="8"/>
  <c r="P205" i="8"/>
  <c r="N205" i="8"/>
  <c r="AA205" i="8" s="1"/>
  <c r="AC205" i="8" s="1"/>
  <c r="M205" i="8"/>
  <c r="K205" i="8"/>
  <c r="J205" i="8"/>
  <c r="I205" i="8"/>
  <c r="H205" i="8"/>
  <c r="G205" i="8"/>
  <c r="F205" i="8"/>
  <c r="E205" i="8"/>
  <c r="AB204" i="8"/>
  <c r="Y204" i="8"/>
  <c r="X204" i="8"/>
  <c r="W204" i="8"/>
  <c r="V204" i="8"/>
  <c r="U204" i="8"/>
  <c r="T204" i="8"/>
  <c r="P204" i="8"/>
  <c r="AA204" i="8" s="1"/>
  <c r="N204" i="8"/>
  <c r="M204" i="8"/>
  <c r="K204" i="8"/>
  <c r="J204" i="8"/>
  <c r="I204" i="8"/>
  <c r="H204" i="8"/>
  <c r="G204" i="8"/>
  <c r="F204" i="8"/>
  <c r="E204" i="8"/>
  <c r="AB203" i="8"/>
  <c r="Z203" i="8"/>
  <c r="Y203" i="8"/>
  <c r="X203" i="8"/>
  <c r="W203" i="8"/>
  <c r="V203" i="8"/>
  <c r="U203" i="8"/>
  <c r="T203" i="8"/>
  <c r="P203" i="8"/>
  <c r="N203" i="8"/>
  <c r="AA203" i="8" s="1"/>
  <c r="AC203" i="8" s="1"/>
  <c r="M203" i="8"/>
  <c r="K203" i="8"/>
  <c r="J203" i="8"/>
  <c r="I203" i="8"/>
  <c r="H203" i="8"/>
  <c r="G203" i="8"/>
  <c r="F203" i="8"/>
  <c r="E203" i="8"/>
  <c r="AB202" i="8"/>
  <c r="Y202" i="8"/>
  <c r="X202" i="8"/>
  <c r="W202" i="8"/>
  <c r="V202" i="8"/>
  <c r="U202" i="8"/>
  <c r="T202" i="8"/>
  <c r="P202" i="8"/>
  <c r="AA202" i="8" s="1"/>
  <c r="N202" i="8"/>
  <c r="M202" i="8"/>
  <c r="K202" i="8"/>
  <c r="J202" i="8"/>
  <c r="I202" i="8"/>
  <c r="H202" i="8"/>
  <c r="G202" i="8"/>
  <c r="F202" i="8"/>
  <c r="E202" i="8"/>
  <c r="AB201" i="8"/>
  <c r="Z201" i="8"/>
  <c r="Y201" i="8"/>
  <c r="X201" i="8"/>
  <c r="W201" i="8"/>
  <c r="V201" i="8"/>
  <c r="U201" i="8"/>
  <c r="T201" i="8"/>
  <c r="P201" i="8"/>
  <c r="N201" i="8"/>
  <c r="AA201" i="8" s="1"/>
  <c r="AC201" i="8" s="1"/>
  <c r="M201" i="8"/>
  <c r="K201" i="8"/>
  <c r="J201" i="8"/>
  <c r="I201" i="8"/>
  <c r="H201" i="8"/>
  <c r="G201" i="8"/>
  <c r="F201" i="8"/>
  <c r="E201" i="8"/>
  <c r="AB200" i="8"/>
  <c r="Y200" i="8"/>
  <c r="X200" i="8"/>
  <c r="W200" i="8"/>
  <c r="V200" i="8"/>
  <c r="U200" i="8"/>
  <c r="T200" i="8"/>
  <c r="P200" i="8"/>
  <c r="AA200" i="8" s="1"/>
  <c r="N200" i="8"/>
  <c r="M200" i="8"/>
  <c r="K200" i="8"/>
  <c r="J200" i="8"/>
  <c r="I200" i="8"/>
  <c r="H200" i="8"/>
  <c r="G200" i="8"/>
  <c r="F200" i="8"/>
  <c r="E200" i="8"/>
  <c r="AB199" i="8"/>
  <c r="Z199" i="8"/>
  <c r="Y199" i="8"/>
  <c r="X199" i="8"/>
  <c r="W199" i="8"/>
  <c r="V199" i="8"/>
  <c r="U199" i="8"/>
  <c r="T199" i="8"/>
  <c r="P199" i="8"/>
  <c r="N199" i="8"/>
  <c r="AA199" i="8" s="1"/>
  <c r="AC199" i="8" s="1"/>
  <c r="M199" i="8"/>
  <c r="K199" i="8"/>
  <c r="J199" i="8"/>
  <c r="I199" i="8"/>
  <c r="H199" i="8"/>
  <c r="G199" i="8"/>
  <c r="F199" i="8"/>
  <c r="E199" i="8"/>
  <c r="AB198" i="8"/>
  <c r="Y198" i="8"/>
  <c r="X198" i="8"/>
  <c r="W198" i="8"/>
  <c r="V198" i="8"/>
  <c r="U198" i="8"/>
  <c r="T198" i="8"/>
  <c r="P198" i="8"/>
  <c r="AA198" i="8" s="1"/>
  <c r="N198" i="8"/>
  <c r="M198" i="8"/>
  <c r="K198" i="8"/>
  <c r="J198" i="8"/>
  <c r="I198" i="8"/>
  <c r="H198" i="8"/>
  <c r="G198" i="8"/>
  <c r="F198" i="8"/>
  <c r="E198" i="8"/>
  <c r="AB197" i="8"/>
  <c r="Z197" i="8"/>
  <c r="Y197" i="8"/>
  <c r="X197" i="8"/>
  <c r="W197" i="8"/>
  <c r="V197" i="8"/>
  <c r="U197" i="8"/>
  <c r="T197" i="8"/>
  <c r="P197" i="8"/>
  <c r="N197" i="8"/>
  <c r="AA197" i="8" s="1"/>
  <c r="AC197" i="8" s="1"/>
  <c r="M197" i="8"/>
  <c r="K197" i="8"/>
  <c r="J197" i="8"/>
  <c r="I197" i="8"/>
  <c r="H197" i="8"/>
  <c r="G197" i="8"/>
  <c r="F197" i="8"/>
  <c r="E197" i="8"/>
  <c r="AB196" i="8"/>
  <c r="Y196" i="8"/>
  <c r="X196" i="8"/>
  <c r="W196" i="8"/>
  <c r="V196" i="8"/>
  <c r="U196" i="8"/>
  <c r="T196" i="8"/>
  <c r="P196" i="8"/>
  <c r="AA196" i="8" s="1"/>
  <c r="N196" i="8"/>
  <c r="M196" i="8"/>
  <c r="K196" i="8"/>
  <c r="J196" i="8"/>
  <c r="I196" i="8"/>
  <c r="H196" i="8"/>
  <c r="G196" i="8"/>
  <c r="F196" i="8"/>
  <c r="E196" i="8"/>
  <c r="AB195" i="8"/>
  <c r="Z195" i="8"/>
  <c r="Y195" i="8"/>
  <c r="X195" i="8"/>
  <c r="W195" i="8"/>
  <c r="V195" i="8"/>
  <c r="U195" i="8"/>
  <c r="T195" i="8"/>
  <c r="P195" i="8"/>
  <c r="N195" i="8"/>
  <c r="AA195" i="8" s="1"/>
  <c r="AC195" i="8" s="1"/>
  <c r="M195" i="8"/>
  <c r="K195" i="8"/>
  <c r="J195" i="8"/>
  <c r="I195" i="8"/>
  <c r="H195" i="8"/>
  <c r="G195" i="8"/>
  <c r="F195" i="8"/>
  <c r="E195" i="8"/>
  <c r="AB194" i="8"/>
  <c r="Y194" i="8"/>
  <c r="X194" i="8"/>
  <c r="W194" i="8"/>
  <c r="V194" i="8"/>
  <c r="U194" i="8"/>
  <c r="T194" i="8"/>
  <c r="P194" i="8"/>
  <c r="AA194" i="8" s="1"/>
  <c r="N194" i="8"/>
  <c r="M194" i="8"/>
  <c r="K194" i="8"/>
  <c r="J194" i="8"/>
  <c r="I194" i="8"/>
  <c r="H194" i="8"/>
  <c r="G194" i="8"/>
  <c r="F194" i="8"/>
  <c r="E194" i="8"/>
  <c r="AB193" i="8"/>
  <c r="Z193" i="8"/>
  <c r="Y193" i="8"/>
  <c r="X193" i="8"/>
  <c r="W193" i="8"/>
  <c r="V193" i="8"/>
  <c r="U193" i="8"/>
  <c r="T193" i="8"/>
  <c r="P193" i="8"/>
  <c r="N193" i="8"/>
  <c r="AA193" i="8" s="1"/>
  <c r="AC193" i="8" s="1"/>
  <c r="M193" i="8"/>
  <c r="K193" i="8"/>
  <c r="J193" i="8"/>
  <c r="I193" i="8"/>
  <c r="H193" i="8"/>
  <c r="G193" i="8"/>
  <c r="F193" i="8"/>
  <c r="E193" i="8"/>
  <c r="AB192" i="8"/>
  <c r="Y192" i="8"/>
  <c r="X192" i="8"/>
  <c r="W192" i="8"/>
  <c r="V192" i="8"/>
  <c r="U192" i="8"/>
  <c r="T192" i="8"/>
  <c r="P192" i="8"/>
  <c r="AA192" i="8" s="1"/>
  <c r="N192" i="8"/>
  <c r="M192" i="8"/>
  <c r="K192" i="8"/>
  <c r="J192" i="8"/>
  <c r="I192" i="8"/>
  <c r="H192" i="8"/>
  <c r="G192" i="8"/>
  <c r="F192" i="8"/>
  <c r="E192" i="8"/>
  <c r="AB191" i="8"/>
  <c r="Z191" i="8"/>
  <c r="Y191" i="8"/>
  <c r="X191" i="8"/>
  <c r="W191" i="8"/>
  <c r="V191" i="8"/>
  <c r="U191" i="8"/>
  <c r="T191" i="8"/>
  <c r="P191" i="8"/>
  <c r="N191" i="8"/>
  <c r="AA191" i="8" s="1"/>
  <c r="AC191" i="8" s="1"/>
  <c r="M191" i="8"/>
  <c r="K191" i="8"/>
  <c r="J191" i="8"/>
  <c r="I191" i="8"/>
  <c r="H191" i="8"/>
  <c r="G191" i="8"/>
  <c r="F191" i="8"/>
  <c r="E191" i="8"/>
  <c r="AB190" i="8"/>
  <c r="Y190" i="8"/>
  <c r="X190" i="8"/>
  <c r="W190" i="8"/>
  <c r="V190" i="8"/>
  <c r="U190" i="8"/>
  <c r="T190" i="8"/>
  <c r="P190" i="8"/>
  <c r="AA190" i="8" s="1"/>
  <c r="N190" i="8"/>
  <c r="M190" i="8"/>
  <c r="K190" i="8"/>
  <c r="J190" i="8"/>
  <c r="I190" i="8"/>
  <c r="H190" i="8"/>
  <c r="G190" i="8"/>
  <c r="F190" i="8"/>
  <c r="E190" i="8"/>
  <c r="AB189" i="8"/>
  <c r="Z189" i="8"/>
  <c r="Y189" i="8"/>
  <c r="X189" i="8"/>
  <c r="W189" i="8"/>
  <c r="V189" i="8"/>
  <c r="U189" i="8"/>
  <c r="T189" i="8"/>
  <c r="P189" i="8"/>
  <c r="N189" i="8"/>
  <c r="AA189" i="8" s="1"/>
  <c r="AC189" i="8" s="1"/>
  <c r="M189" i="8"/>
  <c r="K189" i="8"/>
  <c r="J189" i="8"/>
  <c r="I189" i="8"/>
  <c r="H189" i="8"/>
  <c r="G189" i="8"/>
  <c r="F189" i="8"/>
  <c r="E189" i="8"/>
  <c r="AB188" i="8"/>
  <c r="Y188" i="8"/>
  <c r="X188" i="8"/>
  <c r="W188" i="8"/>
  <c r="V188" i="8"/>
  <c r="U188" i="8"/>
  <c r="T188" i="8"/>
  <c r="P188" i="8"/>
  <c r="AA188" i="8" s="1"/>
  <c r="N188" i="8"/>
  <c r="M188" i="8"/>
  <c r="K188" i="8"/>
  <c r="J188" i="8"/>
  <c r="I188" i="8"/>
  <c r="H188" i="8"/>
  <c r="G188" i="8"/>
  <c r="F188" i="8"/>
  <c r="E188" i="8"/>
  <c r="AB187" i="8"/>
  <c r="Z187" i="8"/>
  <c r="Y187" i="8"/>
  <c r="X187" i="8"/>
  <c r="W187" i="8"/>
  <c r="V187" i="8"/>
  <c r="U187" i="8"/>
  <c r="T187" i="8"/>
  <c r="P187" i="8"/>
  <c r="N187" i="8"/>
  <c r="AA187" i="8" s="1"/>
  <c r="AC187" i="8" s="1"/>
  <c r="M187" i="8"/>
  <c r="K187" i="8"/>
  <c r="J187" i="8"/>
  <c r="I187" i="8"/>
  <c r="H187" i="8"/>
  <c r="G187" i="8"/>
  <c r="F187" i="8"/>
  <c r="E187" i="8"/>
  <c r="AB186" i="8"/>
  <c r="Y186" i="8"/>
  <c r="X186" i="8"/>
  <c r="W186" i="8"/>
  <c r="V186" i="8"/>
  <c r="U186" i="8"/>
  <c r="T186" i="8"/>
  <c r="P186" i="8"/>
  <c r="AA186" i="8" s="1"/>
  <c r="N186" i="8"/>
  <c r="M186" i="8"/>
  <c r="K186" i="8"/>
  <c r="J186" i="8"/>
  <c r="I186" i="8"/>
  <c r="H186" i="8"/>
  <c r="G186" i="8"/>
  <c r="F186" i="8"/>
  <c r="E186" i="8"/>
  <c r="AB185" i="8"/>
  <c r="Z185" i="8"/>
  <c r="Y185" i="8"/>
  <c r="X185" i="8"/>
  <c r="W185" i="8"/>
  <c r="V185" i="8"/>
  <c r="U185" i="8"/>
  <c r="T185" i="8"/>
  <c r="P185" i="8"/>
  <c r="N185" i="8"/>
  <c r="AA185" i="8" s="1"/>
  <c r="AC185" i="8" s="1"/>
  <c r="M185" i="8"/>
  <c r="K185" i="8"/>
  <c r="J185" i="8"/>
  <c r="I185" i="8"/>
  <c r="H185" i="8"/>
  <c r="G185" i="8"/>
  <c r="F185" i="8"/>
  <c r="E185" i="8"/>
  <c r="AB184" i="8"/>
  <c r="Y184" i="8"/>
  <c r="X184" i="8"/>
  <c r="W184" i="8"/>
  <c r="V184" i="8"/>
  <c r="U184" i="8"/>
  <c r="T184" i="8"/>
  <c r="P184" i="8"/>
  <c r="AA184" i="8" s="1"/>
  <c r="N184" i="8"/>
  <c r="M184" i="8"/>
  <c r="K184" i="8"/>
  <c r="J184" i="8"/>
  <c r="I184" i="8"/>
  <c r="H184" i="8"/>
  <c r="G184" i="8"/>
  <c r="F184" i="8"/>
  <c r="E184" i="8"/>
  <c r="AB183" i="8"/>
  <c r="Z183" i="8"/>
  <c r="Y183" i="8"/>
  <c r="X183" i="8"/>
  <c r="W183" i="8"/>
  <c r="V183" i="8"/>
  <c r="U183" i="8"/>
  <c r="T183" i="8"/>
  <c r="P183" i="8"/>
  <c r="N183" i="8"/>
  <c r="AA183" i="8" s="1"/>
  <c r="AC183" i="8" s="1"/>
  <c r="M183" i="8"/>
  <c r="K183" i="8"/>
  <c r="J183" i="8"/>
  <c r="I183" i="8"/>
  <c r="H183" i="8"/>
  <c r="G183" i="8"/>
  <c r="F183" i="8"/>
  <c r="E183" i="8"/>
  <c r="AB182" i="8"/>
  <c r="Y182" i="8"/>
  <c r="X182" i="8"/>
  <c r="W182" i="8"/>
  <c r="V182" i="8"/>
  <c r="U182" i="8"/>
  <c r="T182" i="8"/>
  <c r="P182" i="8"/>
  <c r="AA182" i="8" s="1"/>
  <c r="N182" i="8"/>
  <c r="M182" i="8"/>
  <c r="K182" i="8"/>
  <c r="J182" i="8"/>
  <c r="I182" i="8"/>
  <c r="H182" i="8"/>
  <c r="G182" i="8"/>
  <c r="F182" i="8"/>
  <c r="E182" i="8"/>
  <c r="AB181" i="8"/>
  <c r="Z181" i="8"/>
  <c r="Y181" i="8"/>
  <c r="X181" i="8"/>
  <c r="W181" i="8"/>
  <c r="V181" i="8"/>
  <c r="U181" i="8"/>
  <c r="T181" i="8"/>
  <c r="P181" i="8"/>
  <c r="N181" i="8"/>
  <c r="AA181" i="8" s="1"/>
  <c r="AC181" i="8" s="1"/>
  <c r="M181" i="8"/>
  <c r="K181" i="8"/>
  <c r="J181" i="8"/>
  <c r="I181" i="8"/>
  <c r="H181" i="8"/>
  <c r="G181" i="8"/>
  <c r="F181" i="8"/>
  <c r="E181" i="8"/>
  <c r="AB180" i="8"/>
  <c r="Y180" i="8"/>
  <c r="X180" i="8"/>
  <c r="W180" i="8"/>
  <c r="V180" i="8"/>
  <c r="U180" i="8"/>
  <c r="T180" i="8"/>
  <c r="P180" i="8"/>
  <c r="AA180" i="8" s="1"/>
  <c r="N180" i="8"/>
  <c r="M180" i="8"/>
  <c r="K180" i="8"/>
  <c r="J180" i="8"/>
  <c r="I180" i="8"/>
  <c r="H180" i="8"/>
  <c r="G180" i="8"/>
  <c r="F180" i="8"/>
  <c r="E180" i="8"/>
  <c r="AB179" i="8"/>
  <c r="Z179" i="8"/>
  <c r="Y179" i="8"/>
  <c r="X179" i="8"/>
  <c r="W179" i="8"/>
  <c r="V179" i="8"/>
  <c r="U179" i="8"/>
  <c r="T179" i="8"/>
  <c r="P179" i="8"/>
  <c r="N179" i="8"/>
  <c r="AA179" i="8" s="1"/>
  <c r="AC179" i="8" s="1"/>
  <c r="M179" i="8"/>
  <c r="K179" i="8"/>
  <c r="J179" i="8"/>
  <c r="I179" i="8"/>
  <c r="H179" i="8"/>
  <c r="G179" i="8"/>
  <c r="F179" i="8"/>
  <c r="E179" i="8"/>
  <c r="AB178" i="8"/>
  <c r="Y178" i="8"/>
  <c r="X178" i="8"/>
  <c r="W178" i="8"/>
  <c r="V178" i="8"/>
  <c r="U178" i="8"/>
  <c r="T178" i="8"/>
  <c r="P178" i="8"/>
  <c r="AA178" i="8" s="1"/>
  <c r="N178" i="8"/>
  <c r="M178" i="8"/>
  <c r="K178" i="8"/>
  <c r="J178" i="8"/>
  <c r="I178" i="8"/>
  <c r="H178" i="8"/>
  <c r="G178" i="8"/>
  <c r="F178" i="8"/>
  <c r="E178" i="8"/>
  <c r="AB177" i="8"/>
  <c r="Z177" i="8"/>
  <c r="Y177" i="8"/>
  <c r="X177" i="8"/>
  <c r="W177" i="8"/>
  <c r="V177" i="8"/>
  <c r="U177" i="8"/>
  <c r="T177" i="8"/>
  <c r="P177" i="8"/>
  <c r="N177" i="8"/>
  <c r="AA177" i="8" s="1"/>
  <c r="AC177" i="8" s="1"/>
  <c r="M177" i="8"/>
  <c r="K177" i="8"/>
  <c r="J177" i="8"/>
  <c r="I177" i="8"/>
  <c r="H177" i="8"/>
  <c r="G177" i="8"/>
  <c r="F177" i="8"/>
  <c r="E177" i="8"/>
  <c r="AB176" i="8"/>
  <c r="AA176" i="8"/>
  <c r="AC176" i="8" s="1"/>
  <c r="Y176" i="8"/>
  <c r="X176" i="8"/>
  <c r="W176" i="8"/>
  <c r="V176" i="8"/>
  <c r="U176" i="8"/>
  <c r="T176" i="8"/>
  <c r="P176" i="8"/>
  <c r="Z176" i="8" s="1"/>
  <c r="N176" i="8"/>
  <c r="M176" i="8"/>
  <c r="K176" i="8"/>
  <c r="J176" i="8"/>
  <c r="I176" i="8"/>
  <c r="H176" i="8"/>
  <c r="G176" i="8"/>
  <c r="F176" i="8"/>
  <c r="E176" i="8"/>
  <c r="AB175" i="8"/>
  <c r="Z175" i="8"/>
  <c r="Y175" i="8"/>
  <c r="X175" i="8"/>
  <c r="W175" i="8"/>
  <c r="V175" i="8"/>
  <c r="U175" i="8"/>
  <c r="T175" i="8"/>
  <c r="P175" i="8"/>
  <c r="N175" i="8"/>
  <c r="AA175" i="8" s="1"/>
  <c r="AC175" i="8" s="1"/>
  <c r="M175" i="8"/>
  <c r="K175" i="8"/>
  <c r="J175" i="8"/>
  <c r="I175" i="8"/>
  <c r="H175" i="8"/>
  <c r="G175" i="8"/>
  <c r="F175" i="8"/>
  <c r="E175" i="8"/>
  <c r="AB174" i="8"/>
  <c r="Y174" i="8"/>
  <c r="X174" i="8"/>
  <c r="W174" i="8"/>
  <c r="V174" i="8"/>
  <c r="U174" i="8"/>
  <c r="T174" i="8"/>
  <c r="P174" i="8"/>
  <c r="Z174" i="8" s="1"/>
  <c r="N174" i="8"/>
  <c r="M174" i="8"/>
  <c r="K174" i="8"/>
  <c r="J174" i="8"/>
  <c r="I174" i="8"/>
  <c r="H174" i="8"/>
  <c r="G174" i="8"/>
  <c r="F174" i="8"/>
  <c r="E174" i="8"/>
  <c r="AB173" i="8"/>
  <c r="Z173" i="8"/>
  <c r="Y173" i="8"/>
  <c r="X173" i="8"/>
  <c r="W173" i="8"/>
  <c r="V173" i="8"/>
  <c r="U173" i="8"/>
  <c r="T173" i="8"/>
  <c r="P173" i="8"/>
  <c r="N173" i="8"/>
  <c r="AA173" i="8" s="1"/>
  <c r="AC173" i="8" s="1"/>
  <c r="M173" i="8"/>
  <c r="K173" i="8"/>
  <c r="J173" i="8"/>
  <c r="I173" i="8"/>
  <c r="H173" i="8"/>
  <c r="G173" i="8"/>
  <c r="F173" i="8"/>
  <c r="E173" i="8"/>
  <c r="AB172" i="8"/>
  <c r="AA172" i="8"/>
  <c r="AC172" i="8" s="1"/>
  <c r="Y172" i="8"/>
  <c r="X172" i="8"/>
  <c r="W172" i="8"/>
  <c r="V172" i="8"/>
  <c r="U172" i="8"/>
  <c r="T172" i="8"/>
  <c r="P172" i="8"/>
  <c r="Z172" i="8" s="1"/>
  <c r="N172" i="8"/>
  <c r="M172" i="8"/>
  <c r="K172" i="8"/>
  <c r="J172" i="8"/>
  <c r="I172" i="8"/>
  <c r="H172" i="8"/>
  <c r="G172" i="8"/>
  <c r="F172" i="8"/>
  <c r="E172" i="8"/>
  <c r="AB171" i="8"/>
  <c r="Z171" i="8"/>
  <c r="Y171" i="8"/>
  <c r="X171" i="8"/>
  <c r="W171" i="8"/>
  <c r="V171" i="8"/>
  <c r="U171" i="8"/>
  <c r="T171" i="8"/>
  <c r="P171" i="8"/>
  <c r="N171" i="8"/>
  <c r="AA171" i="8" s="1"/>
  <c r="AC171" i="8" s="1"/>
  <c r="M171" i="8"/>
  <c r="K171" i="8"/>
  <c r="J171" i="8"/>
  <c r="I171" i="8"/>
  <c r="H171" i="8"/>
  <c r="G171" i="8"/>
  <c r="F171" i="8"/>
  <c r="E171" i="8"/>
  <c r="AB170" i="8"/>
  <c r="Y170" i="8"/>
  <c r="X170" i="8"/>
  <c r="W170" i="8"/>
  <c r="V170" i="8"/>
  <c r="U170" i="8"/>
  <c r="T170" i="8"/>
  <c r="P170" i="8"/>
  <c r="Z170" i="8" s="1"/>
  <c r="N170" i="8"/>
  <c r="M170" i="8"/>
  <c r="K170" i="8"/>
  <c r="J170" i="8"/>
  <c r="I170" i="8"/>
  <c r="H170" i="8"/>
  <c r="G170" i="8"/>
  <c r="F170" i="8"/>
  <c r="E170" i="8"/>
  <c r="AB169" i="8"/>
  <c r="Z169" i="8"/>
  <c r="Y169" i="8"/>
  <c r="X169" i="8"/>
  <c r="W169" i="8"/>
  <c r="V169" i="8"/>
  <c r="U169" i="8"/>
  <c r="T169" i="8"/>
  <c r="P169" i="8"/>
  <c r="N169" i="8"/>
  <c r="AA169" i="8" s="1"/>
  <c r="AC169" i="8" s="1"/>
  <c r="M169" i="8"/>
  <c r="K169" i="8"/>
  <c r="J169" i="8"/>
  <c r="I169" i="8"/>
  <c r="H169" i="8"/>
  <c r="G169" i="8"/>
  <c r="F169" i="8"/>
  <c r="E169" i="8"/>
  <c r="AB168" i="8"/>
  <c r="AA168" i="8"/>
  <c r="AC168" i="8" s="1"/>
  <c r="Y168" i="8"/>
  <c r="X168" i="8"/>
  <c r="W168" i="8"/>
  <c r="V168" i="8"/>
  <c r="U168" i="8"/>
  <c r="T168" i="8"/>
  <c r="P168" i="8"/>
  <c r="Z168" i="8" s="1"/>
  <c r="N168" i="8"/>
  <c r="M168" i="8"/>
  <c r="K168" i="8"/>
  <c r="J168" i="8"/>
  <c r="I168" i="8"/>
  <c r="H168" i="8"/>
  <c r="G168" i="8"/>
  <c r="F168" i="8"/>
  <c r="E168" i="8"/>
  <c r="AB167" i="8"/>
  <c r="Z167" i="8"/>
  <c r="Y167" i="8"/>
  <c r="X167" i="8"/>
  <c r="W167" i="8"/>
  <c r="V167" i="8"/>
  <c r="U167" i="8"/>
  <c r="T167" i="8"/>
  <c r="P167" i="8"/>
  <c r="N167" i="8"/>
  <c r="AA167" i="8" s="1"/>
  <c r="AC167" i="8" s="1"/>
  <c r="M167" i="8"/>
  <c r="K167" i="8"/>
  <c r="J167" i="8"/>
  <c r="I167" i="8"/>
  <c r="H167" i="8"/>
  <c r="G167" i="8"/>
  <c r="F167" i="8"/>
  <c r="E167" i="8"/>
  <c r="AB166" i="8"/>
  <c r="Y166" i="8"/>
  <c r="X166" i="8"/>
  <c r="W166" i="8"/>
  <c r="V166" i="8"/>
  <c r="U166" i="8"/>
  <c r="T166" i="8"/>
  <c r="P166" i="8"/>
  <c r="Z166" i="8" s="1"/>
  <c r="N166" i="8"/>
  <c r="M166" i="8"/>
  <c r="K166" i="8"/>
  <c r="J166" i="8"/>
  <c r="I166" i="8"/>
  <c r="H166" i="8"/>
  <c r="G166" i="8"/>
  <c r="F166" i="8"/>
  <c r="E166" i="8"/>
  <c r="AB165" i="8"/>
  <c r="Z165" i="8"/>
  <c r="Y165" i="8"/>
  <c r="X165" i="8"/>
  <c r="W165" i="8"/>
  <c r="V165" i="8"/>
  <c r="U165" i="8"/>
  <c r="T165" i="8"/>
  <c r="P165" i="8"/>
  <c r="N165" i="8"/>
  <c r="AA165" i="8" s="1"/>
  <c r="AC165" i="8" s="1"/>
  <c r="M165" i="8"/>
  <c r="K165" i="8"/>
  <c r="J165" i="8"/>
  <c r="I165" i="8"/>
  <c r="H165" i="8"/>
  <c r="G165" i="8"/>
  <c r="F165" i="8"/>
  <c r="E165" i="8"/>
  <c r="AB164" i="8"/>
  <c r="AA164" i="8"/>
  <c r="AC164" i="8" s="1"/>
  <c r="Y164" i="8"/>
  <c r="X164" i="8"/>
  <c r="W164" i="8"/>
  <c r="V164" i="8"/>
  <c r="U164" i="8"/>
  <c r="T164" i="8"/>
  <c r="P164" i="8"/>
  <c r="Z164" i="8" s="1"/>
  <c r="N164" i="8"/>
  <c r="M164" i="8"/>
  <c r="K164" i="8"/>
  <c r="J164" i="8"/>
  <c r="I164" i="8"/>
  <c r="H164" i="8"/>
  <c r="G164" i="8"/>
  <c r="F164" i="8"/>
  <c r="E164" i="8"/>
  <c r="AB163" i="8"/>
  <c r="Z163" i="8"/>
  <c r="Y163" i="8"/>
  <c r="X163" i="8"/>
  <c r="W163" i="8"/>
  <c r="V163" i="8"/>
  <c r="U163" i="8"/>
  <c r="T163" i="8"/>
  <c r="P163" i="8"/>
  <c r="N163" i="8"/>
  <c r="AA163" i="8" s="1"/>
  <c r="AC163" i="8" s="1"/>
  <c r="M163" i="8"/>
  <c r="K163" i="8"/>
  <c r="J163" i="8"/>
  <c r="I163" i="8"/>
  <c r="H163" i="8"/>
  <c r="G163" i="8"/>
  <c r="F163" i="8"/>
  <c r="E163" i="8"/>
  <c r="AB162" i="8"/>
  <c r="Y162" i="8"/>
  <c r="X162" i="8"/>
  <c r="W162" i="8"/>
  <c r="V162" i="8"/>
  <c r="U162" i="8"/>
  <c r="T162" i="8"/>
  <c r="P162" i="8"/>
  <c r="Z162" i="8" s="1"/>
  <c r="N162" i="8"/>
  <c r="M162" i="8"/>
  <c r="K162" i="8"/>
  <c r="J162" i="8"/>
  <c r="I162" i="8"/>
  <c r="H162" i="8"/>
  <c r="G162" i="8"/>
  <c r="F162" i="8"/>
  <c r="E162" i="8"/>
  <c r="AB161" i="8"/>
  <c r="Z161" i="8"/>
  <c r="Y161" i="8"/>
  <c r="X161" i="8"/>
  <c r="W161" i="8"/>
  <c r="V161" i="8"/>
  <c r="U161" i="8"/>
  <c r="T161" i="8"/>
  <c r="P161" i="8"/>
  <c r="N161" i="8"/>
  <c r="AA161" i="8" s="1"/>
  <c r="AC161" i="8" s="1"/>
  <c r="M161" i="8"/>
  <c r="K161" i="8"/>
  <c r="J161" i="8"/>
  <c r="I161" i="8"/>
  <c r="H161" i="8"/>
  <c r="G161" i="8"/>
  <c r="F161" i="8"/>
  <c r="E161" i="8"/>
  <c r="AB160" i="8"/>
  <c r="AA160" i="8"/>
  <c r="AC160" i="8" s="1"/>
  <c r="Y160" i="8"/>
  <c r="X160" i="8"/>
  <c r="W160" i="8"/>
  <c r="V160" i="8"/>
  <c r="U160" i="8"/>
  <c r="T160" i="8"/>
  <c r="P160" i="8"/>
  <c r="Z160" i="8" s="1"/>
  <c r="N160" i="8"/>
  <c r="M160" i="8"/>
  <c r="K160" i="8"/>
  <c r="J160" i="8"/>
  <c r="I160" i="8"/>
  <c r="H160" i="8"/>
  <c r="G160" i="8"/>
  <c r="F160" i="8"/>
  <c r="E160" i="8"/>
  <c r="AB159" i="8"/>
  <c r="Z159" i="8"/>
  <c r="Y159" i="8"/>
  <c r="X159" i="8"/>
  <c r="W159" i="8"/>
  <c r="V159" i="8"/>
  <c r="U159" i="8"/>
  <c r="T159" i="8"/>
  <c r="P159" i="8"/>
  <c r="N159" i="8"/>
  <c r="AA159" i="8" s="1"/>
  <c r="AC159" i="8" s="1"/>
  <c r="M159" i="8"/>
  <c r="K159" i="8"/>
  <c r="J159" i="8"/>
  <c r="I159" i="8"/>
  <c r="H159" i="8"/>
  <c r="G159" i="8"/>
  <c r="F159" i="8"/>
  <c r="E159" i="8"/>
  <c r="AB158" i="8"/>
  <c r="Y158" i="8"/>
  <c r="X158" i="8"/>
  <c r="W158" i="8"/>
  <c r="V158" i="8"/>
  <c r="U158" i="8"/>
  <c r="T158" i="8"/>
  <c r="P158" i="8"/>
  <c r="Z158" i="8" s="1"/>
  <c r="N158" i="8"/>
  <c r="M158" i="8"/>
  <c r="K158" i="8"/>
  <c r="J158" i="8"/>
  <c r="I158" i="8"/>
  <c r="H158" i="8"/>
  <c r="G158" i="8"/>
  <c r="F158" i="8"/>
  <c r="E158" i="8"/>
  <c r="AB157" i="8"/>
  <c r="Z157" i="8"/>
  <c r="Y157" i="8"/>
  <c r="X157" i="8"/>
  <c r="W157" i="8"/>
  <c r="V157" i="8"/>
  <c r="U157" i="8"/>
  <c r="T157" i="8"/>
  <c r="P157" i="8"/>
  <c r="N157" i="8"/>
  <c r="AA157" i="8" s="1"/>
  <c r="AC157" i="8" s="1"/>
  <c r="M157" i="8"/>
  <c r="K157" i="8"/>
  <c r="J157" i="8"/>
  <c r="I157" i="8"/>
  <c r="H157" i="8"/>
  <c r="G157" i="8"/>
  <c r="F157" i="8"/>
  <c r="E157" i="8"/>
  <c r="AB156" i="8"/>
  <c r="AA156" i="8"/>
  <c r="AC156" i="8" s="1"/>
  <c r="Y156" i="8"/>
  <c r="X156" i="8"/>
  <c r="W156" i="8"/>
  <c r="V156" i="8"/>
  <c r="U156" i="8"/>
  <c r="T156" i="8"/>
  <c r="P156" i="8"/>
  <c r="Z156" i="8" s="1"/>
  <c r="N156" i="8"/>
  <c r="M156" i="8"/>
  <c r="K156" i="8"/>
  <c r="J156" i="8"/>
  <c r="I156" i="8"/>
  <c r="H156" i="8"/>
  <c r="G156" i="8"/>
  <c r="F156" i="8"/>
  <c r="E156" i="8"/>
  <c r="AB155" i="8"/>
  <c r="Z155" i="8"/>
  <c r="Y155" i="8"/>
  <c r="X155" i="8"/>
  <c r="W155" i="8"/>
  <c r="V155" i="8"/>
  <c r="U155" i="8"/>
  <c r="T155" i="8"/>
  <c r="P155" i="8"/>
  <c r="N155" i="8"/>
  <c r="AA155" i="8" s="1"/>
  <c r="AC155" i="8" s="1"/>
  <c r="M155" i="8"/>
  <c r="K155" i="8"/>
  <c r="J155" i="8"/>
  <c r="I155" i="8"/>
  <c r="H155" i="8"/>
  <c r="G155" i="8"/>
  <c r="F155" i="8"/>
  <c r="E155" i="8"/>
  <c r="AB154" i="8"/>
  <c r="Y154" i="8"/>
  <c r="X154" i="8"/>
  <c r="W154" i="8"/>
  <c r="V154" i="8"/>
  <c r="U154" i="8"/>
  <c r="T154" i="8"/>
  <c r="P154" i="8"/>
  <c r="Z154" i="8" s="1"/>
  <c r="N154" i="8"/>
  <c r="M154" i="8"/>
  <c r="K154" i="8"/>
  <c r="J154" i="8"/>
  <c r="I154" i="8"/>
  <c r="H154" i="8"/>
  <c r="G154" i="8"/>
  <c r="F154" i="8"/>
  <c r="E154" i="8"/>
  <c r="AB153" i="8"/>
  <c r="Z153" i="8"/>
  <c r="Y153" i="8"/>
  <c r="X153" i="8"/>
  <c r="W153" i="8"/>
  <c r="V153" i="8"/>
  <c r="U153" i="8"/>
  <c r="T153" i="8"/>
  <c r="P153" i="8"/>
  <c r="N153" i="8"/>
  <c r="AA153" i="8" s="1"/>
  <c r="AC153" i="8" s="1"/>
  <c r="M153" i="8"/>
  <c r="K153" i="8"/>
  <c r="J153" i="8"/>
  <c r="I153" i="8"/>
  <c r="H153" i="8"/>
  <c r="G153" i="8"/>
  <c r="F153" i="8"/>
  <c r="E153" i="8"/>
  <c r="AB152" i="8"/>
  <c r="AA152" i="8"/>
  <c r="AC152" i="8" s="1"/>
  <c r="Y152" i="8"/>
  <c r="X152" i="8"/>
  <c r="W152" i="8"/>
  <c r="V152" i="8"/>
  <c r="U152" i="8"/>
  <c r="T152" i="8"/>
  <c r="P152" i="8"/>
  <c r="Z152" i="8" s="1"/>
  <c r="N152" i="8"/>
  <c r="M152" i="8"/>
  <c r="K152" i="8"/>
  <c r="J152" i="8"/>
  <c r="I152" i="8"/>
  <c r="H152" i="8"/>
  <c r="G152" i="8"/>
  <c r="F152" i="8"/>
  <c r="E152" i="8"/>
  <c r="AB151" i="8"/>
  <c r="Z151" i="8"/>
  <c r="Y151" i="8"/>
  <c r="X151" i="8"/>
  <c r="W151" i="8"/>
  <c r="V151" i="8"/>
  <c r="U151" i="8"/>
  <c r="T151" i="8"/>
  <c r="P151" i="8"/>
  <c r="N151" i="8"/>
  <c r="AA151" i="8" s="1"/>
  <c r="AC151" i="8" s="1"/>
  <c r="M151" i="8"/>
  <c r="K151" i="8"/>
  <c r="J151" i="8"/>
  <c r="I151" i="8"/>
  <c r="H151" i="8"/>
  <c r="G151" i="8"/>
  <c r="F151" i="8"/>
  <c r="E151" i="8"/>
  <c r="AB150" i="8"/>
  <c r="Y150" i="8"/>
  <c r="X150" i="8"/>
  <c r="W150" i="8"/>
  <c r="V150" i="8"/>
  <c r="U150" i="8"/>
  <c r="T150" i="8"/>
  <c r="P150" i="8"/>
  <c r="Z150" i="8" s="1"/>
  <c r="N150" i="8"/>
  <c r="M150" i="8"/>
  <c r="K150" i="8"/>
  <c r="J150" i="8"/>
  <c r="I150" i="8"/>
  <c r="H150" i="8"/>
  <c r="G150" i="8"/>
  <c r="F150" i="8"/>
  <c r="E150" i="8"/>
  <c r="AB149" i="8"/>
  <c r="Z149" i="8"/>
  <c r="Y149" i="8"/>
  <c r="X149" i="8"/>
  <c r="W149" i="8"/>
  <c r="V149" i="8"/>
  <c r="U149" i="8"/>
  <c r="T149" i="8"/>
  <c r="P149" i="8"/>
  <c r="N149" i="8"/>
  <c r="AA149" i="8" s="1"/>
  <c r="AC149" i="8" s="1"/>
  <c r="M149" i="8"/>
  <c r="K149" i="8"/>
  <c r="J149" i="8"/>
  <c r="I149" i="8"/>
  <c r="H149" i="8"/>
  <c r="G149" i="8"/>
  <c r="F149" i="8"/>
  <c r="E149" i="8"/>
  <c r="AB148" i="8"/>
  <c r="AA148" i="8"/>
  <c r="AC148" i="8" s="1"/>
  <c r="Y148" i="8"/>
  <c r="X148" i="8"/>
  <c r="W148" i="8"/>
  <c r="V148" i="8"/>
  <c r="U148" i="8"/>
  <c r="T148" i="8"/>
  <c r="P148" i="8"/>
  <c r="Z148" i="8" s="1"/>
  <c r="N148" i="8"/>
  <c r="M148" i="8"/>
  <c r="K148" i="8"/>
  <c r="J148" i="8"/>
  <c r="I148" i="8"/>
  <c r="H148" i="8"/>
  <c r="G148" i="8"/>
  <c r="F148" i="8"/>
  <c r="E148" i="8"/>
  <c r="AB147" i="8"/>
  <c r="Z147" i="8"/>
  <c r="Y147" i="8"/>
  <c r="X147" i="8"/>
  <c r="W147" i="8"/>
  <c r="V147" i="8"/>
  <c r="U147" i="8"/>
  <c r="T147" i="8"/>
  <c r="P147" i="8"/>
  <c r="N147" i="8"/>
  <c r="AA147" i="8" s="1"/>
  <c r="AC147" i="8" s="1"/>
  <c r="M147" i="8"/>
  <c r="K147" i="8"/>
  <c r="J147" i="8"/>
  <c r="I147" i="8"/>
  <c r="H147" i="8"/>
  <c r="G147" i="8"/>
  <c r="F147" i="8"/>
  <c r="E147" i="8"/>
  <c r="AB146" i="8"/>
  <c r="Y146" i="8"/>
  <c r="X146" i="8"/>
  <c r="W146" i="8"/>
  <c r="V146" i="8"/>
  <c r="U146" i="8"/>
  <c r="T146" i="8"/>
  <c r="P146" i="8"/>
  <c r="Z146" i="8" s="1"/>
  <c r="N146" i="8"/>
  <c r="M146" i="8"/>
  <c r="K146" i="8"/>
  <c r="J146" i="8"/>
  <c r="I146" i="8"/>
  <c r="H146" i="8"/>
  <c r="G146" i="8"/>
  <c r="F146" i="8"/>
  <c r="E146" i="8"/>
  <c r="AB145" i="8"/>
  <c r="Z145" i="8"/>
  <c r="Y145" i="8"/>
  <c r="X145" i="8"/>
  <c r="W145" i="8"/>
  <c r="V145" i="8"/>
  <c r="U145" i="8"/>
  <c r="T145" i="8"/>
  <c r="P145" i="8"/>
  <c r="N145" i="8"/>
  <c r="AA145" i="8" s="1"/>
  <c r="AC145" i="8" s="1"/>
  <c r="M145" i="8"/>
  <c r="K145" i="8"/>
  <c r="J145" i="8"/>
  <c r="I145" i="8"/>
  <c r="H145" i="8"/>
  <c r="G145" i="8"/>
  <c r="F145" i="8"/>
  <c r="E145" i="8"/>
  <c r="AB144" i="8"/>
  <c r="AA144" i="8"/>
  <c r="AC144" i="8" s="1"/>
  <c r="Y144" i="8"/>
  <c r="X144" i="8"/>
  <c r="W144" i="8"/>
  <c r="V144" i="8"/>
  <c r="U144" i="8"/>
  <c r="T144" i="8"/>
  <c r="P144" i="8"/>
  <c r="Z144" i="8" s="1"/>
  <c r="N144" i="8"/>
  <c r="M144" i="8"/>
  <c r="K144" i="8"/>
  <c r="J144" i="8"/>
  <c r="I144" i="8"/>
  <c r="H144" i="8"/>
  <c r="G144" i="8"/>
  <c r="F144" i="8"/>
  <c r="E144" i="8"/>
  <c r="AB143" i="8"/>
  <c r="Z143" i="8"/>
  <c r="Y143" i="8"/>
  <c r="X143" i="8"/>
  <c r="W143" i="8"/>
  <c r="V143" i="8"/>
  <c r="U143" i="8"/>
  <c r="T143" i="8"/>
  <c r="P143" i="8"/>
  <c r="N143" i="8"/>
  <c r="AA143" i="8" s="1"/>
  <c r="AC143" i="8" s="1"/>
  <c r="M143" i="8"/>
  <c r="K143" i="8"/>
  <c r="J143" i="8"/>
  <c r="I143" i="8"/>
  <c r="H143" i="8"/>
  <c r="G143" i="8"/>
  <c r="F143" i="8"/>
  <c r="E143" i="8"/>
  <c r="AB142" i="8"/>
  <c r="Y142" i="8"/>
  <c r="X142" i="8"/>
  <c r="W142" i="8"/>
  <c r="V142" i="8"/>
  <c r="U142" i="8"/>
  <c r="T142" i="8"/>
  <c r="P142" i="8"/>
  <c r="Z142" i="8" s="1"/>
  <c r="N142" i="8"/>
  <c r="M142" i="8"/>
  <c r="K142" i="8"/>
  <c r="J142" i="8"/>
  <c r="I142" i="8"/>
  <c r="H142" i="8"/>
  <c r="G142" i="8"/>
  <c r="F142" i="8"/>
  <c r="E142" i="8"/>
  <c r="AB141" i="8"/>
  <c r="Z141" i="8"/>
  <c r="Y141" i="8"/>
  <c r="X141" i="8"/>
  <c r="W141" i="8"/>
  <c r="V141" i="8"/>
  <c r="U141" i="8"/>
  <c r="T141" i="8"/>
  <c r="P141" i="8"/>
  <c r="N141" i="8"/>
  <c r="AA141" i="8" s="1"/>
  <c r="AC141" i="8" s="1"/>
  <c r="M141" i="8"/>
  <c r="K141" i="8"/>
  <c r="J141" i="8"/>
  <c r="I141" i="8"/>
  <c r="H141" i="8"/>
  <c r="G141" i="8"/>
  <c r="F141" i="8"/>
  <c r="E141" i="8"/>
  <c r="AB140" i="8"/>
  <c r="AA140" i="8"/>
  <c r="AC140" i="8" s="1"/>
  <c r="Y140" i="8"/>
  <c r="X140" i="8"/>
  <c r="W140" i="8"/>
  <c r="V140" i="8"/>
  <c r="U140" i="8"/>
  <c r="T140" i="8"/>
  <c r="P140" i="8"/>
  <c r="Z140" i="8" s="1"/>
  <c r="N140" i="8"/>
  <c r="M140" i="8"/>
  <c r="K140" i="8"/>
  <c r="J140" i="8"/>
  <c r="I140" i="8"/>
  <c r="H140" i="8"/>
  <c r="G140" i="8"/>
  <c r="F140" i="8"/>
  <c r="E140" i="8"/>
  <c r="AB139" i="8"/>
  <c r="Z139" i="8"/>
  <c r="Y139" i="8"/>
  <c r="X139" i="8"/>
  <c r="W139" i="8"/>
  <c r="V139" i="8"/>
  <c r="U139" i="8"/>
  <c r="T139" i="8"/>
  <c r="P139" i="8"/>
  <c r="N139" i="8"/>
  <c r="AA139" i="8" s="1"/>
  <c r="AC139" i="8" s="1"/>
  <c r="M139" i="8"/>
  <c r="K139" i="8"/>
  <c r="J139" i="8"/>
  <c r="I139" i="8"/>
  <c r="H139" i="8"/>
  <c r="G139" i="8"/>
  <c r="F139" i="8"/>
  <c r="E139" i="8"/>
  <c r="AB138" i="8"/>
  <c r="AA138" i="8"/>
  <c r="AC138" i="8" s="1"/>
  <c r="Y138" i="8"/>
  <c r="X138" i="8"/>
  <c r="W138" i="8"/>
  <c r="V138" i="8"/>
  <c r="U138" i="8"/>
  <c r="T138" i="8"/>
  <c r="P138" i="8"/>
  <c r="Z138" i="8" s="1"/>
  <c r="N138" i="8"/>
  <c r="M138" i="8"/>
  <c r="K138" i="8"/>
  <c r="J138" i="8"/>
  <c r="I138" i="8"/>
  <c r="H138" i="8"/>
  <c r="G138" i="8"/>
  <c r="F138" i="8"/>
  <c r="E138" i="8"/>
  <c r="AB137" i="8"/>
  <c r="Z137" i="8"/>
  <c r="Y137" i="8"/>
  <c r="X137" i="8"/>
  <c r="W137" i="8"/>
  <c r="V137" i="8"/>
  <c r="U137" i="8"/>
  <c r="T137" i="8"/>
  <c r="P137" i="8"/>
  <c r="N137" i="8"/>
  <c r="AA137" i="8" s="1"/>
  <c r="AC137" i="8" s="1"/>
  <c r="M137" i="8"/>
  <c r="K137" i="8"/>
  <c r="J137" i="8"/>
  <c r="I137" i="8"/>
  <c r="H137" i="8"/>
  <c r="G137" i="8"/>
  <c r="F137" i="8"/>
  <c r="E137" i="8"/>
  <c r="AB136" i="8"/>
  <c r="AA136" i="8"/>
  <c r="AC136" i="8" s="1"/>
  <c r="Y136" i="8"/>
  <c r="X136" i="8"/>
  <c r="W136" i="8"/>
  <c r="V136" i="8"/>
  <c r="U136" i="8"/>
  <c r="T136" i="8"/>
  <c r="P136" i="8"/>
  <c r="Z136" i="8" s="1"/>
  <c r="N136" i="8"/>
  <c r="M136" i="8"/>
  <c r="K136" i="8"/>
  <c r="J136" i="8"/>
  <c r="I136" i="8"/>
  <c r="H136" i="8"/>
  <c r="G136" i="8"/>
  <c r="F136" i="8"/>
  <c r="E136" i="8"/>
  <c r="AB135" i="8"/>
  <c r="Z135" i="8"/>
  <c r="Y135" i="8"/>
  <c r="X135" i="8"/>
  <c r="W135" i="8"/>
  <c r="V135" i="8"/>
  <c r="U135" i="8"/>
  <c r="T135" i="8"/>
  <c r="P135" i="8"/>
  <c r="N135" i="8"/>
  <c r="AA135" i="8" s="1"/>
  <c r="AC135" i="8" s="1"/>
  <c r="M135" i="8"/>
  <c r="K135" i="8"/>
  <c r="J135" i="8"/>
  <c r="I135" i="8"/>
  <c r="H135" i="8"/>
  <c r="G135" i="8"/>
  <c r="F135" i="8"/>
  <c r="E135" i="8"/>
  <c r="AB134" i="8"/>
  <c r="Y134" i="8"/>
  <c r="X134" i="8"/>
  <c r="W134" i="8"/>
  <c r="V134" i="8"/>
  <c r="U134" i="8"/>
  <c r="T134" i="8"/>
  <c r="P134" i="8"/>
  <c r="Z134" i="8" s="1"/>
  <c r="N134" i="8"/>
  <c r="M134" i="8"/>
  <c r="K134" i="8"/>
  <c r="J134" i="8"/>
  <c r="I134" i="8"/>
  <c r="H134" i="8"/>
  <c r="G134" i="8"/>
  <c r="F134" i="8"/>
  <c r="E134" i="8"/>
  <c r="AB133" i="8"/>
  <c r="Z133" i="8"/>
  <c r="Y133" i="8"/>
  <c r="X133" i="8"/>
  <c r="W133" i="8"/>
  <c r="V133" i="8"/>
  <c r="U133" i="8"/>
  <c r="T133" i="8"/>
  <c r="P133" i="8"/>
  <c r="N133" i="8"/>
  <c r="AA133" i="8" s="1"/>
  <c r="AC133" i="8" s="1"/>
  <c r="M133" i="8"/>
  <c r="K133" i="8"/>
  <c r="J133" i="8"/>
  <c r="I133" i="8"/>
  <c r="H133" i="8"/>
  <c r="G133" i="8"/>
  <c r="F133" i="8"/>
  <c r="E133" i="8"/>
  <c r="AB132" i="8"/>
  <c r="Y132" i="8"/>
  <c r="X132" i="8"/>
  <c r="W132" i="8"/>
  <c r="V132" i="8"/>
  <c r="U132" i="8"/>
  <c r="T132" i="8"/>
  <c r="P132" i="8"/>
  <c r="Z132" i="8" s="1"/>
  <c r="N132" i="8"/>
  <c r="M132" i="8"/>
  <c r="K132" i="8"/>
  <c r="J132" i="8"/>
  <c r="I132" i="8"/>
  <c r="H132" i="8"/>
  <c r="G132" i="8"/>
  <c r="F132" i="8"/>
  <c r="E132" i="8"/>
  <c r="AB131" i="8"/>
  <c r="Y131" i="8"/>
  <c r="X131" i="8"/>
  <c r="W131" i="8"/>
  <c r="V131" i="8"/>
  <c r="U131" i="8"/>
  <c r="T131" i="8"/>
  <c r="P131" i="8"/>
  <c r="Z131" i="8" s="1"/>
  <c r="N131" i="8"/>
  <c r="M131" i="8"/>
  <c r="K131" i="8"/>
  <c r="J131" i="8"/>
  <c r="I131" i="8"/>
  <c r="H131" i="8"/>
  <c r="G131" i="8"/>
  <c r="F131" i="8"/>
  <c r="E131" i="8"/>
  <c r="AB130" i="8"/>
  <c r="Y130" i="8"/>
  <c r="X130" i="8"/>
  <c r="W130" i="8"/>
  <c r="V130" i="8"/>
  <c r="U130" i="8"/>
  <c r="T130" i="8"/>
  <c r="P130" i="8"/>
  <c r="Z130" i="8" s="1"/>
  <c r="N130" i="8"/>
  <c r="M130" i="8"/>
  <c r="K130" i="8"/>
  <c r="J130" i="8"/>
  <c r="I130" i="8"/>
  <c r="H130" i="8"/>
  <c r="G130" i="8"/>
  <c r="F130" i="8"/>
  <c r="E130" i="8"/>
  <c r="AB129" i="8"/>
  <c r="Y129" i="8"/>
  <c r="X129" i="8"/>
  <c r="W129" i="8"/>
  <c r="V129" i="8"/>
  <c r="U129" i="8"/>
  <c r="T129" i="8"/>
  <c r="P129" i="8"/>
  <c r="AA129" i="8" s="1"/>
  <c r="AC129" i="8" s="1"/>
  <c r="N129" i="8"/>
  <c r="M129" i="8"/>
  <c r="K129" i="8"/>
  <c r="J129" i="8"/>
  <c r="I129" i="8"/>
  <c r="H129" i="8"/>
  <c r="G129" i="8"/>
  <c r="F129" i="8"/>
  <c r="E129" i="8"/>
  <c r="AB128" i="8"/>
  <c r="Y128" i="8"/>
  <c r="X128" i="8"/>
  <c r="W128" i="8"/>
  <c r="V128" i="8"/>
  <c r="U128" i="8"/>
  <c r="T128" i="8"/>
  <c r="P128" i="8"/>
  <c r="Z128" i="8" s="1"/>
  <c r="N128" i="8"/>
  <c r="M128" i="8"/>
  <c r="K128" i="8"/>
  <c r="J128" i="8"/>
  <c r="I128" i="8"/>
  <c r="H128" i="8"/>
  <c r="G128" i="8"/>
  <c r="F128" i="8"/>
  <c r="E128" i="8"/>
  <c r="AB127" i="8"/>
  <c r="Y127" i="8"/>
  <c r="X127" i="8"/>
  <c r="W127" i="8"/>
  <c r="V127" i="8"/>
  <c r="U127" i="8"/>
  <c r="T127" i="8"/>
  <c r="P127" i="8"/>
  <c r="AA127" i="8" s="1"/>
  <c r="N127" i="8"/>
  <c r="M127" i="8"/>
  <c r="K127" i="8"/>
  <c r="J127" i="8"/>
  <c r="I127" i="8"/>
  <c r="H127" i="8"/>
  <c r="G127" i="8"/>
  <c r="F127" i="8"/>
  <c r="E127" i="8"/>
  <c r="AB126" i="8"/>
  <c r="AA126" i="8"/>
  <c r="AC126" i="8" s="1"/>
  <c r="Y126" i="8"/>
  <c r="X126" i="8"/>
  <c r="W126" i="8"/>
  <c r="V126" i="8"/>
  <c r="U126" i="8"/>
  <c r="T126" i="8"/>
  <c r="P126" i="8"/>
  <c r="Z126" i="8" s="1"/>
  <c r="N126" i="8"/>
  <c r="M126" i="8"/>
  <c r="K126" i="8"/>
  <c r="J126" i="8"/>
  <c r="I126" i="8"/>
  <c r="H126" i="8"/>
  <c r="G126" i="8"/>
  <c r="F126" i="8"/>
  <c r="E126" i="8"/>
  <c r="AB125" i="8"/>
  <c r="Y125" i="8"/>
  <c r="X125" i="8"/>
  <c r="W125" i="8"/>
  <c r="V125" i="8"/>
  <c r="U125" i="8"/>
  <c r="T125" i="8"/>
  <c r="P125" i="8"/>
  <c r="AA125" i="8" s="1"/>
  <c r="N125" i="8"/>
  <c r="M125" i="8"/>
  <c r="K125" i="8"/>
  <c r="J125" i="8"/>
  <c r="I125" i="8"/>
  <c r="H125" i="8"/>
  <c r="G125" i="8"/>
  <c r="F125" i="8"/>
  <c r="E125" i="8"/>
  <c r="AB124" i="8"/>
  <c r="AA124" i="8"/>
  <c r="AC124" i="8" s="1"/>
  <c r="Y124" i="8"/>
  <c r="X124" i="8"/>
  <c r="W124" i="8"/>
  <c r="V124" i="8"/>
  <c r="U124" i="8"/>
  <c r="T124" i="8"/>
  <c r="P124" i="8"/>
  <c r="Z124" i="8" s="1"/>
  <c r="N124" i="8"/>
  <c r="M124" i="8"/>
  <c r="K124" i="8"/>
  <c r="J124" i="8"/>
  <c r="I124" i="8"/>
  <c r="H124" i="8"/>
  <c r="G124" i="8"/>
  <c r="F124" i="8"/>
  <c r="E124" i="8"/>
  <c r="AB123" i="8"/>
  <c r="Z123" i="8"/>
  <c r="Y123" i="8"/>
  <c r="X123" i="8"/>
  <c r="W123" i="8"/>
  <c r="V123" i="8"/>
  <c r="U123" i="8"/>
  <c r="T123" i="8"/>
  <c r="P123" i="8"/>
  <c r="N123" i="8"/>
  <c r="AA123" i="8" s="1"/>
  <c r="AC123" i="8" s="1"/>
  <c r="M123" i="8"/>
  <c r="K123" i="8"/>
  <c r="J123" i="8"/>
  <c r="I123" i="8"/>
  <c r="H123" i="8"/>
  <c r="G123" i="8"/>
  <c r="F123" i="8"/>
  <c r="E123" i="8"/>
  <c r="AB122" i="8"/>
  <c r="AA122" i="8"/>
  <c r="AC122" i="8" s="1"/>
  <c r="Y122" i="8"/>
  <c r="X122" i="8"/>
  <c r="W122" i="8"/>
  <c r="V122" i="8"/>
  <c r="U122" i="8"/>
  <c r="T122" i="8"/>
  <c r="P122" i="8"/>
  <c r="Z122" i="8" s="1"/>
  <c r="N122" i="8"/>
  <c r="M122" i="8"/>
  <c r="K122" i="8"/>
  <c r="J122" i="8"/>
  <c r="I122" i="8"/>
  <c r="H122" i="8"/>
  <c r="G122" i="8"/>
  <c r="F122" i="8"/>
  <c r="E122" i="8"/>
  <c r="AB121" i="8"/>
  <c r="Z121" i="8"/>
  <c r="Y121" i="8"/>
  <c r="X121" i="8"/>
  <c r="W121" i="8"/>
  <c r="V121" i="8"/>
  <c r="U121" i="8"/>
  <c r="T121" i="8"/>
  <c r="P121" i="8"/>
  <c r="N121" i="8"/>
  <c r="AA121" i="8" s="1"/>
  <c r="AC121" i="8" s="1"/>
  <c r="M121" i="8"/>
  <c r="K121" i="8"/>
  <c r="J121" i="8"/>
  <c r="I121" i="8"/>
  <c r="H121" i="8"/>
  <c r="G121" i="8"/>
  <c r="F121" i="8"/>
  <c r="E121" i="8"/>
  <c r="AB120" i="8"/>
  <c r="AA120" i="8"/>
  <c r="AC120" i="8" s="1"/>
  <c r="Y120" i="8"/>
  <c r="X120" i="8"/>
  <c r="W120" i="8"/>
  <c r="V120" i="8"/>
  <c r="U120" i="8"/>
  <c r="T120" i="8"/>
  <c r="P120" i="8"/>
  <c r="Z120" i="8" s="1"/>
  <c r="N120" i="8"/>
  <c r="M120" i="8"/>
  <c r="K120" i="8"/>
  <c r="J120" i="8"/>
  <c r="I120" i="8"/>
  <c r="H120" i="8"/>
  <c r="G120" i="8"/>
  <c r="F120" i="8"/>
  <c r="E120" i="8"/>
  <c r="AB119" i="8"/>
  <c r="Z119" i="8"/>
  <c r="Y119" i="8"/>
  <c r="X119" i="8"/>
  <c r="W119" i="8"/>
  <c r="V119" i="8"/>
  <c r="U119" i="8"/>
  <c r="T119" i="8"/>
  <c r="P119" i="8"/>
  <c r="N119" i="8"/>
  <c r="AA119" i="8" s="1"/>
  <c r="AC119" i="8" s="1"/>
  <c r="M119" i="8"/>
  <c r="K119" i="8"/>
  <c r="J119" i="8"/>
  <c r="I119" i="8"/>
  <c r="H119" i="8"/>
  <c r="G119" i="8"/>
  <c r="F119" i="8"/>
  <c r="E119" i="8"/>
  <c r="AB118" i="8"/>
  <c r="Y118" i="8"/>
  <c r="X118" i="8"/>
  <c r="W118" i="8"/>
  <c r="V118" i="8"/>
  <c r="U118" i="8"/>
  <c r="T118" i="8"/>
  <c r="P118" i="8"/>
  <c r="Z118" i="8" s="1"/>
  <c r="N118" i="8"/>
  <c r="M118" i="8"/>
  <c r="K118" i="8"/>
  <c r="J118" i="8"/>
  <c r="I118" i="8"/>
  <c r="H118" i="8"/>
  <c r="G118" i="8"/>
  <c r="F118" i="8"/>
  <c r="E118" i="8"/>
  <c r="AB117" i="8"/>
  <c r="Z117" i="8"/>
  <c r="Y117" i="8"/>
  <c r="X117" i="8"/>
  <c r="W117" i="8"/>
  <c r="V117" i="8"/>
  <c r="U117" i="8"/>
  <c r="T117" i="8"/>
  <c r="P117" i="8"/>
  <c r="N117" i="8"/>
  <c r="AA117" i="8" s="1"/>
  <c r="AC117" i="8" s="1"/>
  <c r="M117" i="8"/>
  <c r="K117" i="8"/>
  <c r="J117" i="8"/>
  <c r="I117" i="8"/>
  <c r="H117" i="8"/>
  <c r="G117" i="8"/>
  <c r="F117" i="8"/>
  <c r="E117" i="8"/>
  <c r="AB116" i="8"/>
  <c r="Y116" i="8"/>
  <c r="X116" i="8"/>
  <c r="W116" i="8"/>
  <c r="V116" i="8"/>
  <c r="U116" i="8"/>
  <c r="T116" i="8"/>
  <c r="P116" i="8"/>
  <c r="Z116" i="8" s="1"/>
  <c r="N116" i="8"/>
  <c r="M116" i="8"/>
  <c r="K116" i="8"/>
  <c r="J116" i="8"/>
  <c r="I116" i="8"/>
  <c r="H116" i="8"/>
  <c r="G116" i="8"/>
  <c r="F116" i="8"/>
  <c r="E116" i="8"/>
  <c r="AB115" i="8"/>
  <c r="Y115" i="8"/>
  <c r="X115" i="8"/>
  <c r="W115" i="8"/>
  <c r="V115" i="8"/>
  <c r="U115" i="8"/>
  <c r="T115" i="8"/>
  <c r="P115" i="8"/>
  <c r="Z115" i="8" s="1"/>
  <c r="N115" i="8"/>
  <c r="M115" i="8"/>
  <c r="K115" i="8"/>
  <c r="J115" i="8"/>
  <c r="I115" i="8"/>
  <c r="H115" i="8"/>
  <c r="G115" i="8"/>
  <c r="F115" i="8"/>
  <c r="E115" i="8"/>
  <c r="AB114" i="8"/>
  <c r="Y114" i="8"/>
  <c r="X114" i="8"/>
  <c r="W114" i="8"/>
  <c r="V114" i="8"/>
  <c r="U114" i="8"/>
  <c r="T114" i="8"/>
  <c r="P114" i="8"/>
  <c r="Z114" i="8" s="1"/>
  <c r="N114" i="8"/>
  <c r="M114" i="8"/>
  <c r="K114" i="8"/>
  <c r="J114" i="8"/>
  <c r="I114" i="8"/>
  <c r="H114" i="8"/>
  <c r="G114" i="8"/>
  <c r="F114" i="8"/>
  <c r="E114" i="8"/>
  <c r="AB113" i="8"/>
  <c r="Y113" i="8"/>
  <c r="X113" i="8"/>
  <c r="W113" i="8"/>
  <c r="V113" i="8"/>
  <c r="U113" i="8"/>
  <c r="T113" i="8"/>
  <c r="P113" i="8"/>
  <c r="AA113" i="8" s="1"/>
  <c r="N113" i="8"/>
  <c r="M113" i="8"/>
  <c r="K113" i="8"/>
  <c r="J113" i="8"/>
  <c r="I113" i="8"/>
  <c r="H113" i="8"/>
  <c r="G113" i="8"/>
  <c r="F113" i="8"/>
  <c r="E113" i="8"/>
  <c r="AB112" i="8"/>
  <c r="Y112" i="8"/>
  <c r="X112" i="8"/>
  <c r="W112" i="8"/>
  <c r="V112" i="8"/>
  <c r="U112" i="8"/>
  <c r="T112" i="8"/>
  <c r="P112" i="8"/>
  <c r="Z112" i="8" s="1"/>
  <c r="N112" i="8"/>
  <c r="M112" i="8"/>
  <c r="K112" i="8"/>
  <c r="J112" i="8"/>
  <c r="I112" i="8"/>
  <c r="H112" i="8"/>
  <c r="G112" i="8"/>
  <c r="F112" i="8"/>
  <c r="E112" i="8"/>
  <c r="AB111" i="8"/>
  <c r="Y111" i="8"/>
  <c r="X111" i="8"/>
  <c r="W111" i="8"/>
  <c r="V111" i="8"/>
  <c r="U111" i="8"/>
  <c r="T111" i="8"/>
  <c r="P111" i="8"/>
  <c r="AA111" i="8" s="1"/>
  <c r="N111" i="8"/>
  <c r="M111" i="8"/>
  <c r="K111" i="8"/>
  <c r="J111" i="8"/>
  <c r="I111" i="8"/>
  <c r="H111" i="8"/>
  <c r="G111" i="8"/>
  <c r="F111" i="8"/>
  <c r="E111" i="8"/>
  <c r="AB110" i="8"/>
  <c r="AA110" i="8"/>
  <c r="AC110" i="8" s="1"/>
  <c r="Y110" i="8"/>
  <c r="X110" i="8"/>
  <c r="W110" i="8"/>
  <c r="V110" i="8"/>
  <c r="U110" i="8"/>
  <c r="T110" i="8"/>
  <c r="P110" i="8"/>
  <c r="Z110" i="8" s="1"/>
  <c r="N110" i="8"/>
  <c r="M110" i="8"/>
  <c r="K110" i="8"/>
  <c r="J110" i="8"/>
  <c r="I110" i="8"/>
  <c r="H110" i="8"/>
  <c r="G110" i="8"/>
  <c r="F110" i="8"/>
  <c r="E110" i="8"/>
  <c r="AB109" i="8"/>
  <c r="Y109" i="8"/>
  <c r="X109" i="8"/>
  <c r="W109" i="8"/>
  <c r="V109" i="8"/>
  <c r="U109" i="8"/>
  <c r="T109" i="8"/>
  <c r="P109" i="8"/>
  <c r="AA109" i="8" s="1"/>
  <c r="N109" i="8"/>
  <c r="M109" i="8"/>
  <c r="K109" i="8"/>
  <c r="J109" i="8"/>
  <c r="I109" i="8"/>
  <c r="H109" i="8"/>
  <c r="G109" i="8"/>
  <c r="F109" i="8"/>
  <c r="E109" i="8"/>
  <c r="AB108" i="8"/>
  <c r="AA108" i="8"/>
  <c r="AC108" i="8" s="1"/>
  <c r="Y108" i="8"/>
  <c r="X108" i="8"/>
  <c r="W108" i="8"/>
  <c r="V108" i="8"/>
  <c r="U108" i="8"/>
  <c r="T108" i="8"/>
  <c r="P108" i="8"/>
  <c r="Z108" i="8" s="1"/>
  <c r="N108" i="8"/>
  <c r="M108" i="8"/>
  <c r="K108" i="8"/>
  <c r="J108" i="8"/>
  <c r="I108" i="8"/>
  <c r="H108" i="8"/>
  <c r="G108" i="8"/>
  <c r="F108" i="8"/>
  <c r="E108" i="8"/>
  <c r="AB107" i="8"/>
  <c r="Z107" i="8"/>
  <c r="Y107" i="8"/>
  <c r="X107" i="8"/>
  <c r="W107" i="8"/>
  <c r="V107" i="8"/>
  <c r="U107" i="8"/>
  <c r="T107" i="8"/>
  <c r="P107" i="8"/>
  <c r="N107" i="8"/>
  <c r="AA107" i="8" s="1"/>
  <c r="AC107" i="8" s="1"/>
  <c r="M107" i="8"/>
  <c r="K107" i="8"/>
  <c r="J107" i="8"/>
  <c r="I107" i="8"/>
  <c r="H107" i="8"/>
  <c r="G107" i="8"/>
  <c r="F107" i="8"/>
  <c r="E107" i="8"/>
  <c r="AB106" i="8"/>
  <c r="AA106" i="8"/>
  <c r="AC106" i="8" s="1"/>
  <c r="Y106" i="8"/>
  <c r="X106" i="8"/>
  <c r="W106" i="8"/>
  <c r="V106" i="8"/>
  <c r="U106" i="8"/>
  <c r="T106" i="8"/>
  <c r="P106" i="8"/>
  <c r="Z106" i="8" s="1"/>
  <c r="N106" i="8"/>
  <c r="M106" i="8"/>
  <c r="K106" i="8"/>
  <c r="J106" i="8"/>
  <c r="I106" i="8"/>
  <c r="H106" i="8"/>
  <c r="G106" i="8"/>
  <c r="F106" i="8"/>
  <c r="E106" i="8"/>
  <c r="AB105" i="8"/>
  <c r="Z105" i="8"/>
  <c r="Y105" i="8"/>
  <c r="X105" i="8"/>
  <c r="W105" i="8"/>
  <c r="V105" i="8"/>
  <c r="U105" i="8"/>
  <c r="T105" i="8"/>
  <c r="P105" i="8"/>
  <c r="N105" i="8"/>
  <c r="AA105" i="8" s="1"/>
  <c r="AC105" i="8" s="1"/>
  <c r="M105" i="8"/>
  <c r="K105" i="8"/>
  <c r="J105" i="8"/>
  <c r="I105" i="8"/>
  <c r="H105" i="8"/>
  <c r="G105" i="8"/>
  <c r="F105" i="8"/>
  <c r="E105" i="8"/>
  <c r="AB104" i="8"/>
  <c r="AA104" i="8"/>
  <c r="AC104" i="8" s="1"/>
  <c r="Y104" i="8"/>
  <c r="X104" i="8"/>
  <c r="W104" i="8"/>
  <c r="V104" i="8"/>
  <c r="U104" i="8"/>
  <c r="T104" i="8"/>
  <c r="P104" i="8"/>
  <c r="Z104" i="8" s="1"/>
  <c r="N104" i="8"/>
  <c r="M104" i="8"/>
  <c r="K104" i="8"/>
  <c r="J104" i="8"/>
  <c r="I104" i="8"/>
  <c r="H104" i="8"/>
  <c r="G104" i="8"/>
  <c r="F104" i="8"/>
  <c r="E104" i="8"/>
  <c r="AB103" i="8"/>
  <c r="Z103" i="8"/>
  <c r="Y103" i="8"/>
  <c r="X103" i="8"/>
  <c r="W103" i="8"/>
  <c r="V103" i="8"/>
  <c r="U103" i="8"/>
  <c r="T103" i="8"/>
  <c r="P103" i="8"/>
  <c r="N103" i="8"/>
  <c r="AA103" i="8" s="1"/>
  <c r="AC103" i="8" s="1"/>
  <c r="M103" i="8"/>
  <c r="K103" i="8"/>
  <c r="J103" i="8"/>
  <c r="I103" i="8"/>
  <c r="H103" i="8"/>
  <c r="G103" i="8"/>
  <c r="F103" i="8"/>
  <c r="E103" i="8"/>
  <c r="AB102" i="8"/>
  <c r="Y102" i="8"/>
  <c r="X102" i="8"/>
  <c r="W102" i="8"/>
  <c r="V102" i="8"/>
  <c r="U102" i="8"/>
  <c r="T102" i="8"/>
  <c r="P102" i="8"/>
  <c r="Z102" i="8" s="1"/>
  <c r="N102" i="8"/>
  <c r="M102" i="8"/>
  <c r="K102" i="8"/>
  <c r="J102" i="8"/>
  <c r="I102" i="8"/>
  <c r="H102" i="8"/>
  <c r="G102" i="8"/>
  <c r="F102" i="8"/>
  <c r="E102" i="8"/>
  <c r="AB101" i="8"/>
  <c r="Z101" i="8"/>
  <c r="Y101" i="8"/>
  <c r="X101" i="8"/>
  <c r="W101" i="8"/>
  <c r="V101" i="8"/>
  <c r="U101" i="8"/>
  <c r="T101" i="8"/>
  <c r="P101" i="8"/>
  <c r="N101" i="8"/>
  <c r="AA101" i="8" s="1"/>
  <c r="AC101" i="8" s="1"/>
  <c r="M101" i="8"/>
  <c r="K101" i="8"/>
  <c r="J101" i="8"/>
  <c r="I101" i="8"/>
  <c r="H101" i="8"/>
  <c r="G101" i="8"/>
  <c r="F101" i="8"/>
  <c r="E101" i="8"/>
  <c r="AB100" i="8"/>
  <c r="Y100" i="8"/>
  <c r="X100" i="8"/>
  <c r="W100" i="8"/>
  <c r="V100" i="8"/>
  <c r="U100" i="8"/>
  <c r="T100" i="8"/>
  <c r="P100" i="8"/>
  <c r="Z100" i="8" s="1"/>
  <c r="N100" i="8"/>
  <c r="M100" i="8"/>
  <c r="K100" i="8"/>
  <c r="J100" i="8"/>
  <c r="I100" i="8"/>
  <c r="H100" i="8"/>
  <c r="G100" i="8"/>
  <c r="F100" i="8"/>
  <c r="E100" i="8"/>
  <c r="AB99" i="8"/>
  <c r="Y99" i="8"/>
  <c r="X99" i="8"/>
  <c r="W99" i="8"/>
  <c r="V99" i="8"/>
  <c r="U99" i="8"/>
  <c r="T99" i="8"/>
  <c r="P99" i="8"/>
  <c r="Z99" i="8" s="1"/>
  <c r="N99" i="8"/>
  <c r="M99" i="8"/>
  <c r="K99" i="8"/>
  <c r="J99" i="8"/>
  <c r="I99" i="8"/>
  <c r="H99" i="8"/>
  <c r="G99" i="8"/>
  <c r="F99" i="8"/>
  <c r="E99" i="8"/>
  <c r="AB98" i="8"/>
  <c r="Y98" i="8"/>
  <c r="X98" i="8"/>
  <c r="W98" i="8"/>
  <c r="V98" i="8"/>
  <c r="U98" i="8"/>
  <c r="T98" i="8"/>
  <c r="P98" i="8"/>
  <c r="Z98" i="8" s="1"/>
  <c r="N98" i="8"/>
  <c r="M98" i="8"/>
  <c r="K98" i="8"/>
  <c r="J98" i="8"/>
  <c r="I98" i="8"/>
  <c r="H98" i="8"/>
  <c r="G98" i="8"/>
  <c r="F98" i="8"/>
  <c r="E98" i="8"/>
  <c r="AB97" i="8"/>
  <c r="Y97" i="8"/>
  <c r="X97" i="8"/>
  <c r="W97" i="8"/>
  <c r="V97" i="8"/>
  <c r="U97" i="8"/>
  <c r="T97" i="8"/>
  <c r="P97" i="8"/>
  <c r="AA97" i="8" s="1"/>
  <c r="N97" i="8"/>
  <c r="M97" i="8"/>
  <c r="K97" i="8"/>
  <c r="J97" i="8"/>
  <c r="I97" i="8"/>
  <c r="H97" i="8"/>
  <c r="G97" i="8"/>
  <c r="F97" i="8"/>
  <c r="E97" i="8"/>
  <c r="AB96" i="8"/>
  <c r="Y96" i="8"/>
  <c r="X96" i="8"/>
  <c r="W96" i="8"/>
  <c r="V96" i="8"/>
  <c r="U96" i="8"/>
  <c r="T96" i="8"/>
  <c r="P96" i="8"/>
  <c r="Z96" i="8" s="1"/>
  <c r="N96" i="8"/>
  <c r="M96" i="8"/>
  <c r="K96" i="8"/>
  <c r="J96" i="8"/>
  <c r="I96" i="8"/>
  <c r="H96" i="8"/>
  <c r="G96" i="8"/>
  <c r="F96" i="8"/>
  <c r="E96" i="8"/>
  <c r="AB95" i="8"/>
  <c r="Y95" i="8"/>
  <c r="X95" i="8"/>
  <c r="W95" i="8"/>
  <c r="V95" i="8"/>
  <c r="U95" i="8"/>
  <c r="T95" i="8"/>
  <c r="P95" i="8"/>
  <c r="AA95" i="8" s="1"/>
  <c r="N95" i="8"/>
  <c r="M95" i="8"/>
  <c r="K95" i="8"/>
  <c r="J95" i="8"/>
  <c r="I95" i="8"/>
  <c r="H95" i="8"/>
  <c r="G95" i="8"/>
  <c r="F95" i="8"/>
  <c r="E95" i="8"/>
  <c r="AB94" i="8"/>
  <c r="Y94" i="8"/>
  <c r="X94" i="8"/>
  <c r="W94" i="8"/>
  <c r="V94" i="8"/>
  <c r="U94" i="8"/>
  <c r="T94" i="8"/>
  <c r="P94" i="8"/>
  <c r="Z94" i="8" s="1"/>
  <c r="N94" i="8"/>
  <c r="AA94" i="8" s="1"/>
  <c r="AC94" i="8" s="1"/>
  <c r="M94" i="8"/>
  <c r="K94" i="8"/>
  <c r="J94" i="8"/>
  <c r="I94" i="8"/>
  <c r="H94" i="8"/>
  <c r="G94" i="8"/>
  <c r="F94" i="8"/>
  <c r="E94" i="8"/>
  <c r="AB93" i="8"/>
  <c r="Y93" i="8"/>
  <c r="X93" i="8"/>
  <c r="W93" i="8"/>
  <c r="V93" i="8"/>
  <c r="U93" i="8"/>
  <c r="T93" i="8"/>
  <c r="P93" i="8"/>
  <c r="AA93" i="8" s="1"/>
  <c r="N93" i="8"/>
  <c r="M93" i="8"/>
  <c r="K93" i="8"/>
  <c r="J93" i="8"/>
  <c r="I93" i="8"/>
  <c r="H93" i="8"/>
  <c r="G93" i="8"/>
  <c r="F93" i="8"/>
  <c r="E93" i="8"/>
  <c r="AB92" i="8"/>
  <c r="Y92" i="8"/>
  <c r="X92" i="8"/>
  <c r="W92" i="8"/>
  <c r="V92" i="8"/>
  <c r="U92" i="8"/>
  <c r="T92" i="8"/>
  <c r="P92" i="8"/>
  <c r="AA92" i="8" s="1"/>
  <c r="N92" i="8"/>
  <c r="M92" i="8"/>
  <c r="K92" i="8"/>
  <c r="J92" i="8"/>
  <c r="I92" i="8"/>
  <c r="H92" i="8"/>
  <c r="G92" i="8"/>
  <c r="F92" i="8"/>
  <c r="E92" i="8"/>
  <c r="AB91" i="8"/>
  <c r="Y91" i="8"/>
  <c r="X91" i="8"/>
  <c r="W91" i="8"/>
  <c r="V91" i="8"/>
  <c r="U91" i="8"/>
  <c r="T91" i="8"/>
  <c r="P91" i="8"/>
  <c r="AA91" i="8" s="1"/>
  <c r="N91" i="8"/>
  <c r="M91" i="8"/>
  <c r="K91" i="8"/>
  <c r="J91" i="8"/>
  <c r="I91" i="8"/>
  <c r="H91" i="8"/>
  <c r="G91" i="8"/>
  <c r="F91" i="8"/>
  <c r="E91" i="8"/>
  <c r="AB90" i="8"/>
  <c r="Z90" i="8"/>
  <c r="Y90" i="8"/>
  <c r="X90" i="8"/>
  <c r="W90" i="8"/>
  <c r="V90" i="8"/>
  <c r="U90" i="8"/>
  <c r="T90" i="8"/>
  <c r="P90" i="8"/>
  <c r="N90" i="8"/>
  <c r="AA90" i="8" s="1"/>
  <c r="AC90" i="8" s="1"/>
  <c r="M90" i="8"/>
  <c r="K90" i="8"/>
  <c r="J90" i="8"/>
  <c r="I90" i="8"/>
  <c r="H90" i="8"/>
  <c r="G90" i="8"/>
  <c r="F90" i="8"/>
  <c r="E90" i="8"/>
  <c r="AB89" i="8"/>
  <c r="Z89" i="8"/>
  <c r="Y89" i="8"/>
  <c r="X89" i="8"/>
  <c r="W89" i="8"/>
  <c r="V89" i="8"/>
  <c r="U89" i="8"/>
  <c r="T89" i="8"/>
  <c r="P89" i="8"/>
  <c r="N89" i="8"/>
  <c r="AA89" i="8" s="1"/>
  <c r="AC89" i="8" s="1"/>
  <c r="M89" i="8"/>
  <c r="K89" i="8"/>
  <c r="J89" i="8"/>
  <c r="I89" i="8"/>
  <c r="H89" i="8"/>
  <c r="G89" i="8"/>
  <c r="F89" i="8"/>
  <c r="E89" i="8"/>
  <c r="AB88" i="8"/>
  <c r="Y88" i="8"/>
  <c r="X88" i="8"/>
  <c r="W88" i="8"/>
  <c r="V88" i="8"/>
  <c r="U88" i="8"/>
  <c r="T88" i="8"/>
  <c r="P88" i="8"/>
  <c r="Z88" i="8" s="1"/>
  <c r="N88" i="8"/>
  <c r="M88" i="8"/>
  <c r="K88" i="8"/>
  <c r="J88" i="8"/>
  <c r="I88" i="8"/>
  <c r="H88" i="8"/>
  <c r="G88" i="8"/>
  <c r="F88" i="8"/>
  <c r="E88" i="8"/>
  <c r="AB87" i="8"/>
  <c r="Z87" i="8"/>
  <c r="Y87" i="8"/>
  <c r="X87" i="8"/>
  <c r="W87" i="8"/>
  <c r="V87" i="8"/>
  <c r="U87" i="8"/>
  <c r="T87" i="8"/>
  <c r="P87" i="8"/>
  <c r="N87" i="8"/>
  <c r="AA87" i="8" s="1"/>
  <c r="AC87" i="8" s="1"/>
  <c r="M87" i="8"/>
  <c r="K87" i="8"/>
  <c r="J87" i="8"/>
  <c r="I87" i="8"/>
  <c r="H87" i="8"/>
  <c r="G87" i="8"/>
  <c r="F87" i="8"/>
  <c r="E87" i="8"/>
  <c r="AB86" i="8"/>
  <c r="Y86" i="8"/>
  <c r="X86" i="8"/>
  <c r="W86" i="8"/>
  <c r="V86" i="8"/>
  <c r="U86" i="8"/>
  <c r="T86" i="8"/>
  <c r="P86" i="8"/>
  <c r="AA86" i="8" s="1"/>
  <c r="N86" i="8"/>
  <c r="M86" i="8"/>
  <c r="K86" i="8"/>
  <c r="J86" i="8"/>
  <c r="I86" i="8"/>
  <c r="H86" i="8"/>
  <c r="G86" i="8"/>
  <c r="F86" i="8"/>
  <c r="E86" i="8"/>
  <c r="AB85" i="8"/>
  <c r="Y85" i="8"/>
  <c r="X85" i="8"/>
  <c r="W85" i="8"/>
  <c r="V85" i="8"/>
  <c r="U85" i="8"/>
  <c r="T85" i="8"/>
  <c r="P85" i="8"/>
  <c r="AA85" i="8" s="1"/>
  <c r="N85" i="8"/>
  <c r="M85" i="8"/>
  <c r="K85" i="8"/>
  <c r="J85" i="8"/>
  <c r="I85" i="8"/>
  <c r="H85" i="8"/>
  <c r="G85" i="8"/>
  <c r="F85" i="8"/>
  <c r="E85" i="8"/>
  <c r="AB84" i="8"/>
  <c r="Z84" i="8"/>
  <c r="Y84" i="8"/>
  <c r="X84" i="8"/>
  <c r="W84" i="8"/>
  <c r="V84" i="8"/>
  <c r="U84" i="8"/>
  <c r="T84" i="8"/>
  <c r="P84" i="8"/>
  <c r="N84" i="8"/>
  <c r="AA84" i="8" s="1"/>
  <c r="AC84" i="8" s="1"/>
  <c r="M84" i="8"/>
  <c r="K84" i="8"/>
  <c r="J84" i="8"/>
  <c r="I84" i="8"/>
  <c r="H84" i="8"/>
  <c r="G84" i="8"/>
  <c r="F84" i="8"/>
  <c r="E84" i="8"/>
  <c r="AB83" i="8"/>
  <c r="Z83" i="8"/>
  <c r="Y83" i="8"/>
  <c r="X83" i="8"/>
  <c r="W83" i="8"/>
  <c r="V83" i="8"/>
  <c r="U83" i="8"/>
  <c r="T83" i="8"/>
  <c r="P83" i="8"/>
  <c r="N83" i="8"/>
  <c r="AA83" i="8" s="1"/>
  <c r="AC83" i="8" s="1"/>
  <c r="M83" i="8"/>
  <c r="K83" i="8"/>
  <c r="J83" i="8"/>
  <c r="I83" i="8"/>
  <c r="H83" i="8"/>
  <c r="G83" i="8"/>
  <c r="F83" i="8"/>
  <c r="E83" i="8"/>
  <c r="AB82" i="8"/>
  <c r="Y82" i="8"/>
  <c r="X82" i="8"/>
  <c r="W82" i="8"/>
  <c r="V82" i="8"/>
  <c r="U82" i="8"/>
  <c r="T82" i="8"/>
  <c r="P82" i="8"/>
  <c r="AA82" i="8" s="1"/>
  <c r="N82" i="8"/>
  <c r="M82" i="8"/>
  <c r="K82" i="8"/>
  <c r="J82" i="8"/>
  <c r="I82" i="8"/>
  <c r="H82" i="8"/>
  <c r="G82" i="8"/>
  <c r="F82" i="8"/>
  <c r="E82" i="8"/>
  <c r="AB81" i="8"/>
  <c r="Y81" i="8"/>
  <c r="X81" i="8"/>
  <c r="W81" i="8"/>
  <c r="V81" i="8"/>
  <c r="U81" i="8"/>
  <c r="T81" i="8"/>
  <c r="P81" i="8"/>
  <c r="Z81" i="8" s="1"/>
  <c r="N81" i="8"/>
  <c r="M81" i="8"/>
  <c r="K81" i="8"/>
  <c r="J81" i="8"/>
  <c r="I81" i="8"/>
  <c r="H81" i="8"/>
  <c r="G81" i="8"/>
  <c r="F81" i="8"/>
  <c r="E81" i="8"/>
  <c r="AB80" i="8"/>
  <c r="Z80" i="8"/>
  <c r="Y80" i="8"/>
  <c r="X80" i="8"/>
  <c r="W80" i="8"/>
  <c r="V80" i="8"/>
  <c r="U80" i="8"/>
  <c r="T80" i="8"/>
  <c r="P80" i="8"/>
  <c r="N80" i="8"/>
  <c r="AA80" i="8" s="1"/>
  <c r="AC80" i="8" s="1"/>
  <c r="M80" i="8"/>
  <c r="K80" i="8"/>
  <c r="J80" i="8"/>
  <c r="I80" i="8"/>
  <c r="H80" i="8"/>
  <c r="G80" i="8"/>
  <c r="F80" i="8"/>
  <c r="E80" i="8"/>
  <c r="AB79" i="8"/>
  <c r="AA79" i="8"/>
  <c r="Y79" i="8"/>
  <c r="X79" i="8"/>
  <c r="W79" i="8"/>
  <c r="V79" i="8"/>
  <c r="U79" i="8"/>
  <c r="T79" i="8"/>
  <c r="P79" i="8"/>
  <c r="Z79" i="8" s="1"/>
  <c r="N79" i="8"/>
  <c r="M79" i="8"/>
  <c r="K79" i="8"/>
  <c r="J79" i="8"/>
  <c r="I79" i="8"/>
  <c r="H79" i="8"/>
  <c r="G79" i="8"/>
  <c r="F79" i="8"/>
  <c r="E79" i="8"/>
  <c r="AB78" i="8"/>
  <c r="Z78" i="8"/>
  <c r="Y78" i="8"/>
  <c r="X78" i="8"/>
  <c r="W78" i="8"/>
  <c r="V78" i="8"/>
  <c r="U78" i="8"/>
  <c r="T78" i="8"/>
  <c r="P78" i="8"/>
  <c r="N78" i="8"/>
  <c r="AA78" i="8" s="1"/>
  <c r="AC78" i="8" s="1"/>
  <c r="M78" i="8"/>
  <c r="K78" i="8"/>
  <c r="J78" i="8"/>
  <c r="I78" i="8"/>
  <c r="H78" i="8"/>
  <c r="G78" i="8"/>
  <c r="F78" i="8"/>
  <c r="E78" i="8"/>
  <c r="AB77" i="8"/>
  <c r="Z77" i="8"/>
  <c r="Y77" i="8"/>
  <c r="X77" i="8"/>
  <c r="W77" i="8"/>
  <c r="V77" i="8"/>
  <c r="U77" i="8"/>
  <c r="T77" i="8"/>
  <c r="P77" i="8"/>
  <c r="N77" i="8"/>
  <c r="AA77" i="8" s="1"/>
  <c r="AC77" i="8" s="1"/>
  <c r="M77" i="8"/>
  <c r="K77" i="8"/>
  <c r="J77" i="8"/>
  <c r="I77" i="8"/>
  <c r="H77" i="8"/>
  <c r="G77" i="8"/>
  <c r="F77" i="8"/>
  <c r="E77" i="8"/>
  <c r="AB76" i="8"/>
  <c r="Y76" i="8"/>
  <c r="X76" i="8"/>
  <c r="W76" i="8"/>
  <c r="V76" i="8"/>
  <c r="U76" i="8"/>
  <c r="T76" i="8"/>
  <c r="P76" i="8"/>
  <c r="AA76" i="8" s="1"/>
  <c r="N76" i="8"/>
  <c r="M76" i="8"/>
  <c r="K76" i="8"/>
  <c r="J76" i="8"/>
  <c r="I76" i="8"/>
  <c r="H76" i="8"/>
  <c r="G76" i="8"/>
  <c r="F76" i="8"/>
  <c r="E76" i="8"/>
  <c r="AB75" i="8"/>
  <c r="Z75" i="8"/>
  <c r="Y75" i="8"/>
  <c r="X75" i="8"/>
  <c r="W75" i="8"/>
  <c r="V75" i="8"/>
  <c r="U75" i="8"/>
  <c r="T75" i="8"/>
  <c r="P75" i="8"/>
  <c r="N75" i="8"/>
  <c r="AA75" i="8" s="1"/>
  <c r="AC75" i="8" s="1"/>
  <c r="M75" i="8"/>
  <c r="K75" i="8"/>
  <c r="J75" i="8"/>
  <c r="I75" i="8"/>
  <c r="H75" i="8"/>
  <c r="G75" i="8"/>
  <c r="F75" i="8"/>
  <c r="E75" i="8"/>
  <c r="AB74" i="8"/>
  <c r="Y74" i="8"/>
  <c r="X74" i="8"/>
  <c r="W74" i="8"/>
  <c r="V74" i="8"/>
  <c r="U74" i="8"/>
  <c r="T74" i="8"/>
  <c r="P74" i="8"/>
  <c r="AA74" i="8" s="1"/>
  <c r="AC74" i="8" s="1"/>
  <c r="N74" i="8"/>
  <c r="M74" i="8"/>
  <c r="K74" i="8"/>
  <c r="J74" i="8"/>
  <c r="I74" i="8"/>
  <c r="H74" i="8"/>
  <c r="G74" i="8"/>
  <c r="F74" i="8"/>
  <c r="E74" i="8"/>
  <c r="AB73" i="8"/>
  <c r="Z73" i="8"/>
  <c r="Y73" i="8"/>
  <c r="X73" i="8"/>
  <c r="W73" i="8"/>
  <c r="V73" i="8"/>
  <c r="U73" i="8"/>
  <c r="T73" i="8"/>
  <c r="P73" i="8"/>
  <c r="N73" i="8"/>
  <c r="AA73" i="8" s="1"/>
  <c r="AC73" i="8" s="1"/>
  <c r="M73" i="8"/>
  <c r="K73" i="8"/>
  <c r="J73" i="8"/>
  <c r="I73" i="8"/>
  <c r="H73" i="8"/>
  <c r="G73" i="8"/>
  <c r="F73" i="8"/>
  <c r="E73" i="8"/>
  <c r="AB72" i="8"/>
  <c r="Y72" i="8"/>
  <c r="X72" i="8"/>
  <c r="W72" i="8"/>
  <c r="V72" i="8"/>
  <c r="U72" i="8"/>
  <c r="T72" i="8"/>
  <c r="P72" i="8"/>
  <c r="AA72" i="8" s="1"/>
  <c r="N72" i="8"/>
  <c r="M72" i="8"/>
  <c r="K72" i="8"/>
  <c r="J72" i="8"/>
  <c r="I72" i="8"/>
  <c r="H72" i="8"/>
  <c r="G72" i="8"/>
  <c r="F72" i="8"/>
  <c r="E72" i="8"/>
  <c r="AB71" i="8"/>
  <c r="Z71" i="8"/>
  <c r="Y71" i="8"/>
  <c r="X71" i="8"/>
  <c r="W71" i="8"/>
  <c r="V71" i="8"/>
  <c r="U71" i="8"/>
  <c r="T71" i="8"/>
  <c r="P71" i="8"/>
  <c r="N71" i="8"/>
  <c r="AA71" i="8" s="1"/>
  <c r="AC71" i="8" s="1"/>
  <c r="M71" i="8"/>
  <c r="K71" i="8"/>
  <c r="J71" i="8"/>
  <c r="I71" i="8"/>
  <c r="H71" i="8"/>
  <c r="G71" i="8"/>
  <c r="F71" i="8"/>
  <c r="E71" i="8"/>
  <c r="AB70" i="8"/>
  <c r="Y70" i="8"/>
  <c r="X70" i="8"/>
  <c r="W70" i="8"/>
  <c r="V70" i="8"/>
  <c r="U70" i="8"/>
  <c r="T70" i="8"/>
  <c r="P70" i="8"/>
  <c r="AA70" i="8" s="1"/>
  <c r="N70" i="8"/>
  <c r="M70" i="8"/>
  <c r="K70" i="8"/>
  <c r="J70" i="8"/>
  <c r="I70" i="8"/>
  <c r="H70" i="8"/>
  <c r="G70" i="8"/>
  <c r="F70" i="8"/>
  <c r="E70" i="8"/>
  <c r="AB69" i="8"/>
  <c r="Z69" i="8"/>
  <c r="Y69" i="8"/>
  <c r="X69" i="8"/>
  <c r="W69" i="8"/>
  <c r="V69" i="8"/>
  <c r="U69" i="8"/>
  <c r="T69" i="8"/>
  <c r="P69" i="8"/>
  <c r="N69" i="8"/>
  <c r="AA69" i="8" s="1"/>
  <c r="AC69" i="8" s="1"/>
  <c r="M69" i="8"/>
  <c r="K69" i="8"/>
  <c r="J69" i="8"/>
  <c r="I69" i="8"/>
  <c r="H69" i="8"/>
  <c r="G69" i="8"/>
  <c r="F69" i="8"/>
  <c r="E69" i="8"/>
  <c r="AB68" i="8"/>
  <c r="Y68" i="8"/>
  <c r="X68" i="8"/>
  <c r="W68" i="8"/>
  <c r="V68" i="8"/>
  <c r="U68" i="8"/>
  <c r="T68" i="8"/>
  <c r="P68" i="8"/>
  <c r="AA68" i="8" s="1"/>
  <c r="N68" i="8"/>
  <c r="M68" i="8"/>
  <c r="K68" i="8"/>
  <c r="J68" i="8"/>
  <c r="I68" i="8"/>
  <c r="H68" i="8"/>
  <c r="G68" i="8"/>
  <c r="F68" i="8"/>
  <c r="E68" i="8"/>
  <c r="AB67" i="8"/>
  <c r="Z67" i="8"/>
  <c r="Y67" i="8"/>
  <c r="X67" i="8"/>
  <c r="W67" i="8"/>
  <c r="V67" i="8"/>
  <c r="U67" i="8"/>
  <c r="T67" i="8"/>
  <c r="P67" i="8"/>
  <c r="N67" i="8"/>
  <c r="AA67" i="8" s="1"/>
  <c r="AC67" i="8" s="1"/>
  <c r="M67" i="8"/>
  <c r="K67" i="8"/>
  <c r="J67" i="8"/>
  <c r="I67" i="8"/>
  <c r="H67" i="8"/>
  <c r="G67" i="8"/>
  <c r="F67" i="8"/>
  <c r="E67" i="8"/>
  <c r="AB66" i="8"/>
  <c r="Y66" i="8"/>
  <c r="X66" i="8"/>
  <c r="W66" i="8"/>
  <c r="V66" i="8"/>
  <c r="U66" i="8"/>
  <c r="T66" i="8"/>
  <c r="P66" i="8"/>
  <c r="AA66" i="8" s="1"/>
  <c r="N66" i="8"/>
  <c r="M66" i="8"/>
  <c r="K66" i="8"/>
  <c r="J66" i="8"/>
  <c r="I66" i="8"/>
  <c r="H66" i="8"/>
  <c r="G66" i="8"/>
  <c r="F66" i="8"/>
  <c r="E66" i="8"/>
  <c r="AB65" i="8"/>
  <c r="Z65" i="8"/>
  <c r="Y65" i="8"/>
  <c r="X65" i="8"/>
  <c r="W65" i="8"/>
  <c r="V65" i="8"/>
  <c r="U65" i="8"/>
  <c r="T65" i="8"/>
  <c r="P65" i="8"/>
  <c r="N65" i="8"/>
  <c r="AA65" i="8" s="1"/>
  <c r="AC65" i="8" s="1"/>
  <c r="M65" i="8"/>
  <c r="K65" i="8"/>
  <c r="J65" i="8"/>
  <c r="I65" i="8"/>
  <c r="H65" i="8"/>
  <c r="G65" i="8"/>
  <c r="F65" i="8"/>
  <c r="E65" i="8"/>
  <c r="AB64" i="8"/>
  <c r="Y64" i="8"/>
  <c r="X64" i="8"/>
  <c r="W64" i="8"/>
  <c r="V64" i="8"/>
  <c r="U64" i="8"/>
  <c r="T64" i="8"/>
  <c r="P64" i="8"/>
  <c r="AA64" i="8" s="1"/>
  <c r="AC64" i="8" s="1"/>
  <c r="N64" i="8"/>
  <c r="M64" i="8"/>
  <c r="K64" i="8"/>
  <c r="J64" i="8"/>
  <c r="I64" i="8"/>
  <c r="H64" i="8"/>
  <c r="G64" i="8"/>
  <c r="F64" i="8"/>
  <c r="E64" i="8"/>
  <c r="AB63" i="8"/>
  <c r="Z63" i="8"/>
  <c r="Y63" i="8"/>
  <c r="X63" i="8"/>
  <c r="W63" i="8"/>
  <c r="V63" i="8"/>
  <c r="U63" i="8"/>
  <c r="T63" i="8"/>
  <c r="P63" i="8"/>
  <c r="N63" i="8"/>
  <c r="AA63" i="8" s="1"/>
  <c r="AC63" i="8" s="1"/>
  <c r="M63" i="8"/>
  <c r="K63" i="8"/>
  <c r="J63" i="8"/>
  <c r="I63" i="8"/>
  <c r="H63" i="8"/>
  <c r="G63" i="8"/>
  <c r="F63" i="8"/>
  <c r="E63" i="8"/>
  <c r="AB62" i="8"/>
  <c r="Y62" i="8"/>
  <c r="X62" i="8"/>
  <c r="W62" i="8"/>
  <c r="V62" i="8"/>
  <c r="U62" i="8"/>
  <c r="T62" i="8"/>
  <c r="P62" i="8"/>
  <c r="AA62" i="8" s="1"/>
  <c r="N62" i="8"/>
  <c r="M62" i="8"/>
  <c r="K62" i="8"/>
  <c r="J62" i="8"/>
  <c r="I62" i="8"/>
  <c r="H62" i="8"/>
  <c r="G62" i="8"/>
  <c r="F62" i="8"/>
  <c r="E62" i="8"/>
  <c r="AB61" i="8"/>
  <c r="Z61" i="8"/>
  <c r="Y61" i="8"/>
  <c r="X61" i="8"/>
  <c r="W61" i="8"/>
  <c r="V61" i="8"/>
  <c r="U61" i="8"/>
  <c r="T61" i="8"/>
  <c r="P61" i="8"/>
  <c r="N61" i="8"/>
  <c r="AA61" i="8" s="1"/>
  <c r="AC61" i="8" s="1"/>
  <c r="M61" i="8"/>
  <c r="K61" i="8"/>
  <c r="J61" i="8"/>
  <c r="I61" i="8"/>
  <c r="H61" i="8"/>
  <c r="G61" i="8"/>
  <c r="F61" i="8"/>
  <c r="E61" i="8"/>
  <c r="AB60" i="8"/>
  <c r="Y60" i="8"/>
  <c r="X60" i="8"/>
  <c r="W60" i="8"/>
  <c r="V60" i="8"/>
  <c r="U60" i="8"/>
  <c r="T60" i="8"/>
  <c r="P60" i="8"/>
  <c r="AA60" i="8" s="1"/>
  <c r="N60" i="8"/>
  <c r="M60" i="8"/>
  <c r="K60" i="8"/>
  <c r="J60" i="8"/>
  <c r="I60" i="8"/>
  <c r="H60" i="8"/>
  <c r="G60" i="8"/>
  <c r="F60" i="8"/>
  <c r="E60" i="8"/>
  <c r="AB59" i="8"/>
  <c r="Z59" i="8"/>
  <c r="Y59" i="8"/>
  <c r="X59" i="8"/>
  <c r="W59" i="8"/>
  <c r="V59" i="8"/>
  <c r="U59" i="8"/>
  <c r="T59" i="8"/>
  <c r="P59" i="8"/>
  <c r="N59" i="8"/>
  <c r="AA59" i="8" s="1"/>
  <c r="AC59" i="8" s="1"/>
  <c r="M59" i="8"/>
  <c r="K59" i="8"/>
  <c r="J59" i="8"/>
  <c r="I59" i="8"/>
  <c r="H59" i="8"/>
  <c r="G59" i="8"/>
  <c r="F59" i="8"/>
  <c r="E59" i="8"/>
  <c r="AB58" i="8"/>
  <c r="Y58" i="8"/>
  <c r="X58" i="8"/>
  <c r="W58" i="8"/>
  <c r="V58" i="8"/>
  <c r="U58" i="8"/>
  <c r="T58" i="8"/>
  <c r="P58" i="8"/>
  <c r="AA58" i="8" s="1"/>
  <c r="N58" i="8"/>
  <c r="M58" i="8"/>
  <c r="K58" i="8"/>
  <c r="J58" i="8"/>
  <c r="I58" i="8"/>
  <c r="H58" i="8"/>
  <c r="G58" i="8"/>
  <c r="F58" i="8"/>
  <c r="E58" i="8"/>
  <c r="AB57" i="8"/>
  <c r="Z57" i="8"/>
  <c r="Y57" i="8"/>
  <c r="X57" i="8"/>
  <c r="W57" i="8"/>
  <c r="V57" i="8"/>
  <c r="U57" i="8"/>
  <c r="T57" i="8"/>
  <c r="P57" i="8"/>
  <c r="N57" i="8"/>
  <c r="AA57" i="8" s="1"/>
  <c r="AC57" i="8" s="1"/>
  <c r="M57" i="8"/>
  <c r="K57" i="8"/>
  <c r="J57" i="8"/>
  <c r="I57" i="8"/>
  <c r="H57" i="8"/>
  <c r="G57" i="8"/>
  <c r="F57" i="8"/>
  <c r="E57" i="8"/>
  <c r="AB56" i="8"/>
  <c r="Y56" i="8"/>
  <c r="X56" i="8"/>
  <c r="W56" i="8"/>
  <c r="V56" i="8"/>
  <c r="U56" i="8"/>
  <c r="T56" i="8"/>
  <c r="P56" i="8"/>
  <c r="AA56" i="8" s="1"/>
  <c r="N56" i="8"/>
  <c r="M56" i="8"/>
  <c r="K56" i="8"/>
  <c r="J56" i="8"/>
  <c r="I56" i="8"/>
  <c r="H56" i="8"/>
  <c r="G56" i="8"/>
  <c r="F56" i="8"/>
  <c r="E56" i="8"/>
  <c r="AB55" i="8"/>
  <c r="Z55" i="8"/>
  <c r="Y55" i="8"/>
  <c r="X55" i="8"/>
  <c r="W55" i="8"/>
  <c r="V55" i="8"/>
  <c r="U55" i="8"/>
  <c r="T55" i="8"/>
  <c r="P55" i="8"/>
  <c r="N55" i="8"/>
  <c r="AA55" i="8" s="1"/>
  <c r="AC55" i="8" s="1"/>
  <c r="M55" i="8"/>
  <c r="K55" i="8"/>
  <c r="J55" i="8"/>
  <c r="I55" i="8"/>
  <c r="H55" i="8"/>
  <c r="G55" i="8"/>
  <c r="F55" i="8"/>
  <c r="E55" i="8"/>
  <c r="AB54" i="8"/>
  <c r="Y54" i="8"/>
  <c r="X54" i="8"/>
  <c r="W54" i="8"/>
  <c r="V54" i="8"/>
  <c r="U54" i="8"/>
  <c r="T54" i="8"/>
  <c r="P54" i="8"/>
  <c r="AA54" i="8" s="1"/>
  <c r="N54" i="8"/>
  <c r="M54" i="8"/>
  <c r="K54" i="8"/>
  <c r="J54" i="8"/>
  <c r="I54" i="8"/>
  <c r="H54" i="8"/>
  <c r="G54" i="8"/>
  <c r="F54" i="8"/>
  <c r="E54" i="8"/>
  <c r="AB53" i="8"/>
  <c r="Z53" i="8"/>
  <c r="Y53" i="8"/>
  <c r="X53" i="8"/>
  <c r="W53" i="8"/>
  <c r="V53" i="8"/>
  <c r="U53" i="8"/>
  <c r="T53" i="8"/>
  <c r="P53" i="8"/>
  <c r="N53" i="8"/>
  <c r="AA53" i="8" s="1"/>
  <c r="AC53" i="8" s="1"/>
  <c r="M53" i="8"/>
  <c r="K53" i="8"/>
  <c r="J53" i="8"/>
  <c r="I53" i="8"/>
  <c r="H53" i="8"/>
  <c r="G53" i="8"/>
  <c r="F53" i="8"/>
  <c r="E53" i="8"/>
  <c r="AB52" i="8"/>
  <c r="Y52" i="8"/>
  <c r="X52" i="8"/>
  <c r="W52" i="8"/>
  <c r="V52" i="8"/>
  <c r="U52" i="8"/>
  <c r="T52" i="8"/>
  <c r="P52" i="8"/>
  <c r="AA52" i="8" s="1"/>
  <c r="N52" i="8"/>
  <c r="M52" i="8"/>
  <c r="K52" i="8"/>
  <c r="J52" i="8"/>
  <c r="I52" i="8"/>
  <c r="H52" i="8"/>
  <c r="G52" i="8"/>
  <c r="F52" i="8"/>
  <c r="E52" i="8"/>
  <c r="AB51" i="8"/>
  <c r="Z51" i="8"/>
  <c r="Y51" i="8"/>
  <c r="X51" i="8"/>
  <c r="W51" i="8"/>
  <c r="V51" i="8"/>
  <c r="U51" i="8"/>
  <c r="T51" i="8"/>
  <c r="P51" i="8"/>
  <c r="N51" i="8"/>
  <c r="AA51" i="8" s="1"/>
  <c r="AC51" i="8" s="1"/>
  <c r="M51" i="8"/>
  <c r="K51" i="8"/>
  <c r="J51" i="8"/>
  <c r="I51" i="8"/>
  <c r="H51" i="8"/>
  <c r="G51" i="8"/>
  <c r="F51" i="8"/>
  <c r="E51" i="8"/>
  <c r="AB50" i="8"/>
  <c r="Y50" i="8"/>
  <c r="X50" i="8"/>
  <c r="W50" i="8"/>
  <c r="V50" i="8"/>
  <c r="U50" i="8"/>
  <c r="T50" i="8"/>
  <c r="P50" i="8"/>
  <c r="AA50" i="8" s="1"/>
  <c r="N50" i="8"/>
  <c r="M50" i="8"/>
  <c r="K50" i="8"/>
  <c r="J50" i="8"/>
  <c r="I50" i="8"/>
  <c r="H50" i="8"/>
  <c r="G50" i="8"/>
  <c r="F50" i="8"/>
  <c r="E50" i="8"/>
  <c r="AB49" i="8"/>
  <c r="Z49" i="8"/>
  <c r="Y49" i="8"/>
  <c r="X49" i="8"/>
  <c r="W49" i="8"/>
  <c r="V49" i="8"/>
  <c r="U49" i="8"/>
  <c r="T49" i="8"/>
  <c r="P49" i="8"/>
  <c r="N49" i="8"/>
  <c r="AA49" i="8" s="1"/>
  <c r="AC49" i="8" s="1"/>
  <c r="M49" i="8"/>
  <c r="K49" i="8"/>
  <c r="J49" i="8"/>
  <c r="I49" i="8"/>
  <c r="H49" i="8"/>
  <c r="G49" i="8"/>
  <c r="F49" i="8"/>
  <c r="E49" i="8"/>
  <c r="AB48" i="8"/>
  <c r="Y48" i="8"/>
  <c r="X48" i="8"/>
  <c r="W48" i="8"/>
  <c r="V48" i="8"/>
  <c r="U48" i="8"/>
  <c r="T48" i="8"/>
  <c r="P48" i="8"/>
  <c r="AA48" i="8" s="1"/>
  <c r="N48" i="8"/>
  <c r="M48" i="8"/>
  <c r="K48" i="8"/>
  <c r="J48" i="8"/>
  <c r="I48" i="8"/>
  <c r="H48" i="8"/>
  <c r="G48" i="8"/>
  <c r="F48" i="8"/>
  <c r="E48" i="8"/>
  <c r="AB47" i="8"/>
  <c r="Z47" i="8"/>
  <c r="Y47" i="8"/>
  <c r="X47" i="8"/>
  <c r="W47" i="8"/>
  <c r="V47" i="8"/>
  <c r="U47" i="8"/>
  <c r="T47" i="8"/>
  <c r="P47" i="8"/>
  <c r="N47" i="8"/>
  <c r="AA47" i="8" s="1"/>
  <c r="AC47" i="8" s="1"/>
  <c r="M47" i="8"/>
  <c r="K47" i="8"/>
  <c r="J47" i="8"/>
  <c r="I47" i="8"/>
  <c r="H47" i="8"/>
  <c r="G47" i="8"/>
  <c r="F47" i="8"/>
  <c r="E47" i="8"/>
  <c r="AB46" i="8"/>
  <c r="Y46" i="8"/>
  <c r="X46" i="8"/>
  <c r="W46" i="8"/>
  <c r="V46" i="8"/>
  <c r="U46" i="8"/>
  <c r="T46" i="8"/>
  <c r="P46" i="8"/>
  <c r="AA46" i="8" s="1"/>
  <c r="N46" i="8"/>
  <c r="M46" i="8"/>
  <c r="K46" i="8"/>
  <c r="J46" i="8"/>
  <c r="I46" i="8"/>
  <c r="H46" i="8"/>
  <c r="G46" i="8"/>
  <c r="F46" i="8"/>
  <c r="E46" i="8"/>
  <c r="AB45" i="8"/>
  <c r="Z45" i="8"/>
  <c r="Y45" i="8"/>
  <c r="X45" i="8"/>
  <c r="W45" i="8"/>
  <c r="V45" i="8"/>
  <c r="U45" i="8"/>
  <c r="T45" i="8"/>
  <c r="P45" i="8"/>
  <c r="N45" i="8"/>
  <c r="AA45" i="8" s="1"/>
  <c r="AC45" i="8" s="1"/>
  <c r="M45" i="8"/>
  <c r="K45" i="8"/>
  <c r="J45" i="8"/>
  <c r="I45" i="8"/>
  <c r="H45" i="8"/>
  <c r="G45" i="8"/>
  <c r="F45" i="8"/>
  <c r="E45" i="8"/>
  <c r="AB44" i="8"/>
  <c r="Y44" i="8"/>
  <c r="X44" i="8"/>
  <c r="W44" i="8"/>
  <c r="V44" i="8"/>
  <c r="U44" i="8"/>
  <c r="T44" i="8"/>
  <c r="P44" i="8"/>
  <c r="AA44" i="8" s="1"/>
  <c r="N44" i="8"/>
  <c r="M44" i="8"/>
  <c r="K44" i="8"/>
  <c r="J44" i="8"/>
  <c r="I44" i="8"/>
  <c r="H44" i="8"/>
  <c r="G44" i="8"/>
  <c r="F44" i="8"/>
  <c r="E44" i="8"/>
  <c r="AB43" i="8"/>
  <c r="Z43" i="8"/>
  <c r="Y43" i="8"/>
  <c r="X43" i="8"/>
  <c r="W43" i="8"/>
  <c r="V43" i="8"/>
  <c r="U43" i="8"/>
  <c r="T43" i="8"/>
  <c r="P43" i="8"/>
  <c r="N43" i="8"/>
  <c r="AA43" i="8" s="1"/>
  <c r="AC43" i="8" s="1"/>
  <c r="M43" i="8"/>
  <c r="K43" i="8"/>
  <c r="J43" i="8"/>
  <c r="I43" i="8"/>
  <c r="H43" i="8"/>
  <c r="G43" i="8"/>
  <c r="F43" i="8"/>
  <c r="E43" i="8"/>
  <c r="AB42" i="8"/>
  <c r="Y42" i="8"/>
  <c r="X42" i="8"/>
  <c r="W42" i="8"/>
  <c r="V42" i="8"/>
  <c r="U42" i="8"/>
  <c r="T42" i="8"/>
  <c r="P42" i="8"/>
  <c r="AA42" i="8" s="1"/>
  <c r="N42" i="8"/>
  <c r="M42" i="8"/>
  <c r="K42" i="8"/>
  <c r="J42" i="8"/>
  <c r="I42" i="8"/>
  <c r="H42" i="8"/>
  <c r="G42" i="8"/>
  <c r="F42" i="8"/>
  <c r="E42" i="8"/>
  <c r="AB41" i="8"/>
  <c r="Z41" i="8"/>
  <c r="Y41" i="8"/>
  <c r="X41" i="8"/>
  <c r="W41" i="8"/>
  <c r="V41" i="8"/>
  <c r="U41" i="8"/>
  <c r="T41" i="8"/>
  <c r="P41" i="8"/>
  <c r="N41" i="8"/>
  <c r="AA41" i="8" s="1"/>
  <c r="AC41" i="8" s="1"/>
  <c r="M41" i="8"/>
  <c r="K41" i="8"/>
  <c r="J41" i="8"/>
  <c r="I41" i="8"/>
  <c r="H41" i="8"/>
  <c r="G41" i="8"/>
  <c r="F41" i="8"/>
  <c r="E41" i="8"/>
  <c r="AB40" i="8"/>
  <c r="Y40" i="8"/>
  <c r="X40" i="8"/>
  <c r="W40" i="8"/>
  <c r="V40" i="8"/>
  <c r="U40" i="8"/>
  <c r="T40" i="8"/>
  <c r="P40" i="8"/>
  <c r="AA40" i="8" s="1"/>
  <c r="N40" i="8"/>
  <c r="M40" i="8"/>
  <c r="K40" i="8"/>
  <c r="J40" i="8"/>
  <c r="I40" i="8"/>
  <c r="H40" i="8"/>
  <c r="G40" i="8"/>
  <c r="F40" i="8"/>
  <c r="E40" i="8"/>
  <c r="AB39" i="8"/>
  <c r="Z39" i="8"/>
  <c r="Y39" i="8"/>
  <c r="X39" i="8"/>
  <c r="W39" i="8"/>
  <c r="V39" i="8"/>
  <c r="U39" i="8"/>
  <c r="T39" i="8"/>
  <c r="P39" i="8"/>
  <c r="N39" i="8"/>
  <c r="AA39" i="8" s="1"/>
  <c r="AC39" i="8" s="1"/>
  <c r="M39" i="8"/>
  <c r="K39" i="8"/>
  <c r="J39" i="8"/>
  <c r="I39" i="8"/>
  <c r="H39" i="8"/>
  <c r="G39" i="8"/>
  <c r="F39" i="8"/>
  <c r="E39" i="8"/>
  <c r="AB38" i="8"/>
  <c r="Y38" i="8"/>
  <c r="X38" i="8"/>
  <c r="W38" i="8"/>
  <c r="V38" i="8"/>
  <c r="U38" i="8"/>
  <c r="T38" i="8"/>
  <c r="P38" i="8"/>
  <c r="AA38" i="8" s="1"/>
  <c r="N38" i="8"/>
  <c r="M38" i="8"/>
  <c r="K38" i="8"/>
  <c r="J38" i="8"/>
  <c r="I38" i="8"/>
  <c r="H38" i="8"/>
  <c r="G38" i="8"/>
  <c r="F38" i="8"/>
  <c r="E38" i="8"/>
  <c r="AB37" i="8"/>
  <c r="Z37" i="8"/>
  <c r="Y37" i="8"/>
  <c r="X37" i="8"/>
  <c r="W37" i="8"/>
  <c r="V37" i="8"/>
  <c r="U37" i="8"/>
  <c r="T37" i="8"/>
  <c r="P37" i="8"/>
  <c r="N37" i="8"/>
  <c r="AA37" i="8" s="1"/>
  <c r="AC37" i="8" s="1"/>
  <c r="M37" i="8"/>
  <c r="K37" i="8"/>
  <c r="J37" i="8"/>
  <c r="I37" i="8"/>
  <c r="H37" i="8"/>
  <c r="G37" i="8"/>
  <c r="F37" i="8"/>
  <c r="E37" i="8"/>
  <c r="AB36" i="8"/>
  <c r="Y36" i="8"/>
  <c r="X36" i="8"/>
  <c r="W36" i="8"/>
  <c r="V36" i="8"/>
  <c r="U36" i="8"/>
  <c r="T36" i="8"/>
  <c r="P36" i="8"/>
  <c r="AA36" i="8" s="1"/>
  <c r="N36" i="8"/>
  <c r="M36" i="8"/>
  <c r="K36" i="8"/>
  <c r="J36" i="8"/>
  <c r="I36" i="8"/>
  <c r="H36" i="8"/>
  <c r="G36" i="8"/>
  <c r="F36" i="8"/>
  <c r="E36" i="8"/>
  <c r="AB35" i="8"/>
  <c r="Z35" i="8"/>
  <c r="Y35" i="8"/>
  <c r="X35" i="8"/>
  <c r="W35" i="8"/>
  <c r="V35" i="8"/>
  <c r="U35" i="8"/>
  <c r="T35" i="8"/>
  <c r="P35" i="8"/>
  <c r="N35" i="8"/>
  <c r="AA35" i="8" s="1"/>
  <c r="AC35" i="8" s="1"/>
  <c r="M35" i="8"/>
  <c r="K35" i="8"/>
  <c r="J35" i="8"/>
  <c r="I35" i="8"/>
  <c r="H35" i="8"/>
  <c r="G35" i="8"/>
  <c r="F35" i="8"/>
  <c r="E35" i="8"/>
  <c r="AB34" i="8"/>
  <c r="Y34" i="8"/>
  <c r="X34" i="8"/>
  <c r="W34" i="8"/>
  <c r="V34" i="8"/>
  <c r="U34" i="8"/>
  <c r="T34" i="8"/>
  <c r="P34" i="8"/>
  <c r="Z34" i="8" s="1"/>
  <c r="N34" i="8"/>
  <c r="M34" i="8"/>
  <c r="K34" i="8"/>
  <c r="J34" i="8"/>
  <c r="I34" i="8"/>
  <c r="H34" i="8"/>
  <c r="G34" i="8"/>
  <c r="F34" i="8"/>
  <c r="E34" i="8"/>
  <c r="AB33" i="8"/>
  <c r="Z33" i="8"/>
  <c r="Y33" i="8"/>
  <c r="X33" i="8"/>
  <c r="W33" i="8"/>
  <c r="V33" i="8"/>
  <c r="U33" i="8"/>
  <c r="T33" i="8"/>
  <c r="P33" i="8"/>
  <c r="N33" i="8"/>
  <c r="AA33" i="8" s="1"/>
  <c r="AC33" i="8" s="1"/>
  <c r="M33" i="8"/>
  <c r="K33" i="8"/>
  <c r="J33" i="8"/>
  <c r="I33" i="8"/>
  <c r="H33" i="8"/>
  <c r="G33" i="8"/>
  <c r="F33" i="8"/>
  <c r="E33" i="8"/>
  <c r="AB32" i="8"/>
  <c r="Y32" i="8"/>
  <c r="X32" i="8"/>
  <c r="W32" i="8"/>
  <c r="V32" i="8"/>
  <c r="U32" i="8"/>
  <c r="T32" i="8"/>
  <c r="P32" i="8"/>
  <c r="AA32" i="8" s="1"/>
  <c r="N32" i="8"/>
  <c r="M32" i="8"/>
  <c r="K32" i="8"/>
  <c r="J32" i="8"/>
  <c r="I32" i="8"/>
  <c r="H32" i="8"/>
  <c r="G32" i="8"/>
  <c r="F32" i="8"/>
  <c r="E32" i="8"/>
  <c r="AB31" i="8"/>
  <c r="Z31" i="8"/>
  <c r="Y31" i="8"/>
  <c r="X31" i="8"/>
  <c r="W31" i="8"/>
  <c r="V31" i="8"/>
  <c r="U31" i="8"/>
  <c r="T31" i="8"/>
  <c r="P31" i="8"/>
  <c r="N31" i="8"/>
  <c r="AA31" i="8" s="1"/>
  <c r="AC31" i="8" s="1"/>
  <c r="M31" i="8"/>
  <c r="K31" i="8"/>
  <c r="J31" i="8"/>
  <c r="I31" i="8"/>
  <c r="H31" i="8"/>
  <c r="G31" i="8"/>
  <c r="F31" i="8"/>
  <c r="E31" i="8"/>
  <c r="AB30" i="8"/>
  <c r="Y30" i="8"/>
  <c r="X30" i="8"/>
  <c r="W30" i="8"/>
  <c r="V30" i="8"/>
  <c r="U30" i="8"/>
  <c r="T30" i="8"/>
  <c r="P30" i="8"/>
  <c r="Z30" i="8" s="1"/>
  <c r="N30" i="8"/>
  <c r="M30" i="8"/>
  <c r="K30" i="8"/>
  <c r="J30" i="8"/>
  <c r="I30" i="8"/>
  <c r="H30" i="8"/>
  <c r="G30" i="8"/>
  <c r="F30" i="8"/>
  <c r="E30" i="8"/>
  <c r="AB29" i="8"/>
  <c r="Z29" i="8"/>
  <c r="Y29" i="8"/>
  <c r="X29" i="8"/>
  <c r="W29" i="8"/>
  <c r="V29" i="8"/>
  <c r="U29" i="8"/>
  <c r="T29" i="8"/>
  <c r="P29" i="8"/>
  <c r="N29" i="8"/>
  <c r="AA29" i="8" s="1"/>
  <c r="AC29" i="8" s="1"/>
  <c r="M29" i="8"/>
  <c r="K29" i="8"/>
  <c r="J29" i="8"/>
  <c r="I29" i="8"/>
  <c r="H29" i="8"/>
  <c r="G29" i="8"/>
  <c r="F29" i="8"/>
  <c r="E29" i="8"/>
  <c r="AB28" i="8"/>
  <c r="Y28" i="8"/>
  <c r="X28" i="8"/>
  <c r="W28" i="8"/>
  <c r="V28" i="8"/>
  <c r="U28" i="8"/>
  <c r="T28" i="8"/>
  <c r="P28" i="8"/>
  <c r="AA28" i="8" s="1"/>
  <c r="N28" i="8"/>
  <c r="M28" i="8"/>
  <c r="K28" i="8"/>
  <c r="J28" i="8"/>
  <c r="I28" i="8"/>
  <c r="H28" i="8"/>
  <c r="G28" i="8"/>
  <c r="F28" i="8"/>
  <c r="E28" i="8"/>
  <c r="AB27" i="8"/>
  <c r="Z27" i="8"/>
  <c r="Y27" i="8"/>
  <c r="X27" i="8"/>
  <c r="W27" i="8"/>
  <c r="V27" i="8"/>
  <c r="U27" i="8"/>
  <c r="T27" i="8"/>
  <c r="P27" i="8"/>
  <c r="N27" i="8"/>
  <c r="AA27" i="8" s="1"/>
  <c r="AC27" i="8" s="1"/>
  <c r="M27" i="8"/>
  <c r="K27" i="8"/>
  <c r="J27" i="8"/>
  <c r="I27" i="8"/>
  <c r="H27" i="8"/>
  <c r="G27" i="8"/>
  <c r="F27" i="8"/>
  <c r="E27" i="8"/>
  <c r="AB26" i="8"/>
  <c r="Y26" i="8"/>
  <c r="X26" i="8"/>
  <c r="W26" i="8"/>
  <c r="V26" i="8"/>
  <c r="U26" i="8"/>
  <c r="T26" i="8"/>
  <c r="P26" i="8"/>
  <c r="AA26" i="8" s="1"/>
  <c r="AC26" i="8" s="1"/>
  <c r="N26" i="8"/>
  <c r="M26" i="8"/>
  <c r="K26" i="8"/>
  <c r="J26" i="8"/>
  <c r="I26" i="8"/>
  <c r="H26" i="8"/>
  <c r="G26" i="8"/>
  <c r="F26" i="8"/>
  <c r="E26" i="8"/>
  <c r="AB25" i="8"/>
  <c r="Z25" i="8"/>
  <c r="Y25" i="8"/>
  <c r="X25" i="8"/>
  <c r="W25" i="8"/>
  <c r="V25" i="8"/>
  <c r="U25" i="8"/>
  <c r="T25" i="8"/>
  <c r="P25" i="8"/>
  <c r="N25" i="8"/>
  <c r="AA25" i="8" s="1"/>
  <c r="AC25" i="8" s="1"/>
  <c r="M25" i="8"/>
  <c r="K25" i="8"/>
  <c r="J25" i="8"/>
  <c r="I25" i="8"/>
  <c r="H25" i="8"/>
  <c r="G25" i="8"/>
  <c r="F25" i="8"/>
  <c r="E25" i="8"/>
  <c r="AB24" i="8"/>
  <c r="Y24" i="8"/>
  <c r="X24" i="8"/>
  <c r="W24" i="8"/>
  <c r="V24" i="8"/>
  <c r="U24" i="8"/>
  <c r="T24" i="8"/>
  <c r="P24" i="8"/>
  <c r="Z24" i="8" s="1"/>
  <c r="N24" i="8"/>
  <c r="M24" i="8"/>
  <c r="K24" i="8"/>
  <c r="J24" i="8"/>
  <c r="I24" i="8"/>
  <c r="H24" i="8"/>
  <c r="G24" i="8"/>
  <c r="F24" i="8"/>
  <c r="E24" i="8"/>
  <c r="AB23" i="8"/>
  <c r="Z23" i="8"/>
  <c r="Y23" i="8"/>
  <c r="X23" i="8"/>
  <c r="W23" i="8"/>
  <c r="V23" i="8"/>
  <c r="U23" i="8"/>
  <c r="T23" i="8"/>
  <c r="P23" i="8"/>
  <c r="N23" i="8"/>
  <c r="AA23" i="8" s="1"/>
  <c r="AC23" i="8" s="1"/>
  <c r="M23" i="8"/>
  <c r="K23" i="8"/>
  <c r="J23" i="8"/>
  <c r="I23" i="8"/>
  <c r="H23" i="8"/>
  <c r="G23" i="8"/>
  <c r="F23" i="8"/>
  <c r="E23" i="8"/>
  <c r="AB22" i="8"/>
  <c r="Y22" i="8"/>
  <c r="X22" i="8"/>
  <c r="W22" i="8"/>
  <c r="V22" i="8"/>
  <c r="U22" i="8"/>
  <c r="T22" i="8"/>
  <c r="P22" i="8"/>
  <c r="AA22" i="8" s="1"/>
  <c r="N22" i="8"/>
  <c r="M22" i="8"/>
  <c r="K22" i="8"/>
  <c r="J22" i="8"/>
  <c r="I22" i="8"/>
  <c r="H22" i="8"/>
  <c r="G22" i="8"/>
  <c r="F22" i="8"/>
  <c r="E22" i="8"/>
  <c r="AB21" i="8"/>
  <c r="Z21" i="8"/>
  <c r="Y21" i="8"/>
  <c r="X21" i="8"/>
  <c r="W21" i="8"/>
  <c r="V21" i="8"/>
  <c r="U21" i="8"/>
  <c r="T21" i="8"/>
  <c r="P21" i="8"/>
  <c r="N21" i="8"/>
  <c r="AA21" i="8" s="1"/>
  <c r="AC21" i="8" s="1"/>
  <c r="M21" i="8"/>
  <c r="K21" i="8"/>
  <c r="J21" i="8"/>
  <c r="I21" i="8"/>
  <c r="H21" i="8"/>
  <c r="G21" i="8"/>
  <c r="F21" i="8"/>
  <c r="E21" i="8"/>
  <c r="AB20" i="8"/>
  <c r="Y20" i="8"/>
  <c r="X20" i="8"/>
  <c r="W20" i="8"/>
  <c r="V20" i="8"/>
  <c r="U20" i="8"/>
  <c r="T20" i="8"/>
  <c r="P20" i="8"/>
  <c r="AA20" i="8" s="1"/>
  <c r="N20" i="8"/>
  <c r="M20" i="8"/>
  <c r="K20" i="8"/>
  <c r="J20" i="8"/>
  <c r="I20" i="8"/>
  <c r="H20" i="8"/>
  <c r="G20" i="8"/>
  <c r="F20" i="8"/>
  <c r="E20" i="8"/>
  <c r="AB19" i="8"/>
  <c r="Z19" i="8"/>
  <c r="Y19" i="8"/>
  <c r="X19" i="8"/>
  <c r="W19" i="8"/>
  <c r="V19" i="8"/>
  <c r="U19" i="8"/>
  <c r="T19" i="8"/>
  <c r="P19" i="8"/>
  <c r="N19" i="8"/>
  <c r="AA19" i="8" s="1"/>
  <c r="AC19" i="8" s="1"/>
  <c r="M19" i="8"/>
  <c r="K19" i="8"/>
  <c r="J19" i="8"/>
  <c r="I19" i="8"/>
  <c r="H19" i="8"/>
  <c r="G19" i="8"/>
  <c r="F19" i="8"/>
  <c r="E19" i="8"/>
  <c r="AB18" i="8"/>
  <c r="Y18" i="8"/>
  <c r="X18" i="8"/>
  <c r="W18" i="8"/>
  <c r="V18" i="8"/>
  <c r="U18" i="8"/>
  <c r="T18" i="8"/>
  <c r="P18" i="8"/>
  <c r="Z18" i="8" s="1"/>
  <c r="N18" i="8"/>
  <c r="M18" i="8"/>
  <c r="K18" i="8"/>
  <c r="J18" i="8"/>
  <c r="I18" i="8"/>
  <c r="H18" i="8"/>
  <c r="G18" i="8"/>
  <c r="F18" i="8"/>
  <c r="E18" i="8"/>
  <c r="AB17" i="8"/>
  <c r="Z17" i="8"/>
  <c r="Y17" i="8"/>
  <c r="X17" i="8"/>
  <c r="W17" i="8"/>
  <c r="V17" i="8"/>
  <c r="U17" i="8"/>
  <c r="T17" i="8"/>
  <c r="P17" i="8"/>
  <c r="N17" i="8"/>
  <c r="AA17" i="8" s="1"/>
  <c r="AC17" i="8" s="1"/>
  <c r="M17" i="8"/>
  <c r="K17" i="8"/>
  <c r="J17" i="8"/>
  <c r="I17" i="8"/>
  <c r="H17" i="8"/>
  <c r="G17" i="8"/>
  <c r="F17" i="8"/>
  <c r="E17" i="8"/>
  <c r="AB16" i="8"/>
  <c r="Y16" i="8"/>
  <c r="X16" i="8"/>
  <c r="W16" i="8"/>
  <c r="V16" i="8"/>
  <c r="U16" i="8"/>
  <c r="T16" i="8"/>
  <c r="P16" i="8"/>
  <c r="AA16" i="8" s="1"/>
  <c r="N16" i="8"/>
  <c r="M16" i="8"/>
  <c r="K16" i="8"/>
  <c r="J16" i="8"/>
  <c r="I16" i="8"/>
  <c r="H16" i="8"/>
  <c r="G16" i="8"/>
  <c r="F16" i="8"/>
  <c r="E16" i="8"/>
  <c r="AB15" i="8"/>
  <c r="Z15" i="8"/>
  <c r="Y15" i="8"/>
  <c r="X15" i="8"/>
  <c r="W15" i="8"/>
  <c r="V15" i="8"/>
  <c r="U15" i="8"/>
  <c r="T15" i="8"/>
  <c r="P15" i="8"/>
  <c r="N15" i="8"/>
  <c r="AA15" i="8" s="1"/>
  <c r="AC15" i="8" s="1"/>
  <c r="M15" i="8"/>
  <c r="K15" i="8"/>
  <c r="J15" i="8"/>
  <c r="I15" i="8"/>
  <c r="H15" i="8"/>
  <c r="G15" i="8"/>
  <c r="F15" i="8"/>
  <c r="E15" i="8"/>
  <c r="AB14" i="8"/>
  <c r="Y14" i="8"/>
  <c r="X14" i="8"/>
  <c r="W14" i="8"/>
  <c r="V14" i="8"/>
  <c r="U14" i="8"/>
  <c r="T14" i="8"/>
  <c r="P14" i="8"/>
  <c r="AA14" i="8" s="1"/>
  <c r="N14" i="8"/>
  <c r="M14" i="8"/>
  <c r="K14" i="8"/>
  <c r="J14" i="8"/>
  <c r="I14" i="8"/>
  <c r="H14" i="8"/>
  <c r="G14" i="8"/>
  <c r="F14" i="8"/>
  <c r="E14" i="8"/>
  <c r="AB13" i="8"/>
  <c r="Z13" i="8"/>
  <c r="Y13" i="8"/>
  <c r="X13" i="8"/>
  <c r="W13" i="8"/>
  <c r="V13" i="8"/>
  <c r="U13" i="8"/>
  <c r="T13" i="8"/>
  <c r="P13" i="8"/>
  <c r="N13" i="8"/>
  <c r="AA13" i="8" s="1"/>
  <c r="AC13" i="8" s="1"/>
  <c r="M13" i="8"/>
  <c r="K13" i="8"/>
  <c r="J13" i="8"/>
  <c r="I13" i="8"/>
  <c r="H13" i="8"/>
  <c r="G13" i="8"/>
  <c r="F13" i="8"/>
  <c r="E13" i="8"/>
  <c r="AB12" i="8"/>
  <c r="Y12" i="8"/>
  <c r="X12" i="8"/>
  <c r="W12" i="8"/>
  <c r="V12" i="8"/>
  <c r="U12" i="8"/>
  <c r="T12" i="8"/>
  <c r="P12" i="8"/>
  <c r="Z12" i="8" s="1"/>
  <c r="N12" i="8"/>
  <c r="M12" i="8"/>
  <c r="K12" i="8"/>
  <c r="J12" i="8"/>
  <c r="I12" i="8"/>
  <c r="H12" i="8"/>
  <c r="G12" i="8"/>
  <c r="F12" i="8"/>
  <c r="E12" i="8"/>
  <c r="AB11" i="8"/>
  <c r="Z11" i="8"/>
  <c r="Y11" i="8"/>
  <c r="X11" i="8"/>
  <c r="W11" i="8"/>
  <c r="V11" i="8"/>
  <c r="U11" i="8"/>
  <c r="T11" i="8"/>
  <c r="P11" i="8"/>
  <c r="N11" i="8"/>
  <c r="AA11" i="8" s="1"/>
  <c r="AC11" i="8" s="1"/>
  <c r="M11" i="8"/>
  <c r="K11" i="8"/>
  <c r="J11" i="8"/>
  <c r="I11" i="8"/>
  <c r="H11" i="8"/>
  <c r="G11" i="8"/>
  <c r="F11" i="8"/>
  <c r="E11" i="8"/>
  <c r="AB10" i="8"/>
  <c r="Y10" i="8"/>
  <c r="X10" i="8"/>
  <c r="W10" i="8"/>
  <c r="V10" i="8"/>
  <c r="U10" i="8"/>
  <c r="T10" i="8"/>
  <c r="P10" i="8"/>
  <c r="Z10" i="8" s="1"/>
  <c r="N10" i="8"/>
  <c r="M10" i="8"/>
  <c r="K10" i="8"/>
  <c r="J10" i="8"/>
  <c r="I10" i="8"/>
  <c r="H10" i="8"/>
  <c r="G10" i="8"/>
  <c r="F10" i="8"/>
  <c r="E10" i="8"/>
  <c r="AB9" i="8"/>
  <c r="Z9" i="8"/>
  <c r="Y9" i="8"/>
  <c r="X9" i="8"/>
  <c r="W9" i="8"/>
  <c r="V9" i="8"/>
  <c r="U9" i="8"/>
  <c r="T9" i="8"/>
  <c r="P9" i="8"/>
  <c r="N9" i="8"/>
  <c r="AA9" i="8" s="1"/>
  <c r="AC9" i="8" s="1"/>
  <c r="M9" i="8"/>
  <c r="K9" i="8"/>
  <c r="J9" i="8"/>
  <c r="I9" i="8"/>
  <c r="H9" i="8"/>
  <c r="G9" i="8"/>
  <c r="F9" i="8"/>
  <c r="E9" i="8"/>
  <c r="AB8" i="8"/>
  <c r="Y8" i="8"/>
  <c r="X8" i="8"/>
  <c r="W8" i="8"/>
  <c r="V8" i="8"/>
  <c r="U8" i="8"/>
  <c r="T8" i="8"/>
  <c r="P8" i="8"/>
  <c r="AA8" i="8" s="1"/>
  <c r="N8" i="8"/>
  <c r="M8" i="8"/>
  <c r="K8" i="8"/>
  <c r="J8" i="8"/>
  <c r="I8" i="8"/>
  <c r="H8" i="8"/>
  <c r="G8" i="8"/>
  <c r="F8" i="8"/>
  <c r="E8" i="8"/>
  <c r="AB7" i="8"/>
  <c r="Z7" i="8"/>
  <c r="Y7" i="8"/>
  <c r="X7" i="8"/>
  <c r="W7" i="8"/>
  <c r="V7" i="8"/>
  <c r="U7" i="8"/>
  <c r="T7" i="8"/>
  <c r="P7" i="8"/>
  <c r="N7" i="8"/>
  <c r="AA7" i="8" s="1"/>
  <c r="AC7" i="8" s="1"/>
  <c r="M7" i="8"/>
  <c r="K7" i="8"/>
  <c r="J7" i="8"/>
  <c r="I7" i="8"/>
  <c r="H7" i="8"/>
  <c r="G7" i="8"/>
  <c r="F7" i="8"/>
  <c r="E7" i="8"/>
  <c r="AB6" i="8"/>
  <c r="Y6" i="8"/>
  <c r="X6" i="8"/>
  <c r="W6" i="8"/>
  <c r="V6" i="8"/>
  <c r="U6" i="8"/>
  <c r="T6" i="8"/>
  <c r="P6" i="8"/>
  <c r="Z6" i="8" s="1"/>
  <c r="N6" i="8"/>
  <c r="M6" i="8"/>
  <c r="K6" i="8"/>
  <c r="J6" i="8"/>
  <c r="I6" i="8"/>
  <c r="H6" i="8"/>
  <c r="G6" i="8"/>
  <c r="F6" i="8"/>
  <c r="E6" i="8"/>
  <c r="AB5" i="8"/>
  <c r="Z5" i="8"/>
  <c r="Y5" i="8"/>
  <c r="X5" i="8"/>
  <c r="W5" i="8"/>
  <c r="V5" i="8"/>
  <c r="U5" i="8"/>
  <c r="T5" i="8"/>
  <c r="P5" i="8"/>
  <c r="N5" i="8"/>
  <c r="AA5" i="8" s="1"/>
  <c r="AC5" i="8" s="1"/>
  <c r="M5" i="8"/>
  <c r="K5" i="8"/>
  <c r="J5" i="8"/>
  <c r="I5" i="8"/>
  <c r="H5" i="8"/>
  <c r="G5" i="8"/>
  <c r="F5" i="8"/>
  <c r="E5" i="8"/>
  <c r="AB4" i="8"/>
  <c r="Y4" i="8"/>
  <c r="X4" i="8"/>
  <c r="W4" i="8"/>
  <c r="V4" i="8"/>
  <c r="U4" i="8"/>
  <c r="T4" i="8"/>
  <c r="P4" i="8"/>
  <c r="Z4" i="8" s="1"/>
  <c r="N4" i="8"/>
  <c r="M4" i="8"/>
  <c r="K4" i="8"/>
  <c r="J4" i="8"/>
  <c r="I4" i="8"/>
  <c r="H4" i="8"/>
  <c r="G4" i="8"/>
  <c r="F4" i="8"/>
  <c r="E4" i="8"/>
  <c r="AB3" i="8"/>
  <c r="Z3" i="8"/>
  <c r="Y3" i="8"/>
  <c r="X3" i="8"/>
  <c r="W3" i="8"/>
  <c r="V3" i="8"/>
  <c r="U3" i="8"/>
  <c r="T3" i="8"/>
  <c r="P3" i="8"/>
  <c r="N3" i="8"/>
  <c r="AA3" i="8" s="1"/>
  <c r="AC3" i="8" s="1"/>
  <c r="M3" i="8"/>
  <c r="K3" i="8"/>
  <c r="J3" i="8"/>
  <c r="I3" i="8"/>
  <c r="H3" i="8"/>
  <c r="G3" i="8"/>
  <c r="F3" i="8"/>
  <c r="E3" i="8"/>
  <c r="AB2" i="8"/>
  <c r="Y2" i="8"/>
  <c r="X2" i="8"/>
  <c r="W2" i="8"/>
  <c r="V2" i="8"/>
  <c r="U2" i="8"/>
  <c r="T2" i="8"/>
  <c r="P2" i="8"/>
  <c r="Z2" i="8" s="1"/>
  <c r="N2" i="8"/>
  <c r="M2" i="8"/>
  <c r="K2" i="8"/>
  <c r="J2" i="8"/>
  <c r="I2" i="8"/>
  <c r="H2" i="8"/>
  <c r="G2" i="8"/>
  <c r="F2" i="8"/>
  <c r="E2" i="8"/>
  <c r="AC66" i="8" l="1"/>
  <c r="AC334" i="8"/>
  <c r="AC46" i="8"/>
  <c r="AC52" i="8"/>
  <c r="AC278" i="8"/>
  <c r="AC22" i="8"/>
  <c r="AC322" i="8"/>
  <c r="AA2" i="8"/>
  <c r="AC2" i="8" s="1"/>
  <c r="AA4" i="8"/>
  <c r="AC4" i="8" s="1"/>
  <c r="AA6" i="8"/>
  <c r="AC6" i="8" s="1"/>
  <c r="AA10" i="8"/>
  <c r="AC10" i="8" s="1"/>
  <c r="AA12" i="8"/>
  <c r="AC12" i="8" s="1"/>
  <c r="AA18" i="8"/>
  <c r="AC18" i="8" s="1"/>
  <c r="AA24" i="8"/>
  <c r="AC24" i="8" s="1"/>
  <c r="AA30" i="8"/>
  <c r="AC30" i="8" s="1"/>
  <c r="AA34" i="8"/>
  <c r="AC34" i="8" s="1"/>
  <c r="AA81" i="8"/>
  <c r="AC81" i="8" s="1"/>
  <c r="Z86" i="8"/>
  <c r="AC86" i="8" s="1"/>
  <c r="AA88" i="8"/>
  <c r="AC88" i="8" s="1"/>
  <c r="Z93" i="8"/>
  <c r="AC93" i="8" s="1"/>
  <c r="AA96" i="8"/>
  <c r="AC96" i="8" s="1"/>
  <c r="AA99" i="8"/>
  <c r="AC99" i="8" s="1"/>
  <c r="Z109" i="8"/>
  <c r="AC109" i="8" s="1"/>
  <c r="AA112" i="8"/>
  <c r="AC112" i="8" s="1"/>
  <c r="AA115" i="8"/>
  <c r="AC115" i="8" s="1"/>
  <c r="Z125" i="8"/>
  <c r="AC125" i="8" s="1"/>
  <c r="AA128" i="8"/>
  <c r="AC128" i="8" s="1"/>
  <c r="AA131" i="8"/>
  <c r="AC131" i="8" s="1"/>
  <c r="Z228" i="8"/>
  <c r="AA228" i="8"/>
  <c r="AC228" i="8" s="1"/>
  <c r="AC214" i="8"/>
  <c r="Z82" i="8"/>
  <c r="AC82" i="8" s="1"/>
  <c r="Z91" i="8"/>
  <c r="AC91" i="8" s="1"/>
  <c r="Z97" i="8"/>
  <c r="AC97" i="8" s="1"/>
  <c r="AA100" i="8"/>
  <c r="AC100" i="8" s="1"/>
  <c r="Z113" i="8"/>
  <c r="AC113" i="8" s="1"/>
  <c r="AA116" i="8"/>
  <c r="AC116" i="8" s="1"/>
  <c r="Z129" i="8"/>
  <c r="AA132" i="8"/>
  <c r="AC132" i="8" s="1"/>
  <c r="AA142" i="8"/>
  <c r="AC142" i="8" s="1"/>
  <c r="AA146" i="8"/>
  <c r="AC146" i="8" s="1"/>
  <c r="AA150" i="8"/>
  <c r="AC150" i="8" s="1"/>
  <c r="AA154" i="8"/>
  <c r="AC154" i="8" s="1"/>
  <c r="AA158" i="8"/>
  <c r="AC158" i="8" s="1"/>
  <c r="AA162" i="8"/>
  <c r="AC162" i="8" s="1"/>
  <c r="AA166" i="8"/>
  <c r="AC166" i="8" s="1"/>
  <c r="AA170" i="8"/>
  <c r="AC170" i="8" s="1"/>
  <c r="AA174" i="8"/>
  <c r="AC174" i="8" s="1"/>
  <c r="AC247" i="8"/>
  <c r="Z224" i="8"/>
  <c r="AA224" i="8"/>
  <c r="AC224" i="8" s="1"/>
  <c r="AC216" i="8"/>
  <c r="AC79" i="8"/>
  <c r="Z8" i="8"/>
  <c r="AC8" i="8" s="1"/>
  <c r="Z14" i="8"/>
  <c r="AC14" i="8" s="1"/>
  <c r="Z16" i="8"/>
  <c r="AC16" i="8" s="1"/>
  <c r="Z20" i="8"/>
  <c r="AC20" i="8" s="1"/>
  <c r="Z22" i="8"/>
  <c r="Z26" i="8"/>
  <c r="Z28" i="8"/>
  <c r="AC28" i="8" s="1"/>
  <c r="Z32" i="8"/>
  <c r="AC32" i="8" s="1"/>
  <c r="Z36" i="8"/>
  <c r="AC36" i="8" s="1"/>
  <c r="Z38" i="8"/>
  <c r="AC38" i="8" s="1"/>
  <c r="Z40" i="8"/>
  <c r="AC40" i="8" s="1"/>
  <c r="Z42" i="8"/>
  <c r="AC42" i="8" s="1"/>
  <c r="Z44" i="8"/>
  <c r="AC44" i="8" s="1"/>
  <c r="Z46" i="8"/>
  <c r="Z48" i="8"/>
  <c r="AC48" i="8" s="1"/>
  <c r="Z50" i="8"/>
  <c r="AC50" i="8" s="1"/>
  <c r="Z52" i="8"/>
  <c r="Z54" i="8"/>
  <c r="AC54" i="8" s="1"/>
  <c r="Z56" i="8"/>
  <c r="AC56" i="8" s="1"/>
  <c r="Z58" i="8"/>
  <c r="AC58" i="8" s="1"/>
  <c r="Z60" i="8"/>
  <c r="AC60" i="8" s="1"/>
  <c r="Z62" i="8"/>
  <c r="AC62" i="8" s="1"/>
  <c r="Z64" i="8"/>
  <c r="Z66" i="8"/>
  <c r="Z68" i="8"/>
  <c r="AC68" i="8" s="1"/>
  <c r="Z70" i="8"/>
  <c r="AC70" i="8" s="1"/>
  <c r="Z72" i="8"/>
  <c r="AC72" i="8" s="1"/>
  <c r="Z74" i="8"/>
  <c r="Z76" i="8"/>
  <c r="AC76" i="8" s="1"/>
  <c r="Z85" i="8"/>
  <c r="AC85" i="8" s="1"/>
  <c r="Z92" i="8"/>
  <c r="AC92" i="8" s="1"/>
  <c r="Z95" i="8"/>
  <c r="AC95" i="8" s="1"/>
  <c r="AA98" i="8"/>
  <c r="AC98" i="8" s="1"/>
  <c r="Z111" i="8"/>
  <c r="AC111" i="8" s="1"/>
  <c r="AA114" i="8"/>
  <c r="AC114" i="8" s="1"/>
  <c r="Z127" i="8"/>
  <c r="AC127" i="8" s="1"/>
  <c r="AA130" i="8"/>
  <c r="AC130" i="8" s="1"/>
  <c r="AA259" i="8"/>
  <c r="AC259" i="8" s="1"/>
  <c r="AC332" i="8"/>
  <c r="AA102" i="8"/>
  <c r="AC102" i="8" s="1"/>
  <c r="AA118" i="8"/>
  <c r="AC118" i="8" s="1"/>
  <c r="AA134" i="8"/>
  <c r="AC134" i="8" s="1"/>
  <c r="AA219" i="8"/>
  <c r="AC219" i="8" s="1"/>
  <c r="AC227" i="8"/>
  <c r="AA251" i="8"/>
  <c r="AC251" i="8" s="1"/>
  <c r="AC324" i="8"/>
  <c r="AA231" i="8"/>
  <c r="AC231" i="8" s="1"/>
  <c r="AA241" i="8"/>
  <c r="AC241" i="8" s="1"/>
  <c r="AA249" i="8"/>
  <c r="AC249" i="8" s="1"/>
  <c r="AA257" i="8"/>
  <c r="AC257" i="8" s="1"/>
  <c r="AC339" i="8"/>
  <c r="Z372" i="8"/>
  <c r="AA372" i="8"/>
  <c r="AC372" i="8" s="1"/>
  <c r="AA220" i="8"/>
  <c r="AC220" i="8" s="1"/>
  <c r="Z227" i="8"/>
  <c r="Z239" i="8"/>
  <c r="AC239" i="8" s="1"/>
  <c r="Z247" i="8"/>
  <c r="Z255" i="8"/>
  <c r="AC255" i="8" s="1"/>
  <c r="AC406" i="8"/>
  <c r="Z178" i="8"/>
  <c r="AC178" i="8" s="1"/>
  <c r="Z180" i="8"/>
  <c r="AC180" i="8" s="1"/>
  <c r="Z182" i="8"/>
  <c r="AC182" i="8" s="1"/>
  <c r="Z184" i="8"/>
  <c r="AC184" i="8" s="1"/>
  <c r="Z186" i="8"/>
  <c r="AC186" i="8" s="1"/>
  <c r="Z188" i="8"/>
  <c r="AC188" i="8" s="1"/>
  <c r="Z190" i="8"/>
  <c r="AC190" i="8" s="1"/>
  <c r="Z192" i="8"/>
  <c r="AC192" i="8" s="1"/>
  <c r="Z194" i="8"/>
  <c r="AC194" i="8" s="1"/>
  <c r="Z196" i="8"/>
  <c r="AC196" i="8" s="1"/>
  <c r="Z198" i="8"/>
  <c r="AC198" i="8" s="1"/>
  <c r="Z200" i="8"/>
  <c r="AC200" i="8" s="1"/>
  <c r="Z202" i="8"/>
  <c r="AC202" i="8" s="1"/>
  <c r="Z204" i="8"/>
  <c r="AC204" i="8" s="1"/>
  <c r="Z206" i="8"/>
  <c r="AC206" i="8" s="1"/>
  <c r="Z208" i="8"/>
  <c r="AC208" i="8" s="1"/>
  <c r="Z210" i="8"/>
  <c r="Z212" i="8"/>
  <c r="AC212" i="8" s="1"/>
  <c r="Z214" i="8"/>
  <c r="Z216" i="8"/>
  <c r="Z225" i="8"/>
  <c r="AC225" i="8" s="1"/>
  <c r="AA234" i="8"/>
  <c r="AC234" i="8" s="1"/>
  <c r="AA242" i="8"/>
  <c r="AC242" i="8" s="1"/>
  <c r="AA250" i="8"/>
  <c r="AC250" i="8" s="1"/>
  <c r="AA258" i="8"/>
  <c r="AC258" i="8" s="1"/>
  <c r="Z261" i="8"/>
  <c r="AC261" i="8" s="1"/>
  <c r="AC343" i="8"/>
  <c r="Z364" i="8"/>
  <c r="AA364" i="8"/>
  <c r="AC364" i="8" s="1"/>
  <c r="AC400" i="8"/>
  <c r="AC347" i="8"/>
  <c r="Z356" i="8"/>
  <c r="AA356" i="8"/>
  <c r="AC356" i="8" s="1"/>
  <c r="AC263" i="8"/>
  <c r="AC267" i="8"/>
  <c r="AC271" i="8"/>
  <c r="AC275" i="8"/>
  <c r="AC279" i="8"/>
  <c r="AC283" i="8"/>
  <c r="AC287" i="8"/>
  <c r="AC291" i="8"/>
  <c r="AC295" i="8"/>
  <c r="AC299" i="8"/>
  <c r="AC303" i="8"/>
  <c r="AC307" i="8"/>
  <c r="AC311" i="8"/>
  <c r="AC315" i="8"/>
  <c r="AC319" i="8"/>
  <c r="AC323" i="8"/>
  <c r="AC327" i="8"/>
  <c r="AC331" i="8"/>
  <c r="AC335" i="8"/>
  <c r="AC345" i="8"/>
  <c r="AC404" i="8"/>
  <c r="AC516" i="8"/>
  <c r="AC453" i="8"/>
  <c r="AC464" i="8"/>
  <c r="AC585" i="8"/>
  <c r="Z357" i="8"/>
  <c r="Z365" i="8"/>
  <c r="AC365" i="8" s="1"/>
  <c r="Z373" i="8"/>
  <c r="AC373" i="8" s="1"/>
  <c r="Z381" i="8"/>
  <c r="AC381" i="8" s="1"/>
  <c r="Z389" i="8"/>
  <c r="AC395" i="8"/>
  <c r="AC405" i="8"/>
  <c r="AC474" i="8"/>
  <c r="AA475" i="8"/>
  <c r="AC475" i="8" s="1"/>
  <c r="AA352" i="8"/>
  <c r="AC352" i="8" s="1"/>
  <c r="AC418" i="8"/>
  <c r="Z534" i="8"/>
  <c r="AA534" i="8"/>
  <c r="AC534" i="8" s="1"/>
  <c r="AA392" i="8"/>
  <c r="AC392" i="8" s="1"/>
  <c r="Z392" i="8"/>
  <c r="AC508" i="8"/>
  <c r="Z260" i="8"/>
  <c r="AC260" i="8" s="1"/>
  <c r="Z262" i="8"/>
  <c r="AC262" i="8" s="1"/>
  <c r="Z264" i="8"/>
  <c r="AC264" i="8" s="1"/>
  <c r="Z266" i="8"/>
  <c r="AC266" i="8" s="1"/>
  <c r="Z268" i="8"/>
  <c r="AC268" i="8" s="1"/>
  <c r="Z270" i="8"/>
  <c r="AC270" i="8" s="1"/>
  <c r="Z272" i="8"/>
  <c r="AC272" i="8" s="1"/>
  <c r="Z274" i="8"/>
  <c r="AC274" i="8" s="1"/>
  <c r="Z276" i="8"/>
  <c r="Z278" i="8"/>
  <c r="Z280" i="8"/>
  <c r="Z282" i="8"/>
  <c r="AC282" i="8" s="1"/>
  <c r="Z284" i="8"/>
  <c r="AC284" i="8" s="1"/>
  <c r="Z286" i="8"/>
  <c r="AC286" i="8" s="1"/>
  <c r="Z288" i="8"/>
  <c r="AC288" i="8" s="1"/>
  <c r="Z290" i="8"/>
  <c r="AC290" i="8" s="1"/>
  <c r="Z292" i="8"/>
  <c r="AC292" i="8" s="1"/>
  <c r="Z294" i="8"/>
  <c r="AC294" i="8" s="1"/>
  <c r="Z296" i="8"/>
  <c r="AC296" i="8" s="1"/>
  <c r="Z298" i="8"/>
  <c r="AC298" i="8" s="1"/>
  <c r="Z300" i="8"/>
  <c r="AC300" i="8" s="1"/>
  <c r="Z302" i="8"/>
  <c r="AC302" i="8" s="1"/>
  <c r="Z304" i="8"/>
  <c r="AC304" i="8" s="1"/>
  <c r="Z306" i="8"/>
  <c r="AC306" i="8" s="1"/>
  <c r="Z308" i="8"/>
  <c r="AC308" i="8" s="1"/>
  <c r="Z310" i="8"/>
  <c r="AC310" i="8" s="1"/>
  <c r="Z312" i="8"/>
  <c r="AC312" i="8" s="1"/>
  <c r="Z314" i="8"/>
  <c r="Z316" i="8"/>
  <c r="AC316" i="8" s="1"/>
  <c r="Z318" i="8"/>
  <c r="AC318" i="8" s="1"/>
  <c r="Z320" i="8"/>
  <c r="AC320" i="8" s="1"/>
  <c r="Z322" i="8"/>
  <c r="Z324" i="8"/>
  <c r="Z326" i="8"/>
  <c r="Z328" i="8"/>
  <c r="AC328" i="8" s="1"/>
  <c r="Z330" i="8"/>
  <c r="AC330" i="8" s="1"/>
  <c r="Z332" i="8"/>
  <c r="Z334" i="8"/>
  <c r="AC461" i="8"/>
  <c r="AC605" i="8"/>
  <c r="Z353" i="8"/>
  <c r="AC353" i="8" s="1"/>
  <c r="Z361" i="8"/>
  <c r="AC361" i="8" s="1"/>
  <c r="Z369" i="8"/>
  <c r="AC369" i="8" s="1"/>
  <c r="Z377" i="8"/>
  <c r="AC377" i="8" s="1"/>
  <c r="Z385" i="8"/>
  <c r="AC385" i="8" s="1"/>
  <c r="AC427" i="8"/>
  <c r="AA452" i="8"/>
  <c r="AC452" i="8" s="1"/>
  <c r="AA531" i="8"/>
  <c r="AC531" i="8" s="1"/>
  <c r="AA380" i="8"/>
  <c r="AC380" i="8" s="1"/>
  <c r="AA388" i="8"/>
  <c r="AC388" i="8" s="1"/>
  <c r="AC437" i="8"/>
  <c r="AA468" i="8"/>
  <c r="AC468" i="8" s="1"/>
  <c r="AC478" i="8"/>
  <c r="AA563" i="8"/>
  <c r="AC563" i="8" s="1"/>
  <c r="AA579" i="8"/>
  <c r="AC579" i="8" s="1"/>
  <c r="AA583" i="8"/>
  <c r="AC583" i="8" s="1"/>
  <c r="AA587" i="8"/>
  <c r="AC587" i="8" s="1"/>
  <c r="AA591" i="8"/>
  <c r="AC591" i="8" s="1"/>
  <c r="AA595" i="8"/>
  <c r="AC595" i="8" s="1"/>
  <c r="AA599" i="8"/>
  <c r="AC599" i="8" s="1"/>
  <c r="AA603" i="8"/>
  <c r="AC603" i="8" s="1"/>
  <c r="AA607" i="8"/>
  <c r="AC607" i="8" s="1"/>
  <c r="AA617" i="8"/>
  <c r="AC617" i="8" s="1"/>
  <c r="Z651" i="8"/>
  <c r="AA651" i="8"/>
  <c r="AC651" i="8" s="1"/>
  <c r="Z882" i="8"/>
  <c r="AA882" i="8"/>
  <c r="AC882" i="8" s="1"/>
  <c r="Z914" i="8"/>
  <c r="AA914" i="8"/>
  <c r="Z394" i="8"/>
  <c r="AC394" i="8" s="1"/>
  <c r="Z396" i="8"/>
  <c r="AC396" i="8" s="1"/>
  <c r="Z398" i="8"/>
  <c r="AC398" i="8" s="1"/>
  <c r="Z400" i="8"/>
  <c r="Z402" i="8"/>
  <c r="AC402" i="8" s="1"/>
  <c r="Z404" i="8"/>
  <c r="Z406" i="8"/>
  <c r="Z408" i="8"/>
  <c r="AC408" i="8" s="1"/>
  <c r="Z410" i="8"/>
  <c r="AC410" i="8" s="1"/>
  <c r="Z412" i="8"/>
  <c r="AC412" i="8" s="1"/>
  <c r="Z414" i="8"/>
  <c r="AC414" i="8" s="1"/>
  <c r="Z416" i="8"/>
  <c r="AC416" i="8" s="1"/>
  <c r="Z418" i="8"/>
  <c r="Z420" i="8"/>
  <c r="AC420" i="8" s="1"/>
  <c r="Z422" i="8"/>
  <c r="AC422" i="8" s="1"/>
  <c r="Z424" i="8"/>
  <c r="AC424" i="8" s="1"/>
  <c r="Z426" i="8"/>
  <c r="AC426" i="8" s="1"/>
  <c r="Z428" i="8"/>
  <c r="Z430" i="8"/>
  <c r="AC430" i="8" s="1"/>
  <c r="Z432" i="8"/>
  <c r="Z434" i="8"/>
  <c r="Z436" i="8"/>
  <c r="AC436" i="8" s="1"/>
  <c r="Z438" i="8"/>
  <c r="AC438" i="8" s="1"/>
  <c r="Z440" i="8"/>
  <c r="Z442" i="8"/>
  <c r="AC442" i="8" s="1"/>
  <c r="Z444" i="8"/>
  <c r="AC444" i="8" s="1"/>
  <c r="Z446" i="8"/>
  <c r="AC446" i="8" s="1"/>
  <c r="Z453" i="8"/>
  <c r="Z462" i="8"/>
  <c r="AC462" i="8" s="1"/>
  <c r="Z469" i="8"/>
  <c r="AC469" i="8" s="1"/>
  <c r="Z478" i="8"/>
  <c r="Z486" i="8"/>
  <c r="AC486" i="8" s="1"/>
  <c r="Z494" i="8"/>
  <c r="AC494" i="8" s="1"/>
  <c r="Z502" i="8"/>
  <c r="AC502" i="8" s="1"/>
  <c r="Z510" i="8"/>
  <c r="AC510" i="8" s="1"/>
  <c r="Z518" i="8"/>
  <c r="AC518" i="8" s="1"/>
  <c r="Z526" i="8"/>
  <c r="AC526" i="8" s="1"/>
  <c r="Z529" i="8"/>
  <c r="AC529" i="8" s="1"/>
  <c r="AA532" i="8"/>
  <c r="AC532" i="8" s="1"/>
  <c r="Z545" i="8"/>
  <c r="AC545" i="8" s="1"/>
  <c r="AA548" i="8"/>
  <c r="AC548" i="8" s="1"/>
  <c r="Z561" i="8"/>
  <c r="AC561" i="8" s="1"/>
  <c r="AA564" i="8"/>
  <c r="AC564" i="8" s="1"/>
  <c r="Z577" i="8"/>
  <c r="AC577" i="8" s="1"/>
  <c r="AC608" i="8"/>
  <c r="Z615" i="8"/>
  <c r="AC615" i="8" s="1"/>
  <c r="Z682" i="8"/>
  <c r="AA682" i="8"/>
  <c r="AC682" i="8" s="1"/>
  <c r="Z451" i="8"/>
  <c r="AC451" i="8" s="1"/>
  <c r="Z460" i="8"/>
  <c r="AC460" i="8" s="1"/>
  <c r="Z467" i="8"/>
  <c r="AC467" i="8" s="1"/>
  <c r="Z476" i="8"/>
  <c r="AC476" i="8" s="1"/>
  <c r="Z481" i="8"/>
  <c r="Z489" i="8"/>
  <c r="AC489" i="8" s="1"/>
  <c r="Z497" i="8"/>
  <c r="AC497" i="8" s="1"/>
  <c r="Z505" i="8"/>
  <c r="AC505" i="8" s="1"/>
  <c r="Z513" i="8"/>
  <c r="AC513" i="8" s="1"/>
  <c r="Z521" i="8"/>
  <c r="AC521" i="8" s="1"/>
  <c r="Z539" i="8"/>
  <c r="AC539" i="8" s="1"/>
  <c r="AA542" i="8"/>
  <c r="AC542" i="8" s="1"/>
  <c r="Z555" i="8"/>
  <c r="AC555" i="8" s="1"/>
  <c r="AA558" i="8"/>
  <c r="AC558" i="8" s="1"/>
  <c r="Z571" i="8"/>
  <c r="AC571" i="8" s="1"/>
  <c r="AA574" i="8"/>
  <c r="AC574" i="8" s="1"/>
  <c r="AC580" i="8"/>
  <c r="Z581" i="8"/>
  <c r="AC581" i="8" s="1"/>
  <c r="Z585" i="8"/>
  <c r="Z589" i="8"/>
  <c r="AC589" i="8" s="1"/>
  <c r="AC592" i="8"/>
  <c r="Z593" i="8"/>
  <c r="AC593" i="8" s="1"/>
  <c r="AC596" i="8"/>
  <c r="Z597" i="8"/>
  <c r="AC597" i="8" s="1"/>
  <c r="Z601" i="8"/>
  <c r="AC601" i="8" s="1"/>
  <c r="Z605" i="8"/>
  <c r="Z609" i="8"/>
  <c r="AC609" i="8" s="1"/>
  <c r="Z643" i="8"/>
  <c r="AA643" i="8"/>
  <c r="AC643" i="8" s="1"/>
  <c r="Z654" i="8"/>
  <c r="AA654" i="8"/>
  <c r="Z449" i="8"/>
  <c r="Z458" i="8"/>
  <c r="AC458" i="8" s="1"/>
  <c r="Z465" i="8"/>
  <c r="Z474" i="8"/>
  <c r="Z484" i="8"/>
  <c r="AC484" i="8" s="1"/>
  <c r="Z492" i="8"/>
  <c r="AC492" i="8" s="1"/>
  <c r="Z500" i="8"/>
  <c r="AC500" i="8" s="1"/>
  <c r="Z508" i="8"/>
  <c r="Z516" i="8"/>
  <c r="Z524" i="8"/>
  <c r="AC524" i="8" s="1"/>
  <c r="Z533" i="8"/>
  <c r="AC533" i="8" s="1"/>
  <c r="AA536" i="8"/>
  <c r="AC536" i="8" s="1"/>
  <c r="Z549" i="8"/>
  <c r="AC549" i="8" s="1"/>
  <c r="AA552" i="8"/>
  <c r="AC552" i="8" s="1"/>
  <c r="Z565" i="8"/>
  <c r="AC565" i="8" s="1"/>
  <c r="AA568" i="8"/>
  <c r="AC568" i="8" s="1"/>
  <c r="Z619" i="8"/>
  <c r="AC619" i="8" s="1"/>
  <c r="AC649" i="8"/>
  <c r="Z397" i="8"/>
  <c r="AC397" i="8" s="1"/>
  <c r="Z399" i="8"/>
  <c r="AC399" i="8" s="1"/>
  <c r="Z401" i="8"/>
  <c r="AC401" i="8" s="1"/>
  <c r="Z403" i="8"/>
  <c r="AC403" i="8" s="1"/>
  <c r="Z405" i="8"/>
  <c r="Z407" i="8"/>
  <c r="AC407" i="8" s="1"/>
  <c r="Z409" i="8"/>
  <c r="AC409" i="8" s="1"/>
  <c r="Z411" i="8"/>
  <c r="AC411" i="8" s="1"/>
  <c r="Z423" i="8"/>
  <c r="AC423" i="8" s="1"/>
  <c r="Z425" i="8"/>
  <c r="AC425" i="8" s="1"/>
  <c r="Z427" i="8"/>
  <c r="Z429" i="8"/>
  <c r="AC429" i="8" s="1"/>
  <c r="Z431" i="8"/>
  <c r="AC431" i="8" s="1"/>
  <c r="Z433" i="8"/>
  <c r="AC433" i="8" s="1"/>
  <c r="Z435" i="8"/>
  <c r="AC435" i="8" s="1"/>
  <c r="Z454" i="8"/>
  <c r="Z461" i="8"/>
  <c r="Z470" i="8"/>
  <c r="Z477" i="8"/>
  <c r="AC477" i="8" s="1"/>
  <c r="Z482" i="8"/>
  <c r="AC482" i="8" s="1"/>
  <c r="Z490" i="8"/>
  <c r="AC490" i="8" s="1"/>
  <c r="Z498" i="8"/>
  <c r="AC498" i="8" s="1"/>
  <c r="Z506" i="8"/>
  <c r="AC506" i="8" s="1"/>
  <c r="Z514" i="8"/>
  <c r="AC514" i="8" s="1"/>
  <c r="Z522" i="8"/>
  <c r="AC522" i="8" s="1"/>
  <c r="Z537" i="8"/>
  <c r="AC537" i="8" s="1"/>
  <c r="AA540" i="8"/>
  <c r="AC540" i="8" s="1"/>
  <c r="Z553" i="8"/>
  <c r="AC553" i="8" s="1"/>
  <c r="AA556" i="8"/>
  <c r="AC556" i="8" s="1"/>
  <c r="Z569" i="8"/>
  <c r="AC569" i="8" s="1"/>
  <c r="AA572" i="8"/>
  <c r="AC572" i="8" s="1"/>
  <c r="Z635" i="8"/>
  <c r="AA635" i="8"/>
  <c r="AC635" i="8" s="1"/>
  <c r="AC641" i="8"/>
  <c r="AA550" i="8"/>
  <c r="AC550" i="8" s="1"/>
  <c r="AA566" i="8"/>
  <c r="AC566" i="8" s="1"/>
  <c r="Z772" i="8"/>
  <c r="AA772" i="8"/>
  <c r="AC772" i="8" s="1"/>
  <c r="AA636" i="8"/>
  <c r="AC636" i="8" s="1"/>
  <c r="AA644" i="8"/>
  <c r="AC644" i="8" s="1"/>
  <c r="AA652" i="8"/>
  <c r="AC652" i="8" s="1"/>
  <c r="AA659" i="8"/>
  <c r="AC659" i="8" s="1"/>
  <c r="AA663" i="8"/>
  <c r="AC663" i="8" s="1"/>
  <c r="AC729" i="8"/>
  <c r="Z834" i="8"/>
  <c r="AA834" i="8"/>
  <c r="AC834" i="8" s="1"/>
  <c r="AA639" i="8"/>
  <c r="AC639" i="8" s="1"/>
  <c r="AA647" i="8"/>
  <c r="AC647" i="8" s="1"/>
  <c r="Z930" i="8"/>
  <c r="AA930" i="8"/>
  <c r="AC930" i="8" s="1"/>
  <c r="Z580" i="8"/>
  <c r="Z582" i="8"/>
  <c r="Z584" i="8"/>
  <c r="AC584" i="8" s="1"/>
  <c r="Z586" i="8"/>
  <c r="AC586" i="8" s="1"/>
  <c r="Z588" i="8"/>
  <c r="Z590" i="8"/>
  <c r="AC590" i="8" s="1"/>
  <c r="Z592" i="8"/>
  <c r="Z594" i="8"/>
  <c r="Z596" i="8"/>
  <c r="Z598" i="8"/>
  <c r="AC598" i="8" s="1"/>
  <c r="Z600" i="8"/>
  <c r="AC600" i="8" s="1"/>
  <c r="Z602" i="8"/>
  <c r="Z604" i="8"/>
  <c r="AC604" i="8" s="1"/>
  <c r="Z606" i="8"/>
  <c r="AA650" i="8"/>
  <c r="AC650" i="8" s="1"/>
  <c r="AA653" i="8"/>
  <c r="AC653" i="8" s="1"/>
  <c r="AA656" i="8"/>
  <c r="AC656" i="8" s="1"/>
  <c r="AA660" i="8"/>
  <c r="AC660" i="8" s="1"/>
  <c r="AA664" i="8"/>
  <c r="AC664" i="8" s="1"/>
  <c r="AA668" i="8"/>
  <c r="AC668" i="8" s="1"/>
  <c r="AA672" i="8"/>
  <c r="AC672" i="8" s="1"/>
  <c r="AA676" i="8"/>
  <c r="AC676" i="8" s="1"/>
  <c r="AA680" i="8"/>
  <c r="AC680" i="8" s="1"/>
  <c r="AC723" i="8"/>
  <c r="Z866" i="8"/>
  <c r="AA866" i="8"/>
  <c r="AC866" i="8" s="1"/>
  <c r="Z898" i="8"/>
  <c r="AA898" i="8"/>
  <c r="AA640" i="8"/>
  <c r="AC640" i="8" s="1"/>
  <c r="AA648" i="8"/>
  <c r="AC648" i="8" s="1"/>
  <c r="AA657" i="8"/>
  <c r="AC657" i="8" s="1"/>
  <c r="AA661" i="8"/>
  <c r="AC661" i="8" s="1"/>
  <c r="AA665" i="8"/>
  <c r="AC665" i="8" s="1"/>
  <c r="AA669" i="8"/>
  <c r="AC669" i="8" s="1"/>
  <c r="AA673" i="8"/>
  <c r="AC673" i="8" s="1"/>
  <c r="AA677" i="8"/>
  <c r="AC677" i="8" s="1"/>
  <c r="AC733" i="8"/>
  <c r="AC765" i="8"/>
  <c r="Z769" i="8"/>
  <c r="AA769" i="8"/>
  <c r="AC769" i="8" s="1"/>
  <c r="AC681" i="8"/>
  <c r="Z850" i="8"/>
  <c r="AA850" i="8"/>
  <c r="AC850" i="8" s="1"/>
  <c r="AA688" i="8"/>
  <c r="AC688" i="8" s="1"/>
  <c r="AA690" i="8"/>
  <c r="AC690" i="8" s="1"/>
  <c r="AA692" i="8"/>
  <c r="AC692" i="8" s="1"/>
  <c r="AA694" i="8"/>
  <c r="AC694" i="8" s="1"/>
  <c r="AA696" i="8"/>
  <c r="AC696" i="8" s="1"/>
  <c r="AA698" i="8"/>
  <c r="AC698" i="8" s="1"/>
  <c r="AA700" i="8"/>
  <c r="AC700" i="8" s="1"/>
  <c r="AA702" i="8"/>
  <c r="AC702" i="8" s="1"/>
  <c r="AA704" i="8"/>
  <c r="AC704" i="8" s="1"/>
  <c r="AA706" i="8"/>
  <c r="AC706" i="8" s="1"/>
  <c r="AA708" i="8"/>
  <c r="AC708" i="8" s="1"/>
  <c r="AA710" i="8"/>
  <c r="AC710" i="8" s="1"/>
  <c r="AA712" i="8"/>
  <c r="AC712" i="8" s="1"/>
  <c r="AA714" i="8"/>
  <c r="AC714" i="8" s="1"/>
  <c r="AA716" i="8"/>
  <c r="AC716" i="8" s="1"/>
  <c r="AA718" i="8"/>
  <c r="AC718" i="8" s="1"/>
  <c r="AA720" i="8"/>
  <c r="AC720" i="8" s="1"/>
  <c r="AA722" i="8"/>
  <c r="AC722" i="8" s="1"/>
  <c r="AA724" i="8"/>
  <c r="AC724" i="8" s="1"/>
  <c r="AA726" i="8"/>
  <c r="AC726" i="8" s="1"/>
  <c r="AA728" i="8"/>
  <c r="AC728" i="8" s="1"/>
  <c r="AA730" i="8"/>
  <c r="AC730" i="8" s="1"/>
  <c r="AA732" i="8"/>
  <c r="AC732" i="8" s="1"/>
  <c r="AA734" i="8"/>
  <c r="AC734" i="8" s="1"/>
  <c r="AA736" i="8"/>
  <c r="AC736" i="8" s="1"/>
  <c r="AA738" i="8"/>
  <c r="AC738" i="8" s="1"/>
  <c r="AA740" i="8"/>
  <c r="AC740" i="8" s="1"/>
  <c r="AA742" i="8"/>
  <c r="AC742" i="8" s="1"/>
  <c r="AA744" i="8"/>
  <c r="AC744" i="8" s="1"/>
  <c r="AA746" i="8"/>
  <c r="AC746" i="8" s="1"/>
  <c r="AA748" i="8"/>
  <c r="AC748" i="8" s="1"/>
  <c r="AA750" i="8"/>
  <c r="AC750" i="8" s="1"/>
  <c r="AA752" i="8"/>
  <c r="AC752" i="8" s="1"/>
  <c r="AA754" i="8"/>
  <c r="AC754" i="8" s="1"/>
  <c r="AA756" i="8"/>
  <c r="AC756" i="8" s="1"/>
  <c r="AA758" i="8"/>
  <c r="AC758" i="8" s="1"/>
  <c r="AA760" i="8"/>
  <c r="AC760" i="8" s="1"/>
  <c r="AA762" i="8"/>
  <c r="AC762" i="8" s="1"/>
  <c r="AC776" i="8"/>
  <c r="AC845" i="8"/>
  <c r="AA878" i="8"/>
  <c r="AC878" i="8" s="1"/>
  <c r="AA894" i="8"/>
  <c r="AC894" i="8" s="1"/>
  <c r="AA910" i="8"/>
  <c r="AC910" i="8" s="1"/>
  <c r="AC925" i="8"/>
  <c r="AA926" i="8"/>
  <c r="AC926" i="8" s="1"/>
  <c r="Z681" i="8"/>
  <c r="Z683" i="8"/>
  <c r="AC683" i="8" s="1"/>
  <c r="Z685" i="8"/>
  <c r="AC685" i="8" s="1"/>
  <c r="Z687" i="8"/>
  <c r="AC687" i="8" s="1"/>
  <c r="Z689" i="8"/>
  <c r="AC689" i="8" s="1"/>
  <c r="Z691" i="8"/>
  <c r="AC691" i="8" s="1"/>
  <c r="Z693" i="8"/>
  <c r="AC693" i="8" s="1"/>
  <c r="Z695" i="8"/>
  <c r="AC695" i="8" s="1"/>
  <c r="Z697" i="8"/>
  <c r="Z699" i="8"/>
  <c r="AC699" i="8" s="1"/>
  <c r="Z701" i="8"/>
  <c r="AC701" i="8" s="1"/>
  <c r="Z703" i="8"/>
  <c r="AC703" i="8" s="1"/>
  <c r="Z705" i="8"/>
  <c r="AC705" i="8" s="1"/>
  <c r="Z707" i="8"/>
  <c r="AC707" i="8" s="1"/>
  <c r="Z709" i="8"/>
  <c r="AC709" i="8" s="1"/>
  <c r="Z711" i="8"/>
  <c r="AC711" i="8" s="1"/>
  <c r="Z713" i="8"/>
  <c r="AC713" i="8" s="1"/>
  <c r="Z715" i="8"/>
  <c r="AC715" i="8" s="1"/>
  <c r="Z717" i="8"/>
  <c r="AC717" i="8" s="1"/>
  <c r="Z719" i="8"/>
  <c r="Z721" i="8"/>
  <c r="AC721" i="8" s="1"/>
  <c r="Z723" i="8"/>
  <c r="Z725" i="8"/>
  <c r="AC725" i="8" s="1"/>
  <c r="Z727" i="8"/>
  <c r="AC727" i="8" s="1"/>
  <c r="Z729" i="8"/>
  <c r="Z731" i="8"/>
  <c r="AC731" i="8" s="1"/>
  <c r="Z733" i="8"/>
  <c r="Z735" i="8"/>
  <c r="AC735" i="8" s="1"/>
  <c r="Z737" i="8"/>
  <c r="AC737" i="8" s="1"/>
  <c r="Z739" i="8"/>
  <c r="AC739" i="8" s="1"/>
  <c r="Z741" i="8"/>
  <c r="AC741" i="8" s="1"/>
  <c r="Z743" i="8"/>
  <c r="AC743" i="8" s="1"/>
  <c r="Z745" i="8"/>
  <c r="AC745" i="8" s="1"/>
  <c r="Z747" i="8"/>
  <c r="AC747" i="8" s="1"/>
  <c r="Z749" i="8"/>
  <c r="AC749" i="8" s="1"/>
  <c r="Z751" i="8"/>
  <c r="AC751" i="8" s="1"/>
  <c r="Z753" i="8"/>
  <c r="AC753" i="8" s="1"/>
  <c r="Z755" i="8"/>
  <c r="AC755" i="8" s="1"/>
  <c r="Z757" i="8"/>
  <c r="AC757" i="8" s="1"/>
  <c r="Z759" i="8"/>
  <c r="AC759" i="8" s="1"/>
  <c r="Z761" i="8"/>
  <c r="AC761" i="8" s="1"/>
  <c r="Z763" i="8"/>
  <c r="AC763" i="8" s="1"/>
  <c r="AA770" i="8"/>
  <c r="AC770" i="8" s="1"/>
  <c r="AA780" i="8"/>
  <c r="AC780" i="8" s="1"/>
  <c r="AA784" i="8"/>
  <c r="AC784" i="8" s="1"/>
  <c r="AA788" i="8"/>
  <c r="AC788" i="8" s="1"/>
  <c r="AA792" i="8"/>
  <c r="AC792" i="8" s="1"/>
  <c r="AA796" i="8"/>
  <c r="AC796" i="8" s="1"/>
  <c r="AA916" i="8"/>
  <c r="AC916" i="8" s="1"/>
  <c r="AA826" i="8"/>
  <c r="AC826" i="8" s="1"/>
  <c r="AC841" i="8"/>
  <c r="AA842" i="8"/>
  <c r="AC842" i="8" s="1"/>
  <c r="AA858" i="8"/>
  <c r="AC858" i="8" s="1"/>
  <c r="AA874" i="8"/>
  <c r="AC874" i="8" s="1"/>
  <c r="AA890" i="8"/>
  <c r="AC890" i="8" s="1"/>
  <c r="AC905" i="8"/>
  <c r="AA906" i="8"/>
  <c r="AC906" i="8" s="1"/>
  <c r="AA922" i="8"/>
  <c r="AC922" i="8" s="1"/>
  <c r="AA932" i="8"/>
  <c r="AC932" i="8" s="1"/>
  <c r="AA768" i="8"/>
  <c r="AC768" i="8" s="1"/>
  <c r="AA771" i="8"/>
  <c r="AC771" i="8" s="1"/>
  <c r="AA774" i="8"/>
  <c r="AC774" i="8" s="1"/>
  <c r="AA781" i="8"/>
  <c r="AC781" i="8" s="1"/>
  <c r="AA785" i="8"/>
  <c r="AC785" i="8" s="1"/>
  <c r="AA789" i="8"/>
  <c r="AC789" i="8" s="1"/>
  <c r="AA793" i="8"/>
  <c r="AC793" i="8" s="1"/>
  <c r="AA797" i="8"/>
  <c r="AC797" i="8" s="1"/>
  <c r="AA801" i="8"/>
  <c r="AC801" i="8" s="1"/>
  <c r="AA805" i="8"/>
  <c r="AC805" i="8" s="1"/>
  <c r="AA809" i="8"/>
  <c r="AC809" i="8" s="1"/>
  <c r="AA813" i="8"/>
  <c r="AC813" i="8" s="1"/>
  <c r="AA817" i="8"/>
  <c r="AC817" i="8" s="1"/>
  <c r="AA832" i="8"/>
  <c r="AC832" i="8" s="1"/>
  <c r="AA848" i="8"/>
  <c r="AC848" i="8" s="1"/>
  <c r="AA864" i="8"/>
  <c r="AC864" i="8" s="1"/>
  <c r="AC879" i="8"/>
  <c r="AA880" i="8"/>
  <c r="AC880" i="8" s="1"/>
  <c r="AA896" i="8"/>
  <c r="AC896" i="8" s="1"/>
  <c r="AA912" i="8"/>
  <c r="AC912" i="8" s="1"/>
  <c r="AA928" i="8"/>
  <c r="AC928" i="8" s="1"/>
  <c r="AA821" i="8"/>
  <c r="AC821" i="8" s="1"/>
  <c r="Z821" i="8"/>
  <c r="AA775" i="8"/>
  <c r="AC775" i="8" s="1"/>
  <c r="AA778" i="8"/>
  <c r="AC778" i="8" s="1"/>
  <c r="AA782" i="8"/>
  <c r="AC782" i="8" s="1"/>
  <c r="AA786" i="8"/>
  <c r="AC786" i="8" s="1"/>
  <c r="AA790" i="8"/>
  <c r="AC790" i="8" s="1"/>
  <c r="AA794" i="8"/>
  <c r="AC794" i="8" s="1"/>
  <c r="AA798" i="8"/>
  <c r="AC798" i="8" s="1"/>
  <c r="AA802" i="8"/>
  <c r="AC802" i="8" s="1"/>
  <c r="AA806" i="8"/>
  <c r="AC806" i="8" s="1"/>
  <c r="AA810" i="8"/>
  <c r="AC810" i="8" s="1"/>
  <c r="AA814" i="8"/>
  <c r="AC814" i="8" s="1"/>
  <c r="AC875" i="8"/>
  <c r="AC891" i="8"/>
  <c r="AC907" i="8"/>
  <c r="AC923" i="8"/>
  <c r="Z823" i="8"/>
  <c r="Z825" i="8"/>
  <c r="AC825" i="8" s="1"/>
  <c r="Z827" i="8"/>
  <c r="AC827" i="8" s="1"/>
  <c r="Z829" i="8"/>
  <c r="Z831" i="8"/>
  <c r="AC831" i="8" s="1"/>
  <c r="Z833" i="8"/>
  <c r="Z835" i="8"/>
  <c r="AC835" i="8" s="1"/>
  <c r="Z837" i="8"/>
  <c r="Z839" i="8"/>
  <c r="AC839" i="8" s="1"/>
  <c r="Z841" i="8"/>
  <c r="Z843" i="8"/>
  <c r="AC843" i="8" s="1"/>
  <c r="Z845" i="8"/>
  <c r="Z847" i="8"/>
  <c r="AC847" i="8" s="1"/>
  <c r="Z849" i="8"/>
  <c r="AC849" i="8" s="1"/>
  <c r="Z851" i="8"/>
  <c r="AC851" i="8" s="1"/>
  <c r="Z853" i="8"/>
  <c r="AC853" i="8" s="1"/>
  <c r="Z855" i="8"/>
  <c r="AC855" i="8" s="1"/>
  <c r="Z857" i="8"/>
  <c r="AC857" i="8" s="1"/>
  <c r="Z859" i="8"/>
  <c r="Z861" i="8"/>
  <c r="AC861" i="8" s="1"/>
  <c r="Z863" i="8"/>
  <c r="AC863" i="8" s="1"/>
  <c r="Z865" i="8"/>
  <c r="AC865" i="8" s="1"/>
  <c r="Z867" i="8"/>
  <c r="Z869" i="8"/>
  <c r="AC869" i="8" s="1"/>
  <c r="Z871" i="8"/>
  <c r="AC871" i="8" s="1"/>
  <c r="Z873" i="8"/>
  <c r="AC873" i="8" s="1"/>
  <c r="Z875" i="8"/>
  <c r="Z877" i="8"/>
  <c r="AC877" i="8" s="1"/>
  <c r="Z879" i="8"/>
  <c r="Z881" i="8"/>
  <c r="AC881" i="8" s="1"/>
  <c r="Z883" i="8"/>
  <c r="Z885" i="8"/>
  <c r="AC885" i="8" s="1"/>
  <c r="Z887" i="8"/>
  <c r="AC887" i="8" s="1"/>
  <c r="Z889" i="8"/>
  <c r="AC889" i="8" s="1"/>
  <c r="Z891" i="8"/>
  <c r="Z893" i="8"/>
  <c r="Z895" i="8"/>
  <c r="AC895" i="8" s="1"/>
  <c r="Z897" i="8"/>
  <c r="AC897" i="8" s="1"/>
  <c r="Z899" i="8"/>
  <c r="AC899" i="8" s="1"/>
  <c r="Z901" i="8"/>
  <c r="AC901" i="8" s="1"/>
  <c r="Z903" i="8"/>
  <c r="AC903" i="8" s="1"/>
  <c r="Z905" i="8"/>
  <c r="Z907" i="8"/>
  <c r="Z909" i="8"/>
  <c r="AC909" i="8" s="1"/>
  <c r="Z911" i="8"/>
  <c r="AC911" i="8" s="1"/>
  <c r="Z913" i="8"/>
  <c r="AC913" i="8" s="1"/>
  <c r="Z915" i="8"/>
  <c r="AC915" i="8" s="1"/>
  <c r="Z917" i="8"/>
  <c r="AC917" i="8" s="1"/>
  <c r="Z919" i="8"/>
  <c r="Z921" i="8"/>
  <c r="AC921" i="8" s="1"/>
  <c r="Z923" i="8"/>
  <c r="Z925" i="8"/>
  <c r="Z927" i="8"/>
  <c r="AC927" i="8" s="1"/>
  <c r="AC914" i="8" l="1"/>
  <c r="AC898" i="8"/>
  <c r="AC654" i="8"/>
</calcChain>
</file>

<file path=xl/sharedStrings.xml><?xml version="1.0" encoding="utf-8"?>
<sst xmlns="http://schemas.openxmlformats.org/spreadsheetml/2006/main" count="2885" uniqueCount="2704">
  <si>
    <t>Field</t>
  </si>
  <si>
    <t>Missing Count</t>
  </si>
  <si>
    <t>Action Taken</t>
  </si>
  <si>
    <t>order_id</t>
  </si>
  <si>
    <t>order_date</t>
  </si>
  <si>
    <t>ship_date</t>
  </si>
  <si>
    <t>customer_id</t>
  </si>
  <si>
    <t>customer_name</t>
  </si>
  <si>
    <t>segment</t>
  </si>
  <si>
    <t>region</t>
  </si>
  <si>
    <t>Filled with Unknown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</si>
  <si>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</si>
  <si>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</si>
  <si>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</si>
  <si>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</si>
  <si>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</si>
  <si>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</si>
  <si>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</si>
  <si>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</si>
  <si>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</si>
  <si>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Filled with 0 if valid</t>
  </si>
  <si>
    <t>sales</t>
  </si>
  <si>
    <t>cost</t>
  </si>
  <si>
    <t>profit</t>
  </si>
  <si>
    <t>payment_status</t>
  </si>
  <si>
    <t>order_status</t>
  </si>
  <si>
    <t>Profit Margin</t>
  </si>
  <si>
    <t>Order moth</t>
  </si>
  <si>
    <t>Order Year</t>
  </si>
  <si>
    <t>Shipping_Delay_Days</t>
  </si>
  <si>
    <t>Cleaned Discount</t>
  </si>
  <si>
    <t>Calculated Sales</t>
  </si>
  <si>
    <t>Calculated Profit</t>
  </si>
  <si>
    <t>Data Quality Flag</t>
  </si>
  <si>
    <t>Metric</t>
  </si>
  <si>
    <t>Value</t>
  </si>
  <si>
    <t>Exact duplicate rows</t>
  </si>
  <si>
    <t>Duplicate order IDs</t>
  </si>
  <si>
    <t>Records removed</t>
  </si>
  <si>
    <t>Records flagged</t>
  </si>
  <si>
    <t>Logic</t>
  </si>
  <si>
    <t>Exact duplicates removed; conflicting IDs flagged.</t>
  </si>
  <si>
    <t>Count</t>
  </si>
  <si>
    <t>Missing</t>
  </si>
  <si>
    <t>Negative</t>
  </si>
  <si>
    <t>&gt; Allowed Range</t>
  </si>
  <si>
    <t>Total Invalid</t>
  </si>
  <si>
    <t>Sales Mismatch</t>
  </si>
  <si>
    <t>Profit Mismatch</t>
  </si>
  <si>
    <t>Total</t>
  </si>
  <si>
    <t>Clean</t>
  </si>
  <si>
    <t>Warning</t>
  </si>
  <si>
    <t>Invalid</t>
  </si>
  <si>
    <t>ORD-2024-10001</t>
  </si>
  <si>
    <t>CUST-4655</t>
  </si>
  <si>
    <t>Pro Paper 122</t>
  </si>
  <si>
    <t>ORD-2024-10002</t>
  </si>
  <si>
    <t>CUST-2054</t>
  </si>
  <si>
    <t>Pro Tables 258</t>
  </si>
  <si>
    <t>ORD-2024-10003</t>
  </si>
  <si>
    <t>CUST-6843</t>
  </si>
  <si>
    <t>Elite Art 525</t>
  </si>
  <si>
    <t>ORD-2024-10004</t>
  </si>
  <si>
    <t>CUST-3722</t>
  </si>
  <si>
    <t>Smart Furnishings 294</t>
  </si>
  <si>
    <t>ORD-2025-10005</t>
  </si>
  <si>
    <t>CUST-8130</t>
  </si>
  <si>
    <t>Elite Chairs 543</t>
  </si>
  <si>
    <t>ORD-2024-10006</t>
  </si>
  <si>
    <t>CUST-6056</t>
  </si>
  <si>
    <t>Pro Accessories 821</t>
  </si>
  <si>
    <t>ORD-2025-10007</t>
  </si>
  <si>
    <t>CUST-3656</t>
  </si>
  <si>
    <t>Eco Copiers 790</t>
  </si>
  <si>
    <t>ORD-2025-10008</t>
  </si>
  <si>
    <t>CUST-4683</t>
  </si>
  <si>
    <t>Eco Art 848</t>
  </si>
  <si>
    <t>ORD-2024-10009</t>
  </si>
  <si>
    <t>CUST-2598</t>
  </si>
  <si>
    <t>Classic Labels 815</t>
  </si>
  <si>
    <t>ORD-2025-10010</t>
  </si>
  <si>
    <t>CUST-2483</t>
  </si>
  <si>
    <t>Pro Paper 622</t>
  </si>
  <si>
    <t>ORD-2025-10011</t>
  </si>
  <si>
    <t>CUST-8092</t>
  </si>
  <si>
    <t>Prime Labels 644</t>
  </si>
  <si>
    <t>ORD-2024-10012</t>
  </si>
  <si>
    <t>CUST-6528</t>
  </si>
  <si>
    <t>Smart Accessories 603</t>
  </si>
  <si>
    <t>ORD-2024-10013</t>
  </si>
  <si>
    <t>CUST-2648</t>
  </si>
  <si>
    <t>Pro Paper 481</t>
  </si>
  <si>
    <t>ORD-2025-10014</t>
  </si>
  <si>
    <t>CUST-7482</t>
  </si>
  <si>
    <t>Smart Art 795</t>
  </si>
  <si>
    <t>ORD-2024-10015</t>
  </si>
  <si>
    <t>CUST-4912</t>
  </si>
  <si>
    <t>Max Copiers 983</t>
  </si>
  <si>
    <t>ORD-2024-10016</t>
  </si>
  <si>
    <t>CUST-7656</t>
  </si>
  <si>
    <t>Classic Storage 198</t>
  </si>
  <si>
    <t>ORD-2024-10017</t>
  </si>
  <si>
    <t>CUST-6214</t>
  </si>
  <si>
    <t>Basic Art 204</t>
  </si>
  <si>
    <t>ORD-2024-10018</t>
  </si>
  <si>
    <t>CUST-1626</t>
  </si>
  <si>
    <t>Basic Furnishings 434</t>
  </si>
  <si>
    <t>ORD-2025-10019</t>
  </si>
  <si>
    <t>CUST-2110</t>
  </si>
  <si>
    <t>Eco Copiers 755</t>
  </si>
  <si>
    <t>ORD-2024-10020</t>
  </si>
  <si>
    <t>CUST-3186</t>
  </si>
  <si>
    <t>Prime Storage 121</t>
  </si>
  <si>
    <t>ORD-2025-10021</t>
  </si>
  <si>
    <t>CUST-3190</t>
  </si>
  <si>
    <t>Elite Copiers 233</t>
  </si>
  <si>
    <t>ORD-2025-10022</t>
  </si>
  <si>
    <t>CUST-3036</t>
  </si>
  <si>
    <t>Eco Furnishings 897</t>
  </si>
  <si>
    <t>ORD-2025-10023</t>
  </si>
  <si>
    <t>CUST-3588</t>
  </si>
  <si>
    <t>Max Binders 355</t>
  </si>
  <si>
    <t>ORD-2025-10024</t>
  </si>
  <si>
    <t>CUST-7098</t>
  </si>
  <si>
    <t>Pro Bookcases 394</t>
  </si>
  <si>
    <t>ORD-2024-10025</t>
  </si>
  <si>
    <t>CUST-1747</t>
  </si>
  <si>
    <t>Max Art 215</t>
  </si>
  <si>
    <t>ORD-2024-10026</t>
  </si>
  <si>
    <t>CUST-1731</t>
  </si>
  <si>
    <t>Classic Accessories 478</t>
  </si>
  <si>
    <t>ORD-2024-10027</t>
  </si>
  <si>
    <t>CUST-4401</t>
  </si>
  <si>
    <t>Pro Phones 243</t>
  </si>
  <si>
    <t>ORD-2025-10028</t>
  </si>
  <si>
    <t>CUST-9875</t>
  </si>
  <si>
    <t>Basic Paper 613</t>
  </si>
  <si>
    <t>ORD-2024-10029</t>
  </si>
  <si>
    <t>CUST-1569</t>
  </si>
  <si>
    <t>Prime Phones 698</t>
  </si>
  <si>
    <t>ORD-2025-10030</t>
  </si>
  <si>
    <t>CUST-5936</t>
  </si>
  <si>
    <t>Pro Phones 442</t>
  </si>
  <si>
    <t>ORD-2024-10031</t>
  </si>
  <si>
    <t>CUST-8759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</si>
  <si>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</si>
  <si>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</si>
  <si>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</si>
  <si>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</si>
  <si>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</si>
  <si>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</si>
  <si>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</si>
  <si>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</si>
  <si>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</si>
  <si>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</si>
  <si>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</si>
  <si>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</si>
  <si>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</si>
  <si>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</si>
  <si>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</si>
  <si>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</si>
  <si>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</si>
  <si>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</si>
  <si>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</si>
  <si>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</si>
  <si>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</si>
  <si>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</si>
  <si>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</si>
  <si>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</si>
  <si>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</si>
  <si>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</si>
  <si>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</si>
  <si>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</si>
  <si>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</si>
  <si>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</si>
  <si>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</si>
  <si>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</si>
  <si>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</si>
  <si>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</si>
  <si>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</si>
  <si>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</si>
  <si>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Eco Phones 702</t>
  </si>
  <si>
    <t>ORD-2024-10044</t>
  </si>
  <si>
    <t>CUST-7119</t>
  </si>
  <si>
    <t>Smart Furnishings 956</t>
  </si>
  <si>
    <t>ORD-2024-10045</t>
  </si>
  <si>
    <t>CUST-3373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</si>
  <si>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</si>
  <si>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</si>
  <si>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</si>
  <si>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</si>
  <si>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</si>
  <si>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</si>
  <si>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</si>
  <si>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</si>
  <si>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</si>
  <si>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</si>
  <si>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</si>
  <si>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</si>
  <si>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</si>
  <si>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</si>
  <si>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</si>
  <si>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</si>
  <si>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</si>
  <si>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</si>
  <si>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</si>
  <si>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</si>
  <si>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</si>
  <si>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</si>
  <si>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</si>
  <si>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</si>
  <si>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</si>
  <si>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</si>
  <si>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</si>
  <si>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</si>
  <si>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</si>
  <si>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</si>
  <si>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</si>
  <si>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</si>
  <si>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</si>
  <si>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</si>
  <si>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</si>
  <si>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</si>
  <si>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</si>
  <si>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</si>
  <si>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</si>
  <si>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</si>
  <si>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</si>
  <si>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</si>
  <si>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</si>
  <si>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</si>
  <si>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</si>
  <si>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</si>
  <si>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</si>
  <si>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</si>
  <si>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</si>
  <si>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</si>
  <si>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</si>
  <si>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</si>
  <si>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</si>
  <si>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</si>
  <si>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</si>
  <si>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</si>
  <si>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</si>
  <si>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</si>
  <si>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</si>
  <si>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</si>
  <si>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</si>
  <si>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</si>
  <si>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</si>
  <si>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</si>
  <si>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</si>
  <si>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</si>
  <si>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</si>
  <si>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</si>
  <si>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</si>
  <si>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</si>
  <si>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</si>
  <si>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</si>
  <si>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</si>
  <si>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</si>
  <si>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</si>
  <si>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</si>
  <si>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</si>
  <si>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</si>
  <si>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</si>
  <si>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</si>
  <si>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</si>
  <si>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</si>
  <si>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</si>
  <si>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</si>
  <si>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</si>
  <si>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</si>
  <si>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</si>
  <si>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</si>
  <si>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</si>
  <si>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</si>
  <si>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</si>
  <si>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</si>
  <si>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</si>
  <si>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</si>
  <si>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</si>
  <si>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</si>
  <si>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</si>
  <si>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</si>
  <si>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</si>
  <si>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</si>
  <si>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</si>
  <si>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</si>
  <si>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</si>
  <si>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</si>
  <si>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</si>
  <si>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</si>
  <si>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</si>
  <si>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</si>
  <si>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</si>
  <si>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</si>
  <si>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</si>
  <si>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</si>
  <si>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</si>
  <si>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</si>
  <si>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</si>
  <si>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</si>
  <si>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</si>
  <si>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</si>
  <si>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</si>
  <si>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</si>
  <si>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</si>
  <si>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</si>
  <si>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</si>
  <si>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</si>
  <si>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</si>
  <si>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</si>
  <si>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</si>
  <si>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</si>
  <si>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</si>
  <si>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</si>
  <si>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</si>
  <si>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</si>
  <si>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</si>
  <si>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</si>
  <si>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</si>
  <si>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</si>
  <si>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</si>
  <si>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</si>
  <si>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</si>
  <si>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</si>
  <si>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</si>
  <si>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</si>
  <si>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</si>
  <si>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</si>
  <si>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</si>
  <si>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</si>
  <si>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</si>
  <si>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</si>
  <si>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</si>
  <si>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</si>
  <si>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</si>
  <si>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</si>
  <si>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</si>
  <si>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</si>
  <si>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</si>
  <si>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</si>
  <si>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</si>
  <si>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</si>
  <si>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</si>
  <si>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</si>
  <si>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</si>
  <si>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</si>
  <si>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</si>
  <si>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</si>
  <si>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</si>
  <si>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</si>
  <si>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</si>
  <si>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</si>
  <si>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</si>
  <si>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</si>
  <si>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</si>
  <si>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</si>
  <si>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</si>
  <si>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</si>
  <si>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</si>
  <si>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</si>
  <si>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</si>
  <si>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</si>
  <si>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</si>
  <si>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</si>
  <si>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</si>
  <si>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</si>
  <si>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</si>
  <si>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</si>
  <si>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</si>
  <si>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</si>
  <si>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</si>
  <si>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</si>
  <si>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</si>
  <si>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</si>
  <si>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</si>
  <si>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</si>
  <si>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</si>
  <si>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</si>
  <si>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</si>
  <si>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</si>
  <si>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</si>
  <si>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</si>
  <si>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</si>
  <si>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</si>
  <si>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</si>
  <si>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</si>
  <si>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</si>
  <si>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</si>
  <si>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</si>
  <si>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</si>
  <si>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</si>
  <si>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</si>
  <si>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</si>
  <si>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</si>
  <si>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</si>
  <si>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</si>
  <si>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</si>
  <si>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</si>
  <si>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</si>
  <si>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</si>
  <si>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</si>
  <si>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</si>
  <si>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</si>
  <si>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</si>
  <si>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</si>
  <si>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</si>
  <si>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</si>
  <si>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</si>
  <si>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</si>
  <si>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</si>
  <si>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</si>
  <si>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</si>
  <si>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</si>
  <si>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</si>
  <si>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</si>
  <si>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</si>
  <si>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</si>
  <si>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</si>
  <si>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</si>
  <si>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</si>
  <si>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</si>
  <si>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</si>
  <si>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</si>
  <si>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</si>
  <si>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</si>
  <si>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</si>
  <si>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</si>
  <si>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</si>
  <si>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</si>
  <si>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</si>
  <si>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</si>
  <si>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</si>
  <si>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</si>
  <si>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</si>
  <si>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</si>
  <si>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</si>
  <si>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</si>
  <si>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</si>
  <si>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</si>
  <si>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</si>
  <si>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</si>
  <si>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</si>
  <si>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</si>
  <si>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</si>
  <si>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</si>
  <si>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</si>
  <si>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</si>
  <si>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</si>
  <si>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</si>
  <si>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</si>
  <si>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</si>
  <si>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</si>
  <si>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</si>
  <si>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</si>
  <si>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</si>
  <si>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</si>
  <si>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</si>
  <si>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</si>
  <si>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</si>
  <si>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</si>
  <si>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</si>
  <si>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</si>
  <si>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</si>
  <si>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</si>
  <si>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</si>
  <si>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</si>
  <si>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</si>
  <si>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</si>
  <si>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</si>
  <si>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</si>
  <si>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</si>
  <si>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</si>
  <si>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</si>
  <si>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</si>
  <si>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</si>
  <si>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</si>
  <si>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</si>
  <si>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</si>
  <si>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</si>
  <si>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</si>
  <si>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</si>
  <si>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</si>
  <si>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</si>
  <si>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</si>
  <si>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</si>
  <si>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</si>
  <si>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</si>
  <si>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</si>
  <si>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</si>
  <si>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</si>
  <si>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</si>
  <si>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</si>
  <si>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</si>
  <si>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</si>
  <si>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</si>
  <si>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</si>
  <si>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</si>
  <si>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</si>
  <si>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</si>
  <si>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</si>
  <si>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</si>
  <si>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</si>
  <si>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</si>
  <si>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</si>
  <si>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</si>
  <si>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</si>
  <si>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</si>
  <si>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</si>
  <si>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</si>
  <si>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</si>
  <si>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</si>
  <si>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</si>
  <si>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</si>
  <si>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</si>
  <si>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</si>
  <si>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</si>
  <si>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</si>
  <si>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</si>
  <si>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</si>
  <si>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</si>
  <si>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</si>
  <si>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</si>
  <si>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</si>
  <si>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</si>
  <si>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</si>
  <si>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</si>
  <si>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</si>
  <si>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</si>
  <si>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</si>
  <si>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</si>
  <si>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</si>
  <si>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</si>
  <si>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</si>
  <si>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</si>
  <si>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</si>
  <si>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</si>
  <si>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</si>
  <si>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</si>
  <si>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</si>
  <si>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</si>
  <si>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</si>
  <si>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</si>
  <si>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</si>
  <si>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</si>
  <si>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</si>
  <si>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</si>
  <si>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</si>
  <si>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</si>
  <si>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</si>
  <si>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</si>
  <si>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</si>
  <si>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</si>
  <si>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</si>
  <si>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</si>
  <si>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</si>
  <si>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</si>
  <si>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</si>
  <si>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</si>
  <si>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</si>
  <si>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</si>
  <si>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</si>
  <si>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</si>
  <si>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</si>
  <si>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</si>
  <si>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</si>
  <si>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</si>
  <si>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</si>
  <si>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</si>
  <si>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</si>
  <si>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</si>
  <si>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</si>
  <si>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</si>
  <si>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</si>
  <si>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</si>
  <si>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</si>
  <si>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</si>
  <si>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</si>
  <si>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</si>
  <si>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</si>
  <si>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</si>
  <si>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</si>
  <si>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</si>
  <si>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</si>
  <si>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</si>
  <si>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</si>
  <si>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</si>
  <si>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</si>
  <si>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</si>
  <si>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</si>
  <si>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</si>
  <si>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</si>
  <si>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</si>
  <si>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</si>
  <si>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</si>
  <si>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</si>
  <si>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</si>
  <si>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</si>
  <si>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</si>
  <si>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</si>
  <si>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</si>
  <si>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</si>
  <si>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</si>
  <si>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</si>
  <si>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</si>
  <si>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</si>
  <si>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</si>
  <si>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</si>
  <si>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</si>
  <si>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</si>
  <si>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</si>
  <si>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</si>
  <si>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</si>
  <si>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</si>
  <si>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</si>
  <si>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</si>
  <si>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</si>
  <si>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</si>
  <si>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</si>
  <si>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</si>
  <si>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</si>
  <si>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</si>
  <si>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</si>
  <si>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</si>
  <si>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</si>
  <si>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</si>
  <si>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</si>
  <si>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</si>
  <si>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</si>
  <si>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</si>
  <si>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</si>
  <si>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</si>
  <si>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</si>
  <si>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</si>
  <si>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</si>
  <si>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</si>
  <si>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</si>
  <si>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</si>
  <si>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</si>
  <si>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</si>
  <si>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</si>
  <si>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</si>
  <si>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</si>
  <si>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</si>
  <si>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</si>
  <si>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</si>
  <si>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</si>
  <si>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</si>
  <si>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</si>
  <si>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</si>
  <si>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</si>
  <si>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</si>
  <si>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</si>
  <si>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</si>
  <si>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</si>
  <si>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</si>
  <si>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</si>
  <si>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</si>
  <si>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</si>
  <si>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</si>
  <si>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</si>
  <si>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</si>
  <si>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</si>
  <si>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</si>
  <si>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</si>
  <si>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</si>
  <si>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</si>
  <si>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</si>
  <si>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</si>
  <si>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</si>
  <si>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</si>
  <si>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</si>
  <si>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</si>
  <si>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</si>
  <si>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</si>
  <si>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</si>
  <si>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</si>
  <si>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</si>
  <si>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</si>
  <si>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</si>
  <si>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</si>
  <si>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</si>
  <si>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</si>
  <si>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</si>
  <si>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</si>
  <si>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</si>
  <si>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</si>
  <si>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</si>
  <si>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</si>
  <si>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</si>
  <si>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</si>
  <si>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</si>
  <si>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</si>
  <si>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</si>
  <si>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</si>
  <si>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</si>
  <si>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</si>
  <si>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</si>
  <si>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</si>
  <si>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</si>
  <si>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</si>
  <si>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</si>
  <si>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</si>
  <si>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</si>
  <si>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</si>
  <si>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</si>
  <si>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</si>
  <si>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</si>
  <si>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</si>
  <si>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</si>
  <si>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</si>
  <si>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</si>
  <si>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</si>
  <si>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</si>
  <si>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</si>
  <si>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</si>
  <si>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</si>
  <si>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</si>
  <si>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</si>
  <si>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</si>
  <si>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</si>
  <si>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</si>
  <si>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</si>
  <si>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</si>
  <si>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</si>
  <si>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</si>
  <si>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</si>
  <si>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</si>
  <si>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</si>
  <si>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</si>
  <si>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</si>
  <si>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</si>
  <si>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</si>
  <si>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</si>
  <si>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</si>
  <si>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</si>
  <si>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</si>
  <si>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</si>
  <si>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</si>
  <si>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</si>
  <si>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</si>
  <si>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</si>
  <si>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</si>
  <si>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</si>
  <si>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</si>
  <si>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</si>
  <si>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</si>
  <si>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</si>
  <si>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</si>
  <si>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</si>
  <si>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</si>
  <si>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</si>
  <si>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</si>
  <si>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</si>
  <si>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</si>
  <si>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</si>
  <si>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</si>
  <si>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</si>
  <si>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</si>
  <si>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</si>
  <si>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</si>
  <si>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</si>
  <si>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</si>
  <si>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</si>
  <si>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</si>
  <si>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</si>
  <si>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</si>
  <si>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</si>
  <si>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</si>
  <si>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</si>
  <si>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</si>
  <si>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</si>
  <si>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</si>
  <si>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</si>
  <si>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</si>
  <si>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</si>
  <si>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</si>
  <si>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</si>
  <si>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</si>
  <si>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</si>
  <si>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</si>
  <si>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</si>
  <si>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</si>
  <si>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</si>
  <si>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</si>
  <si>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</si>
  <si>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</si>
  <si>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</si>
  <si>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</si>
  <si>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</si>
  <si>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</si>
  <si>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</si>
  <si>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</si>
  <si>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</si>
  <si>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</si>
  <si>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</si>
  <si>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</si>
  <si>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</si>
  <si>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</si>
  <si>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</si>
  <si>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</si>
  <si>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</si>
  <si>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</si>
  <si>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</si>
  <si>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</si>
  <si>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</si>
  <si>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</si>
  <si>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</si>
  <si>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</si>
  <si>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</si>
  <si>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</si>
  <si>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</si>
  <si>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</si>
  <si>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</si>
  <si>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</si>
  <si>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</si>
  <si>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</si>
  <si>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</si>
  <si>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</si>
  <si>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</si>
  <si>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</si>
  <si>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</si>
  <si>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</si>
  <si>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</si>
  <si>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</si>
  <si>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</si>
  <si>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</si>
  <si>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</si>
  <si>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</si>
  <si>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</si>
  <si>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</si>
  <si>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</si>
  <si>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</si>
  <si>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</si>
  <si>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</si>
  <si>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</si>
  <si>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</si>
  <si>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</si>
  <si>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</si>
  <si>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</si>
  <si>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</si>
  <si>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</si>
  <si>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</si>
  <si>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</si>
  <si>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</si>
  <si>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</si>
  <si>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</si>
  <si>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</si>
  <si>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</si>
  <si>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</si>
  <si>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</si>
  <si>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</si>
  <si>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</si>
  <si>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</si>
  <si>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</si>
  <si>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</si>
  <si>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</si>
  <si>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</si>
  <si>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</si>
  <si>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</si>
  <si>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</si>
  <si>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</si>
  <si>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</si>
  <si>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</si>
  <si>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</si>
  <si>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</si>
  <si>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</si>
  <si>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</si>
  <si>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</si>
  <si>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</si>
  <si>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</si>
  <si>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</si>
  <si>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</si>
  <si>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</si>
  <si>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</si>
  <si>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</si>
  <si>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</si>
  <si>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</si>
  <si>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</si>
  <si>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</si>
  <si>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</si>
  <si>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</si>
  <si>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</si>
  <si>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</si>
  <si>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</si>
  <si>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</si>
  <si>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</si>
  <si>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</si>
  <si>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</si>
  <si>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</si>
  <si>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</si>
  <si>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</si>
  <si>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</si>
  <si>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</si>
  <si>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</si>
  <si>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</si>
  <si>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</si>
  <si>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</si>
  <si>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</si>
  <si>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</si>
  <si>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</si>
  <si>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</si>
  <si>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</si>
  <si>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</si>
  <si>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</si>
  <si>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</si>
  <si>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</si>
  <si>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</si>
  <si>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</si>
  <si>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</si>
  <si>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</si>
  <si>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</si>
  <si>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</si>
  <si>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</si>
  <si>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</si>
  <si>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</si>
  <si>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</si>
  <si>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</si>
  <si>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</si>
  <si>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</si>
  <si>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</si>
  <si>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</si>
  <si>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</si>
  <si>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</si>
  <si>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</si>
  <si>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</si>
  <si>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</si>
  <si>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</si>
  <si>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</si>
  <si>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</si>
  <si>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</si>
  <si>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</si>
  <si>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</si>
  <si>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</si>
  <si>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</si>
  <si>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</si>
  <si>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</si>
  <si>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</si>
  <si>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</si>
  <si>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</si>
  <si>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</si>
  <si>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</si>
  <si>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</si>
  <si>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</si>
  <si>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</si>
  <si>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</si>
  <si>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</si>
  <si>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</si>
  <si>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</si>
  <si>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</si>
  <si>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</si>
  <si>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</si>
  <si>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</si>
  <si>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</si>
  <si>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</si>
  <si>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</si>
  <si>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</si>
  <si>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</si>
  <si>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</si>
  <si>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</si>
  <si>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</si>
  <si>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</si>
  <si>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</si>
  <si>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</si>
  <si>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</si>
  <si>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</si>
  <si>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</si>
  <si>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</si>
  <si>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</si>
  <si>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</si>
  <si>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</si>
  <si>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</si>
  <si>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</si>
  <si>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</si>
  <si>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</si>
  <si>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</si>
  <si>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</si>
  <si>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</si>
  <si>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</si>
  <si>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</si>
  <si>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</si>
  <si>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</si>
  <si>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</si>
  <si>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</si>
  <si>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</si>
  <si>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</si>
  <si>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</si>
  <si>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</si>
  <si>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</si>
  <si>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</si>
  <si>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</si>
  <si>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</si>
  <si>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</si>
  <si>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</si>
  <si>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</si>
  <si>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</si>
  <si>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</si>
  <si>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</si>
  <si>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</si>
  <si>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</si>
  <si>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</si>
  <si>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</si>
  <si>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</si>
  <si>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</si>
  <si>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</si>
  <si>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</si>
  <si>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</si>
  <si>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</si>
  <si>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</si>
  <si>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</si>
  <si>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</si>
  <si>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</si>
  <si>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</si>
  <si>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</si>
  <si>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</si>
  <si>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</si>
  <si>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</si>
  <si>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</si>
  <si>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</si>
  <si>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</si>
  <si>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</si>
  <si>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</si>
  <si>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</si>
  <si>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</si>
  <si>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</si>
  <si>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</si>
  <si>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</si>
  <si>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</si>
  <si>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</si>
  <si>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</si>
  <si>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</si>
  <si>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</si>
  <si>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</si>
  <si>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</si>
  <si>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</si>
  <si>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</si>
  <si>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</si>
  <si>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</si>
  <si>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</si>
  <si>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</si>
  <si>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</si>
  <si>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</si>
  <si>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</si>
  <si>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</si>
  <si>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</si>
  <si>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</si>
  <si>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</si>
  <si>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</si>
  <si>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</si>
  <si>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</si>
  <si>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</si>
  <si>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</si>
  <si>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</si>
  <si>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</si>
  <si>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</si>
  <si>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</si>
  <si>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</si>
  <si>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</si>
  <si>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</si>
  <si>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</si>
  <si>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</si>
  <si>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</si>
  <si>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</si>
  <si>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</si>
  <si>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</si>
  <si>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</si>
  <si>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</si>
  <si>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</si>
  <si>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</si>
  <si>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</si>
  <si>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</si>
  <si>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</si>
  <si>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</si>
  <si>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</si>
  <si>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</si>
  <si>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</si>
  <si>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</si>
  <si>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</si>
  <si>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</si>
  <si>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</si>
  <si>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</si>
  <si>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</si>
  <si>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</si>
  <si>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</si>
  <si>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</si>
  <si>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</si>
  <si>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</si>
  <si>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</si>
  <si>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</si>
  <si>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</si>
  <si>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</si>
  <si>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</si>
  <si>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</si>
  <si>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</si>
  <si>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</si>
  <si>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</si>
  <si>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</si>
  <si>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</si>
  <si>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</si>
  <si>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</si>
  <si>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</si>
  <si>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</si>
  <si>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</si>
  <si>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</si>
  <si>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</si>
  <si>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</si>
  <si>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</si>
  <si>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</si>
  <si>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</si>
  <si>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</si>
  <si>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</si>
  <si>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</si>
  <si>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</si>
  <si>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</si>
  <si>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</si>
  <si>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</si>
  <si>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</si>
  <si>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</si>
  <si>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</si>
  <si>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</si>
  <si>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</si>
  <si>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</si>
  <si>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</si>
  <si>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</si>
  <si>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</si>
  <si>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</si>
  <si>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</si>
  <si>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</si>
  <si>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</si>
  <si>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</si>
  <si>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</si>
  <si>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</si>
  <si>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</si>
  <si>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</si>
  <si>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</si>
  <si>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</si>
  <si>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</si>
  <si>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</si>
  <si>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</si>
  <si>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</si>
  <si>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</si>
  <si>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</si>
  <si>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</si>
  <si>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</si>
  <si>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</si>
  <si>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</si>
  <si>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</si>
  <si>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</si>
  <si>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</si>
  <si>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</si>
  <si>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</si>
  <si>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</si>
  <si>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</si>
  <si>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</si>
  <si>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</si>
  <si>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</si>
  <si>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</si>
  <si>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</si>
  <si>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</si>
  <si>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</si>
  <si>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</si>
  <si>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</si>
  <si>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</si>
  <si>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</si>
  <si>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</si>
  <si>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</si>
  <si>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</si>
  <si>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</si>
  <si>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</si>
  <si>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</si>
  <si>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</si>
  <si>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</si>
  <si>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</si>
  <si>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</si>
  <si>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</si>
  <si>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</si>
  <si>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</si>
  <si>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</si>
  <si>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</si>
  <si>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</si>
  <si>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</si>
  <si>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</si>
  <si>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</si>
  <si>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</si>
  <si>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</si>
  <si>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</si>
  <si>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</si>
  <si>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</si>
  <si>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</si>
  <si>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</si>
  <si>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</si>
  <si>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</si>
  <si>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</si>
  <si>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</si>
  <si>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</si>
  <si>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</si>
  <si>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</si>
  <si>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</si>
  <si>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</si>
  <si>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</si>
  <si>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</si>
  <si>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</si>
  <si>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</si>
  <si>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</si>
  <si>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</si>
  <si>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</si>
  <si>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</si>
  <si>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</si>
  <si>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</si>
  <si>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</si>
  <si>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</si>
  <si>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</si>
  <si>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</si>
  <si>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</si>
  <si>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</si>
  <si>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</si>
  <si>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</si>
  <si>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</si>
  <si>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</si>
  <si>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</si>
  <si>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</si>
  <si>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</si>
  <si>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</si>
  <si>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</si>
  <si>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</si>
  <si>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</si>
  <si>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</si>
  <si>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</si>
  <si>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</si>
  <si>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</si>
  <si>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</si>
  <si>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</si>
  <si>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</si>
  <si>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</si>
  <si>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</si>
  <si>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</si>
  <si>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</si>
  <si>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</si>
  <si>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</si>
  <si>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</si>
  <si>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</si>
  <si>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</si>
  <si>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</si>
  <si>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</si>
  <si>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</si>
  <si>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</si>
  <si>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</si>
  <si>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</si>
  <si>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</si>
  <si>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</si>
  <si>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</si>
  <si>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</si>
  <si>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</si>
  <si>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</si>
  <si>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</si>
  <si>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</si>
  <si>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</si>
  <si>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</si>
  <si>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</si>
  <si>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</si>
  <si>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</si>
  <si>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</si>
  <si>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</si>
  <si>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</si>
  <si>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</si>
  <si>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</si>
  <si>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</si>
  <si>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</si>
  <si>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</si>
  <si>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</si>
  <si>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</si>
  <si>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</si>
  <si>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</si>
  <si>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</si>
  <si>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</si>
  <si>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</si>
  <si>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</si>
  <si>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</si>
  <si>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</si>
  <si>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</si>
  <si>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</si>
  <si>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</si>
  <si>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</si>
  <si>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</si>
  <si>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</si>
  <si>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</si>
  <si>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</si>
  <si>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</si>
  <si>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</si>
  <si>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</si>
  <si>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</si>
  <si>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</si>
  <si>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</si>
  <si>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</si>
  <si>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</si>
  <si>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</si>
  <si>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</si>
  <si>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</si>
  <si>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</si>
  <si>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</si>
  <si>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</si>
  <si>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</si>
  <si>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</si>
  <si>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</si>
  <si>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</si>
  <si>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</si>
  <si>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</si>
  <si>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</si>
  <si>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</si>
  <si>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</si>
  <si>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</si>
  <si>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</si>
  <si>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</si>
  <si>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</si>
  <si>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</si>
  <si>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</si>
  <si>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</si>
  <si>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</si>
  <si>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</si>
  <si>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</si>
  <si>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</si>
  <si>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</si>
  <si>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</si>
  <si>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</si>
  <si>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</si>
  <si>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</si>
  <si>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</si>
  <si>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</si>
  <si>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</si>
  <si>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</si>
  <si>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</si>
  <si>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</si>
  <si>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</si>
  <si>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</si>
  <si>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</si>
  <si>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</si>
  <si>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</si>
  <si>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</si>
  <si>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</si>
  <si>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</si>
  <si>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</si>
  <si>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</si>
  <si>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</si>
  <si>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</si>
  <si>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</si>
  <si>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</si>
  <si>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</si>
  <si>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</si>
  <si>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</si>
  <si>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</si>
  <si>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</si>
  <si>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</si>
  <si>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</si>
  <si>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</si>
  <si>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</si>
  <si>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</si>
  <si>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</si>
  <si>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</si>
  <si>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</si>
  <si>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</si>
  <si>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</si>
  <si>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</si>
  <si>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</si>
  <si>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</si>
  <si>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</si>
  <si>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</si>
  <si>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</si>
  <si>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</si>
  <si>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</si>
  <si>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</si>
  <si>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</si>
  <si>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</si>
  <si>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</si>
  <si>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</si>
  <si>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</si>
  <si>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</si>
  <si>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</si>
  <si>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</si>
  <si>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</si>
  <si>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</si>
  <si>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</si>
  <si>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</si>
  <si>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</si>
  <si>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</si>
  <si>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</si>
  <si>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</si>
  <si>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</si>
  <si>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</si>
  <si>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</si>
  <si>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</si>
  <si>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</si>
  <si>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</si>
  <si>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</si>
  <si>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</si>
  <si>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</si>
  <si>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</si>
  <si>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</si>
  <si>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</si>
  <si>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</si>
  <si>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</si>
  <si>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</si>
  <si>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</si>
  <si>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</si>
  <si>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</si>
  <si>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</si>
  <si>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</si>
  <si>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</si>
  <si>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</si>
  <si>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</si>
  <si>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</si>
  <si>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</si>
  <si>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</si>
  <si>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</si>
  <si>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</si>
  <si>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</si>
  <si>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</si>
  <si>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</si>
  <si>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</si>
  <si>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</si>
  <si>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</si>
  <si>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</si>
  <si>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</si>
  <si>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</si>
  <si>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</si>
  <si>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</si>
  <si>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</si>
  <si>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</si>
  <si>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</si>
  <si>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</si>
  <si>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</si>
  <si>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</si>
  <si>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</si>
  <si>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</si>
  <si>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</si>
  <si>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</si>
  <si>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</si>
  <si>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</si>
  <si>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</si>
  <si>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</si>
  <si>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</si>
  <si>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</si>
  <si>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</si>
  <si>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</si>
  <si>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</si>
  <si>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</si>
  <si>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</si>
  <si>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</si>
  <si>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</si>
  <si>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</si>
  <si>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</si>
  <si>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</si>
  <si>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</si>
  <si>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</si>
  <si>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</si>
  <si>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</si>
  <si>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</si>
  <si>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</si>
  <si>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</si>
  <si>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</si>
  <si>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</si>
  <si>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</si>
  <si>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</si>
  <si>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</si>
  <si>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</si>
  <si>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</si>
  <si>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</si>
  <si>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</si>
  <si>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</si>
  <si>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</si>
  <si>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</si>
  <si>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</si>
  <si>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</si>
  <si>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</si>
  <si>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</si>
  <si>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</si>
  <si>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</si>
  <si>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</si>
  <si>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</si>
  <si>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</si>
  <si>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</si>
  <si>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</si>
  <si>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</si>
  <si>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</si>
  <si>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</si>
  <si>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</si>
  <si>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</si>
  <si>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</si>
  <si>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</si>
  <si>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</si>
  <si>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</si>
  <si>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</si>
  <si>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</si>
  <si>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</si>
  <si>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</si>
  <si>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</si>
  <si>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</si>
  <si>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</si>
  <si>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</si>
  <si>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</si>
  <si>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</si>
  <si>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</si>
  <si>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</si>
  <si>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</si>
  <si>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</si>
  <si>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</si>
  <si>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</si>
  <si>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</si>
  <si>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</si>
  <si>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</si>
  <si>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</si>
  <si>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</si>
  <si>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</si>
  <si>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</si>
  <si>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</si>
  <si>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</si>
  <si>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</si>
  <si>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</si>
  <si>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</si>
  <si>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</si>
  <si>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</si>
  <si>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</si>
  <si>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</si>
  <si>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</si>
  <si>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</si>
  <si>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</si>
  <si>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</si>
  <si>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</si>
  <si>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</si>
  <si>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</si>
  <si>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</si>
  <si>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</si>
  <si>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</si>
  <si>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</si>
  <si>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</si>
  <si>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</si>
  <si>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</si>
  <si>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</si>
  <si>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</si>
  <si>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</si>
  <si>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</si>
  <si>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</si>
  <si>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</si>
  <si>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</si>
  <si>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</si>
  <si>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</si>
  <si>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</si>
  <si>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</si>
  <si>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</si>
  <si>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</si>
  <si>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</si>
  <si>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</si>
  <si>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</si>
  <si>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</si>
  <si>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</si>
  <si>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</si>
  <si>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</si>
  <si>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</si>
  <si>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</si>
  <si>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</si>
  <si>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</si>
  <si>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</si>
  <si>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</si>
  <si>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</si>
  <si>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</si>
  <si>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</si>
  <si>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</si>
  <si>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</si>
  <si>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</si>
  <si>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</si>
  <si>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</si>
  <si>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</si>
  <si>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</si>
  <si>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</si>
  <si>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</si>
  <si>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</si>
  <si>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</si>
  <si>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</si>
  <si>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</si>
  <si>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</si>
  <si>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</si>
  <si>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</si>
  <si>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</si>
  <si>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</si>
  <si>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</si>
  <si>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</si>
  <si>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</si>
  <si>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</si>
  <si>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</si>
  <si>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</si>
  <si>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</si>
  <si>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</si>
  <si>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</si>
  <si>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</si>
  <si>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</si>
  <si>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</si>
  <si>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</si>
  <si>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</si>
  <si>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</si>
  <si>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</si>
  <si>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</si>
  <si>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</si>
  <si>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</si>
  <si>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</si>
  <si>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</si>
  <si>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</si>
  <si>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</si>
  <si>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</si>
  <si>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</si>
  <si>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</si>
  <si>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</si>
  <si>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</si>
  <si>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</si>
  <si>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</si>
  <si>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</si>
  <si>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</si>
  <si>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</si>
  <si>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</si>
  <si>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</si>
  <si>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</si>
  <si>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</si>
  <si>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</si>
  <si>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</si>
  <si>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</si>
  <si>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</si>
  <si>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</si>
  <si>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</si>
  <si>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</si>
  <si>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</si>
  <si>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</si>
  <si>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</si>
  <si>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</si>
  <si>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</si>
  <si>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</si>
  <si>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</si>
  <si>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</si>
  <si>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</si>
  <si>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</si>
  <si>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</si>
  <si>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</si>
  <si>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</si>
  <si>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</si>
  <si>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</si>
  <si>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</si>
  <si>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</si>
  <si>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</si>
  <si>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</si>
  <si>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</si>
  <si>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</si>
  <si>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</si>
  <si>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</si>
  <si>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</si>
  <si>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</si>
  <si>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</si>
  <si>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</si>
  <si>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</si>
  <si>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</si>
  <si>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</si>
  <si>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</si>
  <si>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</si>
  <si>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</si>
  <si>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</si>
  <si>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</si>
  <si>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</si>
  <si>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</si>
  <si>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</si>
  <si>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</si>
  <si>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</si>
  <si>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</si>
  <si>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</si>
  <si>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</si>
  <si>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</si>
  <si>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</si>
  <si>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</si>
  <si>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</si>
  <si>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</si>
  <si>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</si>
  <si>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</si>
  <si>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</si>
  <si>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</si>
  <si>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</si>
  <si>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</si>
  <si>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</si>
  <si>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</si>
  <si>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</si>
  <si>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</si>
  <si>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</si>
  <si>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</si>
  <si>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</si>
  <si>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</si>
  <si>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</si>
  <si>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</si>
  <si>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</si>
  <si>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</si>
  <si>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</si>
  <si>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</si>
  <si>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</si>
  <si>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</si>
  <si>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</si>
  <si>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</si>
  <si>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</si>
  <si>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</si>
  <si>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</si>
  <si>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</si>
  <si>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</si>
  <si>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</si>
  <si>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</si>
  <si>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</si>
  <si>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</si>
  <si>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</si>
  <si>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</si>
  <si>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</si>
  <si>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</si>
  <si>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</si>
  <si>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</si>
  <si>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</si>
  <si>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</si>
  <si>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</si>
  <si>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</si>
  <si>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</si>
  <si>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</si>
  <si>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</si>
  <si>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</si>
  <si>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</si>
  <si>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</si>
  <si>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</si>
  <si>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</si>
  <si>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</si>
  <si>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</si>
  <si>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</si>
  <si>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</si>
  <si>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</si>
  <si>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</si>
  <si>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</si>
  <si>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</si>
  <si>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</si>
  <si>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</si>
  <si>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</si>
  <si>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</si>
  <si>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</si>
  <si>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</si>
  <si>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</si>
  <si>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</si>
  <si>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</si>
  <si>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</si>
  <si>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</si>
  <si>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</si>
  <si>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</si>
  <si>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</si>
  <si>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</si>
  <si>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</si>
  <si>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</si>
  <si>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</si>
  <si>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</si>
  <si>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</si>
  <si>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</si>
  <si>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</si>
  <si>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</si>
  <si>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</si>
  <si>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</si>
  <si>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</si>
  <si>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</si>
  <si>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</si>
  <si>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</si>
  <si>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</si>
  <si>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</si>
  <si>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</si>
  <si>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</si>
  <si>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</si>
  <si>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</si>
  <si>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</si>
  <si>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</si>
  <si>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</si>
  <si>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</si>
  <si>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</si>
  <si>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</si>
  <si>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</si>
  <si>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</si>
  <si>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</si>
  <si>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</si>
  <si>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</si>
  <si>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</si>
  <si>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</si>
  <si>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</si>
  <si>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</si>
  <si>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</si>
  <si>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</si>
  <si>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</si>
  <si>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</si>
  <si>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</si>
  <si>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</si>
  <si>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</si>
  <si>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</si>
  <si>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</si>
  <si>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</si>
  <si>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</si>
  <si>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</si>
  <si>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</si>
  <si>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</si>
  <si>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</si>
  <si>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</si>
  <si>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</si>
  <si>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</si>
  <si>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</si>
  <si>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</si>
  <si>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</si>
  <si>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</si>
  <si>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</si>
  <si>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</si>
  <si>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</si>
  <si>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</si>
  <si>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</si>
  <si>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</si>
  <si>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</si>
  <si>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</si>
  <si>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</si>
  <si>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</si>
  <si>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</si>
  <si>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</si>
  <si>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</si>
  <si>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</si>
  <si>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</si>
  <si>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</si>
  <si>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</si>
  <si>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</si>
  <si>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</si>
  <si>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</si>
  <si>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</si>
  <si>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</si>
  <si>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</si>
  <si>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</si>
  <si>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</si>
  <si>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</si>
  <si>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</si>
  <si>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</si>
  <si>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</si>
  <si>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</si>
  <si>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</si>
  <si>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</si>
  <si>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</si>
  <si>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</si>
  <si>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</si>
  <si>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</si>
  <si>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</si>
  <si>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</si>
  <si>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</si>
  <si>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</si>
  <si>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</si>
  <si>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</si>
  <si>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</si>
  <si>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</si>
  <si>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</si>
  <si>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</si>
  <si>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</si>
  <si>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</si>
  <si>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</si>
  <si>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</si>
  <si>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</si>
  <si>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</si>
  <si>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</si>
  <si>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</si>
  <si>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</si>
  <si>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</si>
  <si>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</si>
  <si>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</si>
  <si>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</si>
  <si>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</si>
  <si>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</si>
  <si>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</si>
  <si>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</si>
  <si>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</si>
  <si>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</si>
  <si>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</si>
  <si>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</si>
  <si>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</si>
  <si>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</si>
  <si>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</si>
  <si>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</si>
  <si>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</si>
  <si>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</si>
  <si>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</si>
  <si>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</si>
  <si>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</si>
  <si>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</si>
  <si>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</si>
  <si>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</si>
  <si>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</si>
  <si>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</si>
  <si>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</si>
  <si>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</si>
  <si>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</si>
  <si>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</si>
  <si>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</si>
  <si>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</si>
  <si>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</si>
  <si>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</si>
  <si>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</si>
  <si>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</si>
  <si>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</si>
  <si>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</si>
  <si>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</si>
  <si>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</si>
  <si>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</si>
  <si>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</si>
  <si>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</si>
  <si>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</si>
  <si>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</si>
  <si>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</si>
  <si>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</si>
  <si>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</si>
  <si>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</si>
  <si>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</si>
  <si>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</si>
  <si>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</si>
  <si>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</si>
  <si>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</si>
  <si>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</si>
  <si>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</si>
  <si>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</si>
  <si>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</si>
  <si>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</si>
  <si>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</si>
  <si>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</si>
  <si>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</si>
  <si>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</si>
  <si>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</si>
  <si>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</si>
  <si>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</si>
  <si>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</si>
  <si>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</si>
  <si>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</si>
  <si>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</si>
  <si>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</si>
  <si>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</si>
  <si>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</si>
  <si>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</si>
  <si>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</si>
  <si>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</si>
  <si>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</si>
  <si>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</si>
  <si>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</si>
  <si>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</si>
  <si>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</si>
  <si>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</si>
  <si>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</si>
  <si>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</si>
  <si>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</si>
  <si>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</si>
  <si>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</si>
  <si>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</si>
  <si>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</si>
  <si>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</si>
  <si>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</si>
  <si>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</si>
  <si>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</si>
  <si>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</si>
  <si>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</si>
  <si>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</si>
  <si>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</si>
  <si>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</si>
  <si>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</si>
  <si>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</si>
  <si>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</si>
  <si>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</si>
  <si>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</si>
  <si>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</si>
  <si>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</si>
  <si>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</si>
  <si>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</si>
  <si>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</si>
  <si>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</si>
  <si>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</si>
  <si>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</si>
  <si>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</si>
  <si>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</si>
  <si>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</si>
  <si>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</si>
  <si>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</si>
  <si>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</si>
  <si>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</si>
  <si>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</si>
  <si>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</si>
  <si>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</si>
  <si>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</si>
  <si>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</si>
  <si>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</si>
  <si>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</si>
  <si>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</si>
  <si>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</si>
  <si>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</si>
  <si>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</si>
  <si>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</si>
  <si>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</si>
  <si>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</si>
  <si>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</si>
  <si>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</si>
  <si>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</si>
  <si>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</si>
  <si>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</si>
  <si>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</si>
  <si>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</si>
  <si>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</si>
  <si>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</si>
  <si>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</si>
  <si>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</si>
  <si>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</si>
  <si>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</si>
  <si>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</si>
  <si>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</si>
  <si>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</si>
  <si>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</si>
  <si>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</si>
  <si>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</si>
  <si>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</si>
  <si>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</si>
  <si>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</si>
  <si>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</si>
  <si>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</si>
  <si>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</si>
  <si>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</si>
  <si>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</si>
  <si>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</si>
  <si>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</si>
  <si>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</si>
  <si>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</si>
  <si>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</si>
  <si>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</si>
  <si>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</si>
  <si>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</si>
  <si>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</si>
  <si>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</si>
  <si>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</si>
  <si>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</si>
  <si>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</si>
  <si>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</si>
  <si>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</si>
  <si>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</si>
  <si>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</si>
  <si>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</si>
  <si>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</si>
  <si>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</si>
  <si>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</si>
  <si>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</si>
  <si>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</si>
  <si>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</si>
  <si>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</si>
  <si>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</si>
  <si>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</si>
  <si>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</si>
  <si>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</si>
  <si>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</si>
  <si>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</si>
  <si>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</si>
  <si>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</si>
  <si>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</si>
  <si>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</si>
  <si>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</si>
  <si>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</si>
  <si>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</si>
  <si>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</si>
  <si>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</si>
  <si>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</si>
  <si>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</si>
  <si>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</si>
  <si>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</si>
  <si>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</si>
  <si>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</si>
  <si>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</si>
  <si>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</si>
  <si>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</si>
  <si>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</si>
  <si>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</si>
  <si>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</si>
  <si>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</si>
  <si>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</si>
  <si>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</si>
  <si>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</si>
  <si>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</si>
  <si>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</si>
  <si>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</si>
  <si>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</si>
  <si>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</si>
  <si>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</si>
  <si>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</si>
  <si>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</si>
  <si>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</si>
  <si>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</si>
  <si>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</si>
  <si>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</si>
  <si>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</si>
  <si>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</si>
  <si>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</si>
  <si>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</si>
  <si>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</si>
  <si>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</si>
  <si>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</si>
  <si>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</si>
  <si>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</si>
  <si>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</si>
  <si>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</si>
  <si>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</si>
  <si>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</si>
  <si>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</si>
  <si>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</si>
  <si>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</si>
  <si>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</si>
  <si>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</si>
  <si>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</si>
  <si>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</si>
  <si>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</si>
  <si>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</si>
  <si>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</si>
  <si>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</si>
  <si>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</si>
  <si>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</si>
  <si>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</si>
  <si>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</si>
  <si>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</si>
  <si>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</si>
  <si>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</si>
  <si>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</si>
  <si>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</si>
  <si>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</si>
  <si>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</si>
  <si>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</si>
  <si>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</si>
  <si>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</si>
  <si>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</si>
  <si>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</si>
  <si>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</si>
  <si>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</si>
  <si>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</si>
  <si>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</si>
  <si>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</si>
  <si>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</si>
  <si>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</si>
  <si>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</si>
  <si>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</si>
  <si>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</si>
  <si>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</si>
  <si>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</si>
  <si>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</si>
  <si>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</si>
  <si>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</si>
  <si>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</si>
  <si>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</si>
  <si>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</si>
  <si>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</si>
  <si>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</si>
  <si>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</si>
  <si>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</si>
  <si>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</si>
  <si>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</si>
  <si>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</si>
  <si>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</si>
  <si>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</si>
  <si>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</si>
  <si>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</si>
  <si>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</si>
  <si>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</si>
  <si>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</si>
  <si>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</si>
  <si>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</si>
  <si>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</si>
  <si>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</si>
  <si>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</si>
  <si>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</si>
  <si>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</si>
  <si>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</si>
  <si>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</si>
  <si>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</si>
  <si>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</si>
  <si>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</si>
  <si>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</si>
  <si>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</si>
  <si>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</si>
  <si>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</si>
  <si>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</si>
  <si>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</si>
  <si>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</si>
  <si>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</si>
  <si>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</si>
  <si>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</si>
  <si>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</si>
  <si>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</si>
  <si>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</si>
  <si>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</si>
  <si>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</si>
  <si>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</si>
  <si>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</si>
  <si>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</si>
  <si>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</si>
  <si>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</si>
  <si>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</si>
  <si>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</si>
  <si>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</si>
  <si>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</si>
  <si>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</si>
  <si>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</si>
  <si>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</si>
  <si>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</si>
  <si>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</si>
  <si>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</si>
  <si>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</si>
  <si>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</si>
  <si>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</si>
  <si>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</si>
  <si>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</si>
  <si>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</si>
  <si>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</si>
  <si>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</si>
  <si>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</si>
  <si>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</si>
  <si>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</si>
  <si>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</si>
  <si>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</si>
  <si>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</si>
  <si>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</si>
  <si>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</si>
  <si>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</si>
  <si>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</si>
  <si>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</si>
  <si>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</si>
  <si>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</si>
  <si>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</si>
  <si>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</si>
  <si>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</si>
  <si>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</si>
  <si>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</si>
  <si>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</si>
  <si>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</si>
  <si>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</si>
  <si>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</si>
  <si>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</si>
  <si>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</si>
  <si>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</si>
  <si>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</si>
  <si>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</si>
  <si>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</si>
  <si>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</si>
  <si>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</si>
  <si>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</si>
  <si>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</si>
  <si>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</si>
  <si>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</si>
  <si>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</si>
  <si>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</si>
  <si>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</si>
  <si>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</si>
  <si>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</si>
  <si>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</si>
  <si>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</si>
  <si>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</si>
  <si>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</si>
  <si>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</si>
  <si>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</si>
  <si>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</si>
  <si>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</si>
  <si>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</si>
  <si>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</si>
  <si>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</si>
  <si>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</si>
  <si>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</si>
  <si>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</si>
  <si>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</si>
  <si>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</si>
  <si>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</si>
  <si>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</si>
  <si>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</si>
  <si>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</si>
  <si>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</si>
  <si>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</si>
  <si>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</si>
  <si>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</si>
  <si>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</si>
  <si>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</si>
  <si>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</si>
  <si>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</si>
  <si>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</si>
  <si>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</si>
  <si>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</si>
  <si>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</si>
  <si>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</si>
  <si>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</si>
  <si>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</si>
  <si>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</si>
  <si>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</si>
  <si>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</si>
  <si>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</si>
  <si>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</si>
  <si>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</si>
  <si>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</si>
  <si>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</si>
  <si>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</si>
  <si>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</si>
  <si>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</si>
  <si>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</si>
  <si>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</si>
  <si>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</si>
  <si>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</si>
  <si>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</si>
  <si>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</si>
  <si>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</si>
  <si>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</si>
  <si>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</si>
  <si>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</si>
  <si>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</si>
  <si>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</si>
  <si>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</si>
  <si>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</si>
  <si>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</si>
  <si>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</si>
  <si>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</si>
  <si>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</si>
  <si>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</si>
  <si>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</si>
  <si>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</si>
  <si>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</si>
  <si>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</si>
  <si>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</si>
  <si>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</si>
  <si>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</si>
  <si>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</si>
  <si>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</si>
  <si>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</si>
  <si>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</si>
  <si>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</si>
  <si>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</si>
  <si>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</si>
  <si>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</si>
  <si>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</si>
  <si>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</si>
  <si>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</si>
  <si>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</si>
  <si>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</si>
  <si>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</si>
  <si>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</si>
  <si>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</si>
  <si>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</si>
  <si>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</si>
  <si>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</si>
  <si>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</si>
  <si>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</si>
  <si>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</si>
  <si>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</si>
  <si>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</si>
  <si>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</si>
  <si>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</si>
  <si>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</si>
  <si>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</si>
  <si>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</si>
  <si>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</si>
  <si>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</si>
  <si>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</si>
  <si>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</si>
  <si>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</si>
  <si>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</si>
  <si>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</si>
  <si>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</si>
  <si>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</si>
  <si>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</si>
  <si>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</si>
  <si>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</si>
  <si>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</si>
  <si>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</si>
  <si>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</si>
  <si>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</si>
  <si>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</si>
  <si>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</si>
  <si>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</si>
  <si>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</si>
  <si>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</si>
  <si>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</si>
  <si>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</si>
  <si>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</si>
  <si>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</si>
  <si>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</si>
  <si>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</si>
  <si>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</si>
  <si>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</si>
  <si>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</si>
  <si>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</si>
  <si>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</si>
  <si>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</si>
  <si>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</si>
  <si>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</si>
  <si>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</si>
  <si>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</si>
  <si>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</si>
  <si>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</si>
  <si>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</si>
  <si>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</si>
  <si>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</si>
  <si>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</si>
  <si>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</si>
  <si>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</si>
  <si>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</si>
  <si>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</si>
  <si>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</si>
  <si>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</si>
  <si>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</si>
  <si>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</si>
  <si>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</si>
  <si>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</si>
  <si>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</si>
  <si>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</si>
  <si>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</si>
  <si>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</si>
  <si>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</si>
  <si>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</si>
  <si>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</si>
  <si>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</si>
  <si>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</si>
  <si>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</si>
  <si>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</si>
  <si>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</si>
  <si>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</si>
  <si>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</si>
  <si>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</si>
  <si>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</si>
  <si>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</si>
  <si>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</si>
  <si>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</si>
  <si>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</si>
  <si>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</si>
  <si>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</si>
  <si>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</si>
  <si>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</si>
  <si>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</si>
  <si>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</si>
  <si>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</si>
  <si>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</si>
  <si>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</si>
  <si>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</si>
  <si>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</si>
  <si>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</si>
  <si>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</si>
  <si>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</si>
  <si>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</si>
  <si>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</si>
  <si>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</si>
  <si>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</si>
  <si>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</si>
  <si>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</si>
  <si>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</si>
  <si>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</si>
  <si>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</si>
  <si>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</si>
  <si>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</si>
  <si>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</si>
  <si>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</si>
  <si>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</si>
  <si>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</si>
  <si>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</si>
  <si>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</si>
  <si>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</si>
  <si>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</si>
  <si>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</si>
  <si>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</si>
  <si>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</si>
  <si>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</si>
  <si>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</si>
  <si>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</si>
  <si>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</si>
  <si>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</si>
  <si>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</si>
  <si>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</si>
  <si>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</si>
  <si>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</si>
  <si>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</si>
  <si>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</si>
  <si>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</si>
  <si>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</si>
  <si>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</si>
  <si>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</si>
  <si>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</si>
  <si>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</si>
  <si>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</si>
  <si>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</si>
  <si>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</si>
  <si>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</si>
  <si>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</si>
  <si>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</si>
  <si>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</si>
  <si>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</si>
  <si>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</si>
  <si>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</si>
  <si>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</si>
  <si>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</si>
  <si>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</si>
  <si>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</si>
  <si>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</si>
  <si>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</si>
  <si>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</si>
  <si>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</si>
  <si>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</si>
  <si>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</si>
  <si>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</si>
  <si>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</si>
  <si>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</si>
  <si>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</si>
  <si>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</si>
  <si>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</si>
  <si>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</si>
  <si>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</si>
  <si>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</si>
  <si>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</si>
  <si>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</si>
  <si>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</si>
  <si>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</si>
  <si>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</si>
  <si>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</si>
  <si>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</si>
  <si>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</si>
  <si>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</si>
  <si>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</si>
  <si>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</si>
  <si>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</si>
  <si>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</si>
  <si>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</si>
  <si>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</si>
  <si>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</si>
  <si>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</si>
  <si>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</si>
  <si>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</si>
  <si>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</si>
  <si>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</si>
  <si>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</si>
  <si>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</si>
  <si>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</si>
  <si>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</si>
  <si>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</si>
  <si>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</si>
  <si>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</si>
  <si>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</si>
  <si>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</si>
  <si>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</si>
  <si>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</si>
  <si>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</si>
  <si>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</si>
  <si>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</si>
  <si>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</si>
  <si>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</si>
  <si>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</si>
  <si>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</si>
  <si>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</si>
  <si>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</si>
  <si>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</si>
  <si>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</si>
  <si>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</si>
  <si>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</si>
  <si>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</si>
  <si>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</si>
  <si>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</si>
  <si>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</si>
  <si>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</si>
  <si>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</si>
  <si>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</si>
  <si>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</si>
  <si>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</si>
  <si>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</si>
  <si>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</si>
  <si>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</si>
  <si>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</si>
  <si>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</si>
  <si>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</si>
  <si>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</si>
  <si>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</si>
  <si>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</si>
  <si>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</si>
  <si>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</si>
  <si>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</si>
  <si>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</si>
  <si>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</si>
  <si>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</si>
  <si>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</si>
  <si>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</si>
  <si>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</si>
  <si>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</si>
  <si>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</si>
  <si>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</si>
  <si>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</si>
  <si>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</si>
  <si>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</si>
  <si>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</si>
  <si>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</si>
  <si>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</si>
  <si>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</si>
  <si>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</si>
  <si>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</si>
  <si>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</si>
  <si>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</si>
  <si>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</si>
  <si>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</si>
  <si>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</si>
  <si>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</si>
  <si>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</si>
  <si>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</si>
  <si>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</si>
  <si>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</si>
  <si>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</si>
  <si>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</si>
  <si>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</si>
  <si>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</si>
  <si>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</si>
  <si>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</si>
  <si>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</si>
  <si>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</si>
  <si>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</si>
  <si>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</si>
  <si>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</si>
  <si>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</si>
  <si>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</si>
  <si>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</si>
  <si>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</si>
  <si>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</si>
  <si>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</si>
  <si>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</si>
  <si>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</si>
  <si>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</si>
  <si>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</si>
  <si>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</si>
  <si>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</si>
  <si>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</si>
  <si>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</si>
  <si>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</si>
  <si>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</si>
  <si>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</si>
  <si>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</si>
  <si>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</si>
  <si>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</si>
  <si>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</si>
  <si>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</si>
  <si>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</si>
  <si>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</si>
  <si>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</si>
  <si>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</si>
  <si>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</si>
  <si>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</si>
  <si>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</si>
  <si>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</si>
  <si>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</si>
  <si>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</si>
  <si>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</si>
  <si>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</si>
  <si>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</si>
  <si>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</si>
  <si>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</si>
  <si>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</si>
  <si>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</si>
  <si>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</si>
  <si>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</si>
  <si>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</si>
  <si>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</si>
  <si>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</si>
  <si>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</si>
  <si>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</si>
  <si>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</si>
  <si>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</si>
  <si>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</si>
  <si>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</si>
  <si>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</si>
  <si>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</si>
  <si>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</si>
  <si>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</si>
  <si>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</si>
  <si>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</si>
  <si>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</si>
  <si>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</si>
  <si>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</si>
  <si>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</si>
  <si>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</si>
  <si>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</si>
  <si>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</si>
  <si>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</si>
  <si>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</si>
  <si>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</si>
  <si>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</si>
  <si>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</si>
  <si>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</si>
  <si>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</si>
  <si>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</si>
  <si>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</si>
  <si>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</si>
  <si>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</si>
  <si>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</si>
  <si>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</si>
  <si>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</si>
  <si>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</si>
  <si>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</si>
  <si>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</si>
  <si>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</si>
  <si>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</si>
  <si>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</si>
  <si>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</si>
  <si>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</si>
  <si>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</si>
  <si>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</si>
  <si>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</si>
  <si>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</si>
  <si>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</si>
  <si>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</si>
  <si>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Filled with 0.00 if 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</si>
</sst>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244062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T.K.KRISHNA\BITS%20Business%20Analytics%20and%20AI%20Course\Assignments\Capstone%20project\part-1\cleaned_orders.xlsx" TargetMode="External"/><Relationship Id="rId1" Type="http://schemas.openxmlformats.org/officeDocument/2006/relationships/externalLinkPath" Target="cleaned_ord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orders"/>
      <sheetName val="Cleaned Text Field"/>
      <sheetName val="Cleaned and Validated Dates"/>
      <sheetName val="Cleaned_orders"/>
    </sheetNames>
    <sheetDataSet>
      <sheetData sheetId="0">
        <row r="2">
          <cell r="E2" t="str">
            <v>Karan Malhotra</v>
          </cell>
          <cell r="F2" t="str">
            <v>Consumer</v>
          </cell>
          <cell r="H2" t="str">
            <v>Rajasthan</v>
          </cell>
          <cell r="I2" t="str">
            <v>Jaipur</v>
          </cell>
          <cell r="J2" t="str">
            <v>Office Supplies</v>
          </cell>
          <cell r="K2" t="str">
            <v>Paper</v>
          </cell>
          <cell r="T2" t="str">
            <v>Paid</v>
          </cell>
          <cell r="U2" t="str">
            <v>Completed</v>
          </cell>
        </row>
        <row r="3">
          <cell r="E3" t="str">
            <v>Mira Das</v>
          </cell>
          <cell r="F3" t="str">
            <v>Small Business</v>
          </cell>
          <cell r="H3" t="str">
            <v>Odisha</v>
          </cell>
          <cell r="I3" t="str">
            <v>Bhubaneswar</v>
          </cell>
          <cell r="J3" t="str">
            <v>Furniture</v>
          </cell>
          <cell r="K3" t="str">
            <v>Tables</v>
          </cell>
          <cell r="T3" t="str">
            <v>Paid</v>
          </cell>
          <cell r="U3" t="str">
            <v>Completed</v>
          </cell>
        </row>
        <row r="4">
          <cell r="E4" t="str">
            <v>Isha Nair</v>
          </cell>
          <cell r="F4" t="str">
            <v>Consumer</v>
          </cell>
          <cell r="H4" t="str">
            <v>Odisha</v>
          </cell>
          <cell r="I4" t="str">
            <v>Bhubaneswar</v>
          </cell>
          <cell r="J4" t="str">
            <v>Office Supplies</v>
          </cell>
          <cell r="K4" t="str">
            <v>Art</v>
          </cell>
          <cell r="T4" t="str">
            <v>Paid</v>
          </cell>
          <cell r="U4" t="str">
            <v>Completed</v>
          </cell>
        </row>
        <row r="5">
          <cell r="E5" t="str">
            <v>Arjun Bose</v>
          </cell>
          <cell r="F5" t="str">
            <v>Small Business</v>
          </cell>
          <cell r="H5" t="str">
            <v>Telangana</v>
          </cell>
          <cell r="I5" t="str">
            <v>Hyderabad</v>
          </cell>
          <cell r="J5" t="str">
            <v>Furniture</v>
          </cell>
          <cell r="K5" t="str">
            <v>Furnishings</v>
          </cell>
          <cell r="T5" t="str">
            <v>Paid</v>
          </cell>
          <cell r="U5" t="str">
            <v>Completed</v>
          </cell>
        </row>
        <row r="6">
          <cell r="E6" t="str">
            <v>Ananya Rao</v>
          </cell>
          <cell r="F6" t="str">
            <v>Small Business</v>
          </cell>
          <cell r="H6" t="str">
            <v>Maharashtra</v>
          </cell>
          <cell r="I6" t="str">
            <v>Mumbai</v>
          </cell>
          <cell r="J6" t="str">
            <v>Furniture</v>
          </cell>
          <cell r="K6" t="str">
            <v>Chairs</v>
          </cell>
          <cell r="T6" t="str">
            <v>Paid</v>
          </cell>
          <cell r="U6" t="str">
            <v>Cancelled</v>
          </cell>
        </row>
        <row r="7">
          <cell r="E7" t="str">
            <v>Vikram Iyer</v>
          </cell>
          <cell r="F7" t="str">
            <v>Small Business</v>
          </cell>
          <cell r="H7" t="str">
            <v>Madhya Pradesh</v>
          </cell>
          <cell r="I7" t="str">
            <v>Indore</v>
          </cell>
          <cell r="J7" t="str">
            <v>Technology</v>
          </cell>
          <cell r="K7" t="str">
            <v>Accessories</v>
          </cell>
          <cell r="T7" t="str">
            <v>Paid</v>
          </cell>
          <cell r="U7" t="str">
            <v>Completed</v>
          </cell>
        </row>
        <row r="8">
          <cell r="E8" t="str">
            <v>Neha Gupta</v>
          </cell>
          <cell r="F8" t="str">
            <v>Consumer</v>
          </cell>
          <cell r="H8" t="str">
            <v>Odisha</v>
          </cell>
          <cell r="I8" t="str">
            <v>Bhubaneswar</v>
          </cell>
          <cell r="J8" t="str">
            <v>Technology</v>
          </cell>
          <cell r="K8" t="str">
            <v>Copiers</v>
          </cell>
          <cell r="T8" t="str">
            <v>Paid</v>
          </cell>
          <cell r="U8" t="str">
            <v>Completed</v>
          </cell>
        </row>
        <row r="9">
          <cell r="E9" t="str">
            <v>Isha Nair</v>
          </cell>
          <cell r="F9" t="str">
            <v>Small Business</v>
          </cell>
          <cell r="H9" t="str">
            <v>Andhra Pradesh</v>
          </cell>
          <cell r="I9" t="str">
            <v>Vijayawada</v>
          </cell>
          <cell r="J9" t="str">
            <v>Office Supplies</v>
          </cell>
          <cell r="K9" t="str">
            <v>Art</v>
          </cell>
          <cell r="T9" t="str">
            <v>Paid</v>
          </cell>
          <cell r="U9" t="str">
            <v>Completed</v>
          </cell>
        </row>
        <row r="10">
          <cell r="E10" t="str">
            <v>Aditi Sen</v>
          </cell>
          <cell r="F10" t="str">
            <v>Corporate</v>
          </cell>
          <cell r="H10" t="str">
            <v>Telangana</v>
          </cell>
          <cell r="I10" t="str">
            <v>Hyderabad</v>
          </cell>
          <cell r="J10" t="str">
            <v>Office Supplies</v>
          </cell>
          <cell r="K10" t="str">
            <v>Labels</v>
          </cell>
          <cell r="T10" t="str">
            <v>Paid</v>
          </cell>
          <cell r="U10" t="str">
            <v>Completed</v>
          </cell>
        </row>
        <row r="11">
          <cell r="E11" t="str">
            <v>Mira Das</v>
          </cell>
          <cell r="F11" t="str">
            <v>Home Office</v>
          </cell>
          <cell r="H11" t="str">
            <v>Telangana</v>
          </cell>
          <cell r="I11" t="str">
            <v>Hyderabad</v>
          </cell>
          <cell r="J11" t="str">
            <v>Office Supplies</v>
          </cell>
          <cell r="K11" t="str">
            <v>Paper</v>
          </cell>
          <cell r="T11" t="str">
            <v>Paid</v>
          </cell>
          <cell r="U11" t="str">
            <v>Completed</v>
          </cell>
        </row>
        <row r="12">
          <cell r="E12" t="str">
            <v>Ananya Rao</v>
          </cell>
          <cell r="F12" t="str">
            <v>Corporate</v>
          </cell>
          <cell r="H12" t="str">
            <v>West Bengal</v>
          </cell>
          <cell r="I12" t="str">
            <v>Kolkata</v>
          </cell>
          <cell r="J12" t="str">
            <v>Office Supplies</v>
          </cell>
          <cell r="K12" t="str">
            <v>Labels</v>
          </cell>
          <cell r="T12" t="str">
            <v>Refunded</v>
          </cell>
          <cell r="U12" t="str">
            <v>Returned</v>
          </cell>
        </row>
        <row r="13">
          <cell r="E13" t="str">
            <v>Vikram Iyer</v>
          </cell>
          <cell r="F13" t="str">
            <v>Small Business</v>
          </cell>
          <cell r="H13" t="str">
            <v>Odisha</v>
          </cell>
          <cell r="I13" t="str">
            <v>Bhubaneswar</v>
          </cell>
          <cell r="J13" t="str">
            <v>Technology</v>
          </cell>
          <cell r="K13" t="str">
            <v>Accessories</v>
          </cell>
          <cell r="T13" t="str">
            <v>Paid</v>
          </cell>
          <cell r="U13" t="str">
            <v>Completed</v>
          </cell>
        </row>
        <row r="14">
          <cell r="E14" t="str">
            <v>Ananya Rao</v>
          </cell>
          <cell r="F14" t="str">
            <v>Corporate</v>
          </cell>
          <cell r="H14" t="str">
            <v>Rajasthan</v>
          </cell>
          <cell r="I14" t="str">
            <v>Udaipur</v>
          </cell>
          <cell r="J14" t="str">
            <v>Office Supplies</v>
          </cell>
          <cell r="K14" t="str">
            <v>Paper</v>
          </cell>
          <cell r="T14" t="str">
            <v>Pending</v>
          </cell>
          <cell r="U14" t="str">
            <v>Returned</v>
          </cell>
        </row>
        <row r="15">
          <cell r="E15" t="str">
            <v>Priya Menon</v>
          </cell>
          <cell r="F15" t="str">
            <v>Small Business</v>
          </cell>
          <cell r="H15" t="str">
            <v>Maharashtra</v>
          </cell>
          <cell r="I15" t="str">
            <v>Mumbai</v>
          </cell>
          <cell r="J15" t="str">
            <v>Office Supplies</v>
          </cell>
          <cell r="K15" t="str">
            <v>Art</v>
          </cell>
          <cell r="T15" t="str">
            <v>Paid</v>
          </cell>
          <cell r="U15" t="str">
            <v>Completed</v>
          </cell>
        </row>
        <row r="16">
          <cell r="E16" t="str">
            <v>Rahul Verma</v>
          </cell>
          <cell r="F16" t="str">
            <v>Consumer</v>
          </cell>
          <cell r="H16" t="str">
            <v>Rajasthan</v>
          </cell>
          <cell r="I16" t="str">
            <v>Udaipur</v>
          </cell>
          <cell r="J16" t="str">
            <v>Technology</v>
          </cell>
          <cell r="K16" t="str">
            <v>Copiers</v>
          </cell>
          <cell r="T16" t="str">
            <v>Paid</v>
          </cell>
          <cell r="U16" t="str">
            <v>Completed</v>
          </cell>
        </row>
        <row r="17">
          <cell r="E17" t="str">
            <v>Karan Malhotra</v>
          </cell>
          <cell r="F17" t="str">
            <v>Small Business</v>
          </cell>
          <cell r="H17" t="str">
            <v>Punjab</v>
          </cell>
          <cell r="I17" t="str">
            <v>Ludhiana</v>
          </cell>
          <cell r="J17" t="str">
            <v>Office Supplies</v>
          </cell>
          <cell r="K17" t="str">
            <v>Storage</v>
          </cell>
          <cell r="T17" t="str">
            <v>Paid</v>
          </cell>
          <cell r="U17" t="str">
            <v>Completed</v>
          </cell>
        </row>
        <row r="18">
          <cell r="E18" t="str">
            <v>Aarav Sharma</v>
          </cell>
          <cell r="F18" t="str">
            <v>Consumer</v>
          </cell>
          <cell r="H18" t="str">
            <v>Telangana</v>
          </cell>
          <cell r="I18" t="str">
            <v>Hyderabad</v>
          </cell>
          <cell r="J18" t="str">
            <v>Office Supplies</v>
          </cell>
          <cell r="K18" t="str">
            <v>Art</v>
          </cell>
          <cell r="T18" t="str">
            <v>Paid</v>
          </cell>
          <cell r="U18" t="str">
            <v>Completed</v>
          </cell>
        </row>
        <row r="19">
          <cell r="E19" t="str">
            <v>Sneha Kapoor</v>
          </cell>
          <cell r="F19" t="str">
            <v>Small Business</v>
          </cell>
          <cell r="H19" t="str">
            <v>Rajasthan</v>
          </cell>
          <cell r="I19" t="str">
            <v>Jaipur</v>
          </cell>
          <cell r="J19" t="str">
            <v>Furniture</v>
          </cell>
          <cell r="K19" t="str">
            <v>Furnishings</v>
          </cell>
          <cell r="T19" t="str">
            <v>Paid</v>
          </cell>
          <cell r="U19" t="str">
            <v>Completed</v>
          </cell>
        </row>
        <row r="20">
          <cell r="E20" t="str">
            <v>Aarav Sharma</v>
          </cell>
          <cell r="F20" t="str">
            <v>Home Office</v>
          </cell>
          <cell r="H20" t="str">
            <v>Uttar Pradesh</v>
          </cell>
          <cell r="I20" t="str">
            <v>Noida</v>
          </cell>
          <cell r="J20" t="str">
            <v>Technology</v>
          </cell>
          <cell r="K20" t="str">
            <v>Copiers</v>
          </cell>
          <cell r="T20" t="str">
            <v>Refunded</v>
          </cell>
          <cell r="U20" t="str">
            <v>Cancelled</v>
          </cell>
        </row>
        <row r="21">
          <cell r="E21" t="str">
            <v>Rohan Mehta</v>
          </cell>
          <cell r="F21" t="str">
            <v>Home Office</v>
          </cell>
          <cell r="H21" t="str">
            <v>Madhya Pradesh</v>
          </cell>
          <cell r="I21" t="str">
            <v>Indore</v>
          </cell>
          <cell r="J21" t="str">
            <v>Office Supplies</v>
          </cell>
          <cell r="K21" t="str">
            <v>Storage</v>
          </cell>
          <cell r="T21" t="str">
            <v>Paid</v>
          </cell>
          <cell r="U21" t="str">
            <v>Completed</v>
          </cell>
        </row>
        <row r="22">
          <cell r="E22" t="str">
            <v>Aditi Sen</v>
          </cell>
          <cell r="F22" t="str">
            <v>Home Office</v>
          </cell>
          <cell r="H22" t="str">
            <v>Bihar</v>
          </cell>
          <cell r="I22" t="str">
            <v>Patna</v>
          </cell>
          <cell r="J22" t="str">
            <v>Technology</v>
          </cell>
          <cell r="K22" t="str">
            <v>Copiers</v>
          </cell>
          <cell r="T22" t="str">
            <v>Paid</v>
          </cell>
          <cell r="U22" t="str">
            <v>Completed</v>
          </cell>
        </row>
        <row r="23">
          <cell r="E23" t="str">
            <v>Sneha Kapoor</v>
          </cell>
          <cell r="F23" t="str">
            <v>Consumer</v>
          </cell>
          <cell r="H23" t="str">
            <v>Madhya Pradesh</v>
          </cell>
          <cell r="I23" t="str">
            <v>Indore</v>
          </cell>
          <cell r="J23" t="str">
            <v>Furniture</v>
          </cell>
          <cell r="K23" t="str">
            <v>Furnishings</v>
          </cell>
          <cell r="T23" t="str">
            <v>Paid</v>
          </cell>
          <cell r="U23" t="str">
            <v>Completed</v>
          </cell>
        </row>
        <row r="24">
          <cell r="E24" t="str">
            <v>Mira Das</v>
          </cell>
          <cell r="F24" t="str">
            <v>Consumer</v>
          </cell>
          <cell r="H24" t="str">
            <v>Telangana</v>
          </cell>
          <cell r="I24" t="str">
            <v>Hyderabad</v>
          </cell>
          <cell r="J24" t="str">
            <v>Office Supplies</v>
          </cell>
          <cell r="K24" t="str">
            <v>Binders</v>
          </cell>
          <cell r="T24" t="str">
            <v>Failed</v>
          </cell>
          <cell r="U24" t="str">
            <v>Returned</v>
          </cell>
        </row>
        <row r="25">
          <cell r="E25" t="str">
            <v>Rahul Verma</v>
          </cell>
          <cell r="F25" t="str">
            <v>Home Office</v>
          </cell>
          <cell r="H25" t="str">
            <v>Bihar</v>
          </cell>
          <cell r="I25" t="str">
            <v>Patna</v>
          </cell>
          <cell r="J25" t="str">
            <v>Furniture</v>
          </cell>
          <cell r="K25" t="str">
            <v>Bookcases</v>
          </cell>
          <cell r="T25" t="str">
            <v>Paid</v>
          </cell>
          <cell r="U25" t="str">
            <v>Completed</v>
          </cell>
        </row>
        <row r="26">
          <cell r="E26" t="str">
            <v>Diya Patel</v>
          </cell>
          <cell r="F26" t="str">
            <v>Consumer</v>
          </cell>
          <cell r="H26" t="str">
            <v>Punjab</v>
          </cell>
          <cell r="I26" t="str">
            <v>Ludhiana</v>
          </cell>
          <cell r="J26" t="str">
            <v>Office Supplies</v>
          </cell>
          <cell r="K26" t="str">
            <v>Art</v>
          </cell>
          <cell r="T26" t="str">
            <v>Pending</v>
          </cell>
          <cell r="U26" t="str">
            <v>Cancelled</v>
          </cell>
        </row>
        <row r="27">
          <cell r="E27" t="str">
            <v>Arjun Bose</v>
          </cell>
          <cell r="F27" t="str">
            <v>Corporate</v>
          </cell>
          <cell r="H27" t="str">
            <v>Assam</v>
          </cell>
          <cell r="I27" t="str">
            <v>Guwahati</v>
          </cell>
          <cell r="J27" t="str">
            <v>Technology</v>
          </cell>
          <cell r="K27" t="str">
            <v>Accessories</v>
          </cell>
          <cell r="T27" t="str">
            <v>Paid</v>
          </cell>
          <cell r="U27" t="str">
            <v>Completed</v>
          </cell>
        </row>
        <row r="28">
          <cell r="E28" t="str">
            <v>Diya Patel</v>
          </cell>
          <cell r="F28" t="str">
            <v>Corporate</v>
          </cell>
          <cell r="H28" t="str">
            <v>Uttar Pradesh</v>
          </cell>
          <cell r="I28" t="str">
            <v>Noida</v>
          </cell>
          <cell r="J28" t="str">
            <v>Technology</v>
          </cell>
          <cell r="K28" t="str">
            <v>Phones</v>
          </cell>
          <cell r="T28" t="str">
            <v>Paid</v>
          </cell>
          <cell r="U28" t="str">
            <v>Returned</v>
          </cell>
        </row>
        <row r="29">
          <cell r="E29" t="str">
            <v>Arjun Bose</v>
          </cell>
          <cell r="F29" t="str">
            <v>Small Business</v>
          </cell>
          <cell r="H29" t="str">
            <v>Karnataka</v>
          </cell>
          <cell r="I29" t="str">
            <v>Bengaluru</v>
          </cell>
          <cell r="J29" t="str">
            <v>Office Supplies</v>
          </cell>
          <cell r="K29" t="str">
            <v>Paper</v>
          </cell>
          <cell r="T29" t="str">
            <v>Failed</v>
          </cell>
          <cell r="U29" t="str">
            <v>Returned</v>
          </cell>
        </row>
        <row r="30">
          <cell r="E30" t="str">
            <v>Ananya Rao</v>
          </cell>
          <cell r="F30" t="str">
            <v>Home Office</v>
          </cell>
          <cell r="H30" t="str">
            <v>Gujarat</v>
          </cell>
          <cell r="I30" t="str">
            <v>Ahmedabad</v>
          </cell>
          <cell r="J30" t="str">
            <v>Technology</v>
          </cell>
          <cell r="K30" t="str">
            <v>Phones</v>
          </cell>
          <cell r="T30" t="str">
            <v>Refunded</v>
          </cell>
          <cell r="U30" t="str">
            <v>Cancelled</v>
          </cell>
        </row>
        <row r="31">
          <cell r="E31" t="str">
            <v>Rohan Mehta</v>
          </cell>
          <cell r="F31" t="str">
            <v>Home Office</v>
          </cell>
          <cell r="H31" t="str">
            <v>Kerala</v>
          </cell>
          <cell r="I31" t="str">
            <v>Kochi</v>
          </cell>
          <cell r="J31" t="str">
            <v>Technology</v>
          </cell>
          <cell r="K31" t="str">
            <v>Phones</v>
          </cell>
          <cell r="T31" t="str">
            <v>Paid</v>
          </cell>
          <cell r="U31" t="str">
            <v>Completed</v>
          </cell>
        </row>
        <row r="32">
          <cell r="E32" t="str">
            <v>Ananya Rao</v>
          </cell>
          <cell r="F32" t="str">
            <v>Corporate</v>
          </cell>
          <cell r="H32" t="str">
            <v>Goa</v>
          </cell>
          <cell r="I32" t="str">
            <v>Panaji</v>
          </cell>
          <cell r="J32" t="str">
            <v>Office Supplies</v>
          </cell>
          <cell r="K32" t="str">
            <v>Labels</v>
          </cell>
          <cell r="T32" t="str">
            <v>Paid</v>
          </cell>
          <cell r="U32" t="str">
            <v>Completed</v>
          </cell>
        </row>
        <row r="33">
          <cell r="E33" t="str">
            <v>Karan Malhotra</v>
          </cell>
          <cell r="F33" t="str">
            <v>Small Business</v>
          </cell>
          <cell r="H33" t="str">
            <v>Madhya Pradesh</v>
          </cell>
          <cell r="I33" t="str">
            <v>Indore</v>
          </cell>
          <cell r="J33" t="str">
            <v>Office Supplies</v>
          </cell>
          <cell r="K33" t="str">
            <v>Paper</v>
          </cell>
          <cell r="T33" t="str">
            <v>Failed</v>
          </cell>
          <cell r="U33" t="str">
            <v>Returned</v>
          </cell>
        </row>
        <row r="34">
          <cell r="E34" t="str">
            <v>Aarav Sharma</v>
          </cell>
          <cell r="F34" t="str">
            <v>Corporate</v>
          </cell>
          <cell r="H34" t="str">
            <v>Andhra Pradesh</v>
          </cell>
          <cell r="I34" t="str">
            <v>Vijayawada</v>
          </cell>
          <cell r="J34" t="str">
            <v>Technology</v>
          </cell>
          <cell r="K34" t="str">
            <v>Phones</v>
          </cell>
          <cell r="T34" t="str">
            <v>Paid</v>
          </cell>
          <cell r="U34" t="str">
            <v>Completed</v>
          </cell>
        </row>
        <row r="35">
          <cell r="E35" t="str">
            <v>Priya Menon</v>
          </cell>
          <cell r="F35" t="str">
            <v>Home Office</v>
          </cell>
          <cell r="H35" t="str">
            <v>Goa</v>
          </cell>
          <cell r="I35" t="str">
            <v>Panaji</v>
          </cell>
          <cell r="J35" t="str">
            <v>Furniture</v>
          </cell>
          <cell r="K35" t="str">
            <v>Tables</v>
          </cell>
          <cell r="T35" t="str">
            <v>Paid</v>
          </cell>
          <cell r="U35" t="str">
            <v>Completed</v>
          </cell>
        </row>
        <row r="36">
          <cell r="E36" t="str">
            <v>Priya Menon</v>
          </cell>
          <cell r="F36" t="str">
            <v>Home Office</v>
          </cell>
          <cell r="H36" t="str">
            <v>West Bengal</v>
          </cell>
          <cell r="I36" t="str">
            <v>Kolkata</v>
          </cell>
          <cell r="J36" t="str">
            <v>Furniture</v>
          </cell>
          <cell r="K36" t="str">
            <v>Chairs</v>
          </cell>
          <cell r="T36" t="str">
            <v>Paid</v>
          </cell>
          <cell r="U36" t="str">
            <v>Completed</v>
          </cell>
        </row>
        <row r="37">
          <cell r="E37" t="str">
            <v>Sneha Kapoor</v>
          </cell>
          <cell r="F37" t="str">
            <v>Small Business</v>
          </cell>
          <cell r="H37" t="str">
            <v>Gujarat</v>
          </cell>
          <cell r="I37" t="str">
            <v>Ahmedabad</v>
          </cell>
          <cell r="J37" t="str">
            <v>Furniture</v>
          </cell>
          <cell r="K37" t="str">
            <v>Bookcases</v>
          </cell>
          <cell r="T37" t="str">
            <v>Pending</v>
          </cell>
          <cell r="U37" t="str">
            <v>Returned</v>
          </cell>
        </row>
        <row r="38">
          <cell r="E38" t="str">
            <v>Rohan Mehta</v>
          </cell>
          <cell r="F38" t="str">
            <v>Corporate</v>
          </cell>
          <cell r="H38" t="str">
            <v>Maharashtra</v>
          </cell>
          <cell r="I38" t="str">
            <v>Mumbai</v>
          </cell>
          <cell r="J38" t="str">
            <v>Furniture</v>
          </cell>
          <cell r="K38" t="str">
            <v>Bookcases</v>
          </cell>
          <cell r="T38" t="str">
            <v>Paid</v>
          </cell>
          <cell r="U38" t="str">
            <v>Returned</v>
          </cell>
        </row>
        <row r="39">
          <cell r="E39" t="str">
            <v>Diya Patel</v>
          </cell>
          <cell r="F39" t="str">
            <v>Consumer</v>
          </cell>
          <cell r="H39" t="str">
            <v>Maharashtra</v>
          </cell>
          <cell r="I39" t="str">
            <v>Mumbai</v>
          </cell>
          <cell r="J39" t="str">
            <v>Technology</v>
          </cell>
          <cell r="K39" t="str">
            <v>Copiers</v>
          </cell>
          <cell r="T39" t="str">
            <v>Paid</v>
          </cell>
          <cell r="U39" t="str">
            <v>Completed</v>
          </cell>
        </row>
        <row r="40">
          <cell r="E40" t="str">
            <v>Aarav Sharma</v>
          </cell>
          <cell r="F40" t="str">
            <v>Corporate</v>
          </cell>
          <cell r="H40" t="str">
            <v>Gujarat</v>
          </cell>
          <cell r="I40" t="str">
            <v>Ahmedabad</v>
          </cell>
          <cell r="J40" t="str">
            <v>Technology</v>
          </cell>
          <cell r="K40" t="str">
            <v>Phones</v>
          </cell>
          <cell r="T40" t="str">
            <v>Paid</v>
          </cell>
          <cell r="U40" t="str">
            <v>Completed</v>
          </cell>
        </row>
        <row r="41">
          <cell r="E41" t="str">
            <v>Mira Das</v>
          </cell>
          <cell r="F41" t="str">
            <v>Small Business</v>
          </cell>
          <cell r="H41" t="str">
            <v>Madhya Pradesh</v>
          </cell>
          <cell r="I41" t="str">
            <v>Indore</v>
          </cell>
          <cell r="J41" t="str">
            <v>Technology</v>
          </cell>
          <cell r="K41" t="str">
            <v>Copiers</v>
          </cell>
          <cell r="T41" t="str">
            <v>Pending</v>
          </cell>
          <cell r="U41" t="str">
            <v>Returned</v>
          </cell>
        </row>
        <row r="42">
          <cell r="E42" t="str">
            <v>Isha Nair</v>
          </cell>
          <cell r="F42" t="str">
            <v>Home Office</v>
          </cell>
          <cell r="H42" t="str">
            <v>Rajasthan</v>
          </cell>
          <cell r="I42" t="str">
            <v>Udaipur</v>
          </cell>
          <cell r="J42" t="str">
            <v>Technology</v>
          </cell>
          <cell r="K42" t="str">
            <v>Copiers</v>
          </cell>
          <cell r="T42" t="str">
            <v>Paid</v>
          </cell>
          <cell r="U42" t="str">
            <v>Completed</v>
          </cell>
        </row>
        <row r="43">
          <cell r="E43" t="str">
            <v>Aarav Sharma</v>
          </cell>
          <cell r="F43" t="str">
            <v>Small Business</v>
          </cell>
          <cell r="H43" t="str">
            <v>Odisha</v>
          </cell>
          <cell r="I43" t="str">
            <v>Bhubaneswar</v>
          </cell>
          <cell r="J43" t="str">
            <v>Furniture</v>
          </cell>
          <cell r="K43" t="str">
            <v>Bookcases</v>
          </cell>
          <cell r="T43" t="str">
            <v>Pending</v>
          </cell>
          <cell r="U43" t="str">
            <v>Cancelled</v>
          </cell>
        </row>
        <row r="44">
          <cell r="E44" t="str">
            <v>Arjun Bose</v>
          </cell>
          <cell r="F44" t="str">
            <v>Corporate</v>
          </cell>
          <cell r="H44" t="str">
            <v>Jharkhand</v>
          </cell>
          <cell r="I44" t="str">
            <v>Ranchi</v>
          </cell>
          <cell r="J44" t="str">
            <v>Technology</v>
          </cell>
          <cell r="K44" t="str">
            <v>Phones</v>
          </cell>
          <cell r="T44" t="str">
            <v>Paid</v>
          </cell>
          <cell r="U44" t="str">
            <v>Completed</v>
          </cell>
        </row>
        <row r="45">
          <cell r="E45" t="str">
            <v>Priya Menon</v>
          </cell>
          <cell r="F45" t="str">
            <v>Small Business</v>
          </cell>
          <cell r="H45" t="str">
            <v>Odisha</v>
          </cell>
          <cell r="I45" t="str">
            <v>Bhubaneswar</v>
          </cell>
          <cell r="J45" t="str">
            <v>Furniture</v>
          </cell>
          <cell r="K45" t="str">
            <v>Furnishings</v>
          </cell>
          <cell r="T45" t="str">
            <v>Paid</v>
          </cell>
          <cell r="U45" t="str">
            <v>Completed</v>
          </cell>
        </row>
        <row r="46">
          <cell r="E46" t="str">
            <v>Rohan Mehta</v>
          </cell>
          <cell r="F46" t="str">
            <v>Small Business</v>
          </cell>
          <cell r="H46" t="str">
            <v>Haryana</v>
          </cell>
          <cell r="I46" t="str">
            <v>Gurugram</v>
          </cell>
          <cell r="J46" t="str">
            <v>Furniture</v>
          </cell>
          <cell r="K46" t="str">
            <v>Chairs</v>
          </cell>
          <cell r="T46" t="str">
            <v>Paid</v>
          </cell>
          <cell r="U46" t="str">
            <v>Completed</v>
          </cell>
        </row>
        <row r="47">
          <cell r="E47" t="str">
            <v>Isha Nair</v>
          </cell>
          <cell r="F47" t="str">
            <v>Home Office</v>
          </cell>
          <cell r="H47" t="str">
            <v>Bihar</v>
          </cell>
          <cell r="I47" t="str">
            <v>Patna</v>
          </cell>
          <cell r="J47" t="str">
            <v>Office Supplies</v>
          </cell>
          <cell r="K47" t="str">
            <v>Art</v>
          </cell>
          <cell r="T47" t="str">
            <v>Pending</v>
          </cell>
          <cell r="U47" t="str">
            <v>Returned</v>
          </cell>
        </row>
        <row r="48">
          <cell r="E48" t="str">
            <v>Ananya Rao</v>
          </cell>
          <cell r="F48" t="str">
            <v>Small Business</v>
          </cell>
          <cell r="H48" t="str">
            <v>Kerala</v>
          </cell>
          <cell r="I48" t="str">
            <v>Kochi</v>
          </cell>
          <cell r="J48" t="str">
            <v>Furniture</v>
          </cell>
          <cell r="K48" t="str">
            <v>Bookcases</v>
          </cell>
          <cell r="T48" t="str">
            <v>Refunded</v>
          </cell>
          <cell r="U48" t="str">
            <v>Returned</v>
          </cell>
        </row>
        <row r="49">
          <cell r="E49" t="str">
            <v>Rahul Verma</v>
          </cell>
          <cell r="F49" t="str">
            <v>Corporate</v>
          </cell>
          <cell r="H49" t="str">
            <v>Tamil Nadu</v>
          </cell>
          <cell r="I49" t="str">
            <v>Chennai</v>
          </cell>
          <cell r="J49" t="str">
            <v>Office Supplies</v>
          </cell>
          <cell r="K49" t="str">
            <v>Storage</v>
          </cell>
          <cell r="T49" t="str">
            <v>Paid</v>
          </cell>
          <cell r="U49" t="str">
            <v>Completed</v>
          </cell>
        </row>
        <row r="50">
          <cell r="E50" t="str">
            <v>Neha Gupta</v>
          </cell>
          <cell r="F50" t="str">
            <v>Corporate</v>
          </cell>
          <cell r="H50" t="str">
            <v>Maharashtra</v>
          </cell>
          <cell r="I50" t="str">
            <v>Mumbai</v>
          </cell>
          <cell r="J50" t="str">
            <v>Furniture</v>
          </cell>
          <cell r="K50" t="str">
            <v>Chairs</v>
          </cell>
          <cell r="T50" t="str">
            <v>Paid</v>
          </cell>
          <cell r="U50" t="str">
            <v>Completed</v>
          </cell>
        </row>
        <row r="51">
          <cell r="E51" t="str">
            <v>Aarav Sharma</v>
          </cell>
          <cell r="F51" t="str">
            <v>Home Office</v>
          </cell>
          <cell r="H51" t="str">
            <v>Uttar Pradesh</v>
          </cell>
          <cell r="I51" t="str">
            <v>Noida</v>
          </cell>
          <cell r="J51" t="str">
            <v>Technology</v>
          </cell>
          <cell r="K51" t="str">
            <v>Copiers</v>
          </cell>
          <cell r="T51" t="str">
            <v>Paid</v>
          </cell>
          <cell r="U51" t="str">
            <v>Completed</v>
          </cell>
        </row>
        <row r="52">
          <cell r="E52" t="str">
            <v>Sneha Kapoor</v>
          </cell>
          <cell r="F52" t="str">
            <v>Consumer</v>
          </cell>
          <cell r="H52" t="str">
            <v>West Bengal</v>
          </cell>
          <cell r="I52" t="str">
            <v>Kolkata</v>
          </cell>
          <cell r="J52" t="str">
            <v>Technology</v>
          </cell>
          <cell r="K52" t="str">
            <v>Copiers</v>
          </cell>
          <cell r="T52" t="str">
            <v>Paid</v>
          </cell>
          <cell r="U52" t="str">
            <v>Completed</v>
          </cell>
        </row>
        <row r="53">
          <cell r="E53" t="str">
            <v>Ananya Rao</v>
          </cell>
          <cell r="F53" t="str">
            <v>Corporate</v>
          </cell>
          <cell r="H53" t="str">
            <v>Telangana</v>
          </cell>
          <cell r="I53" t="str">
            <v>Hyderabad</v>
          </cell>
          <cell r="J53" t="str">
            <v>Office Supplies</v>
          </cell>
          <cell r="K53" t="str">
            <v>Art</v>
          </cell>
          <cell r="T53" t="str">
            <v>Paid</v>
          </cell>
          <cell r="U53" t="str">
            <v>Completed</v>
          </cell>
        </row>
        <row r="54">
          <cell r="E54" t="str">
            <v>Kabir Singh</v>
          </cell>
          <cell r="F54" t="str">
            <v>Small Business</v>
          </cell>
          <cell r="H54" t="str">
            <v>Rajasthan</v>
          </cell>
          <cell r="I54" t="str">
            <v>Jaipur</v>
          </cell>
          <cell r="J54" t="str">
            <v>Furniture</v>
          </cell>
          <cell r="K54" t="str">
            <v>Chairs</v>
          </cell>
          <cell r="T54" t="str">
            <v>Failed</v>
          </cell>
          <cell r="U54" t="str">
            <v>Cancelled</v>
          </cell>
        </row>
        <row r="55">
          <cell r="E55" t="str">
            <v>Kabir Singh</v>
          </cell>
          <cell r="F55" t="str">
            <v>Home Office</v>
          </cell>
          <cell r="H55" t="str">
            <v>Gujarat</v>
          </cell>
          <cell r="I55" t="str">
            <v>Ahmedabad</v>
          </cell>
          <cell r="J55" t="str">
            <v>Office Supplies</v>
          </cell>
          <cell r="K55" t="str">
            <v>Storage</v>
          </cell>
          <cell r="T55" t="str">
            <v>Paid</v>
          </cell>
          <cell r="U55" t="str">
            <v>Completed</v>
          </cell>
        </row>
        <row r="56">
          <cell r="E56" t="str">
            <v>Arjun Bose</v>
          </cell>
          <cell r="F56" t="str">
            <v>Corporate</v>
          </cell>
          <cell r="H56" t="str">
            <v>Tamil Nadu</v>
          </cell>
          <cell r="I56" t="str">
            <v>Chennai</v>
          </cell>
          <cell r="J56" t="str">
            <v>Office Supplies</v>
          </cell>
          <cell r="K56" t="str">
            <v>Labels</v>
          </cell>
          <cell r="T56" t="str">
            <v>Failed</v>
          </cell>
          <cell r="U56" t="str">
            <v>Cancelled</v>
          </cell>
        </row>
        <row r="57">
          <cell r="E57" t="str">
            <v>Mira Das</v>
          </cell>
          <cell r="F57" t="str">
            <v>Small Business</v>
          </cell>
          <cell r="H57" t="str">
            <v>Andhra Pradesh</v>
          </cell>
          <cell r="I57" t="str">
            <v>Vijayawada</v>
          </cell>
          <cell r="J57" t="str">
            <v>Technology</v>
          </cell>
          <cell r="K57" t="str">
            <v>Machines</v>
          </cell>
          <cell r="T57" t="str">
            <v>Paid</v>
          </cell>
          <cell r="U57" t="str">
            <v>Completed</v>
          </cell>
        </row>
        <row r="58">
          <cell r="E58" t="str">
            <v>Karan Malhotra</v>
          </cell>
          <cell r="F58" t="str">
            <v>Consumer</v>
          </cell>
          <cell r="H58" t="str">
            <v>Karnataka</v>
          </cell>
          <cell r="I58" t="str">
            <v>Bengaluru</v>
          </cell>
          <cell r="J58" t="str">
            <v>Office Supplies</v>
          </cell>
          <cell r="K58" t="str">
            <v>Binders</v>
          </cell>
          <cell r="T58" t="str">
            <v>Refunded</v>
          </cell>
          <cell r="U58" t="str">
            <v>Cancelled</v>
          </cell>
        </row>
        <row r="59">
          <cell r="E59" t="str">
            <v>Priya Menon</v>
          </cell>
          <cell r="F59" t="str">
            <v>Consumer</v>
          </cell>
          <cell r="H59" t="str">
            <v>Goa</v>
          </cell>
          <cell r="I59" t="str">
            <v>Panaji</v>
          </cell>
          <cell r="J59" t="str">
            <v>Furniture</v>
          </cell>
          <cell r="K59" t="str">
            <v>Chairs</v>
          </cell>
          <cell r="T59" t="str">
            <v>Paid</v>
          </cell>
          <cell r="U59" t="str">
            <v>Completed</v>
          </cell>
        </row>
        <row r="60">
          <cell r="E60" t="str">
            <v>Isha Nair</v>
          </cell>
          <cell r="F60" t="str">
            <v>Home Office</v>
          </cell>
          <cell r="H60" t="str">
            <v>Rajasthan</v>
          </cell>
          <cell r="I60" t="str">
            <v>Jaipur</v>
          </cell>
          <cell r="J60" t="str">
            <v>Office Supplies</v>
          </cell>
          <cell r="K60" t="str">
            <v>Storage</v>
          </cell>
          <cell r="T60" t="str">
            <v>Pending</v>
          </cell>
          <cell r="U60" t="str">
            <v>Returned</v>
          </cell>
        </row>
        <row r="61">
          <cell r="E61" t="str">
            <v>Priya Menon</v>
          </cell>
          <cell r="F61" t="str">
            <v>Corporate</v>
          </cell>
          <cell r="H61" t="str">
            <v>Assam</v>
          </cell>
          <cell r="I61" t="str">
            <v>Guwahati</v>
          </cell>
          <cell r="J61" t="str">
            <v>Office Supplies</v>
          </cell>
          <cell r="K61" t="str">
            <v>Labels</v>
          </cell>
          <cell r="T61" t="str">
            <v>Paid</v>
          </cell>
          <cell r="U61" t="str">
            <v>Cancelled</v>
          </cell>
        </row>
        <row r="62">
          <cell r="E62" t="str">
            <v>Ananya Rao</v>
          </cell>
          <cell r="F62" t="str">
            <v>Corporate</v>
          </cell>
          <cell r="H62" t="str">
            <v>Assam</v>
          </cell>
          <cell r="I62" t="str">
            <v>Guwahati</v>
          </cell>
          <cell r="J62" t="str">
            <v>Office Supplies</v>
          </cell>
          <cell r="K62" t="str">
            <v>Labels</v>
          </cell>
          <cell r="T62" t="str">
            <v>Refunded</v>
          </cell>
          <cell r="U62" t="str">
            <v>Cancelled</v>
          </cell>
        </row>
        <row r="63">
          <cell r="E63" t="str">
            <v>Vikram Iyer</v>
          </cell>
          <cell r="F63" t="str">
            <v>Home Office</v>
          </cell>
          <cell r="H63" t="str">
            <v>Bihar</v>
          </cell>
          <cell r="I63" t="str">
            <v>Patna</v>
          </cell>
          <cell r="J63" t="str">
            <v>Furniture</v>
          </cell>
          <cell r="K63" t="str">
            <v>Bookcases</v>
          </cell>
          <cell r="T63" t="str">
            <v>Paid</v>
          </cell>
          <cell r="U63" t="str">
            <v>Completed</v>
          </cell>
        </row>
        <row r="64">
          <cell r="E64" t="str">
            <v>Sneha Kapoor</v>
          </cell>
          <cell r="F64" t="str">
            <v>Home Office</v>
          </cell>
          <cell r="H64" t="str">
            <v>Rajasthan</v>
          </cell>
          <cell r="I64" t="str">
            <v>Jaipur</v>
          </cell>
          <cell r="J64" t="str">
            <v>Technology</v>
          </cell>
          <cell r="K64" t="str">
            <v>Phones</v>
          </cell>
          <cell r="T64" t="str">
            <v>Paid</v>
          </cell>
          <cell r="U64" t="str">
            <v>Completed</v>
          </cell>
        </row>
        <row r="65">
          <cell r="E65" t="str">
            <v>Sneha Kapoor</v>
          </cell>
          <cell r="F65" t="str">
            <v>Home Office</v>
          </cell>
          <cell r="H65" t="str">
            <v>Haryana</v>
          </cell>
          <cell r="I65" t="str">
            <v>Gurugram</v>
          </cell>
          <cell r="J65" t="str">
            <v>Office Supplies</v>
          </cell>
          <cell r="K65" t="str">
            <v>Binders</v>
          </cell>
          <cell r="T65" t="str">
            <v>Paid</v>
          </cell>
          <cell r="U65" t="str">
            <v>Completed</v>
          </cell>
        </row>
        <row r="66">
          <cell r="E66" t="str">
            <v>Aarav Sharma</v>
          </cell>
          <cell r="F66" t="str">
            <v>Corporate</v>
          </cell>
          <cell r="H66" t="str">
            <v>Jharkhand</v>
          </cell>
          <cell r="I66" t="str">
            <v>Ranchi</v>
          </cell>
          <cell r="J66" t="str">
            <v>Office Supplies</v>
          </cell>
          <cell r="K66" t="str">
            <v>Paper</v>
          </cell>
          <cell r="T66" t="str">
            <v>Refunded</v>
          </cell>
          <cell r="U66" t="str">
            <v>Returned</v>
          </cell>
        </row>
        <row r="67">
          <cell r="E67" t="str">
            <v>Mira Das</v>
          </cell>
          <cell r="F67" t="str">
            <v>Home Office</v>
          </cell>
          <cell r="H67" t="str">
            <v>Maharashtra</v>
          </cell>
          <cell r="I67" t="str">
            <v>Mumbai</v>
          </cell>
          <cell r="J67" t="str">
            <v>Office Supplies</v>
          </cell>
          <cell r="K67" t="str">
            <v>Paper</v>
          </cell>
          <cell r="T67" t="str">
            <v>Paid</v>
          </cell>
          <cell r="U67" t="str">
            <v>Completed</v>
          </cell>
        </row>
        <row r="68">
          <cell r="E68" t="str">
            <v>Karan Malhotra</v>
          </cell>
          <cell r="F68" t="str">
            <v>Small Business</v>
          </cell>
          <cell r="H68" t="str">
            <v>Tamil Nadu</v>
          </cell>
          <cell r="I68" t="str">
            <v>Chennai</v>
          </cell>
          <cell r="J68" t="str">
            <v>Technology</v>
          </cell>
          <cell r="K68" t="str">
            <v>Accessories</v>
          </cell>
          <cell r="T68" t="str">
            <v>Paid</v>
          </cell>
          <cell r="U68" t="str">
            <v>Completed</v>
          </cell>
        </row>
        <row r="69">
          <cell r="E69" t="str">
            <v>Kabir Singh</v>
          </cell>
          <cell r="F69" t="str">
            <v>Consumer</v>
          </cell>
          <cell r="H69" t="str">
            <v>Haryana</v>
          </cell>
          <cell r="I69" t="str">
            <v>Gurugram</v>
          </cell>
          <cell r="J69" t="str">
            <v>Office Supplies</v>
          </cell>
          <cell r="K69" t="str">
            <v>Paper</v>
          </cell>
          <cell r="T69" t="str">
            <v>Paid</v>
          </cell>
          <cell r="U69" t="str">
            <v>Completed</v>
          </cell>
        </row>
        <row r="70">
          <cell r="E70" t="str">
            <v>Isha Nair</v>
          </cell>
          <cell r="F70" t="str">
            <v>Corporate</v>
          </cell>
          <cell r="H70" t="str">
            <v>Jharkhand</v>
          </cell>
          <cell r="I70" t="str">
            <v>Ranchi</v>
          </cell>
          <cell r="J70" t="str">
            <v>Office Supplies</v>
          </cell>
          <cell r="K70" t="str">
            <v>Storage</v>
          </cell>
          <cell r="T70" t="str">
            <v>Failed</v>
          </cell>
          <cell r="U70" t="str">
            <v>Returned</v>
          </cell>
        </row>
        <row r="71">
          <cell r="E71" t="str">
            <v>Neha Gupta</v>
          </cell>
          <cell r="F71" t="str">
            <v>Small Business</v>
          </cell>
          <cell r="H71" t="str">
            <v>Gujarat</v>
          </cell>
          <cell r="I71" t="str">
            <v>Ahmedabad</v>
          </cell>
          <cell r="J71" t="str">
            <v>Technology</v>
          </cell>
          <cell r="K71" t="str">
            <v>Machines</v>
          </cell>
          <cell r="T71" t="str">
            <v>Refunded</v>
          </cell>
          <cell r="U71" t="str">
            <v>Returned</v>
          </cell>
        </row>
        <row r="72">
          <cell r="E72" t="str">
            <v>Karan Malhotra</v>
          </cell>
          <cell r="F72" t="str">
            <v>Corporate</v>
          </cell>
          <cell r="H72" t="str">
            <v>Andhra Pradesh</v>
          </cell>
          <cell r="I72" t="str">
            <v>Vijayawada</v>
          </cell>
          <cell r="J72" t="str">
            <v>Technology</v>
          </cell>
          <cell r="K72" t="str">
            <v>Phones</v>
          </cell>
          <cell r="T72" t="str">
            <v>Paid</v>
          </cell>
          <cell r="U72" t="str">
            <v>Completed</v>
          </cell>
        </row>
        <row r="73">
          <cell r="E73" t="str">
            <v>Mira Das</v>
          </cell>
          <cell r="F73" t="str">
            <v>Small Business</v>
          </cell>
          <cell r="H73" t="str">
            <v>Goa</v>
          </cell>
          <cell r="I73" t="str">
            <v>Panaji</v>
          </cell>
          <cell r="J73" t="str">
            <v>Technology</v>
          </cell>
          <cell r="K73" t="str">
            <v>Machines</v>
          </cell>
          <cell r="T73" t="str">
            <v>Paid</v>
          </cell>
          <cell r="U73" t="str">
            <v>Completed</v>
          </cell>
        </row>
        <row r="74">
          <cell r="E74" t="str">
            <v>Karan Malhotra</v>
          </cell>
          <cell r="F74" t="str">
            <v>Home Office</v>
          </cell>
          <cell r="H74" t="str">
            <v>Tamil Nadu</v>
          </cell>
          <cell r="I74" t="str">
            <v>Chennai</v>
          </cell>
          <cell r="J74" t="str">
            <v>Furniture</v>
          </cell>
          <cell r="K74" t="str">
            <v>Tables</v>
          </cell>
          <cell r="T74" t="str">
            <v>Paid</v>
          </cell>
          <cell r="U74" t="str">
            <v>Completed</v>
          </cell>
        </row>
        <row r="75">
          <cell r="E75" t="str">
            <v>Sneha Kapoor</v>
          </cell>
          <cell r="F75" t="str">
            <v>Corporate</v>
          </cell>
          <cell r="H75" t="str">
            <v>West Bengal</v>
          </cell>
          <cell r="I75" t="str">
            <v>Kolkata</v>
          </cell>
          <cell r="J75" t="str">
            <v>Furniture</v>
          </cell>
          <cell r="K75" t="str">
            <v>Bookcases</v>
          </cell>
          <cell r="T75" t="str">
            <v>Paid</v>
          </cell>
          <cell r="U75" t="str">
            <v>Completed</v>
          </cell>
        </row>
        <row r="76">
          <cell r="E76" t="str">
            <v>Vikram Iyer</v>
          </cell>
          <cell r="F76" t="str">
            <v>Small Business</v>
          </cell>
          <cell r="H76" t="str">
            <v>West Bengal</v>
          </cell>
          <cell r="I76" t="str">
            <v>Kolkata</v>
          </cell>
          <cell r="J76" t="str">
            <v>Furniture</v>
          </cell>
          <cell r="K76" t="str">
            <v>Chairs</v>
          </cell>
          <cell r="T76" t="str">
            <v>Paid</v>
          </cell>
          <cell r="U76" t="str">
            <v>Completed</v>
          </cell>
        </row>
        <row r="77">
          <cell r="E77" t="str">
            <v>Priya Menon</v>
          </cell>
          <cell r="F77" t="str">
            <v>Small Business</v>
          </cell>
          <cell r="H77" t="str">
            <v>Odisha</v>
          </cell>
          <cell r="I77" t="str">
            <v>Bhubaneswar</v>
          </cell>
          <cell r="J77" t="str">
            <v>Office Supplies</v>
          </cell>
          <cell r="K77" t="str">
            <v>Labels</v>
          </cell>
          <cell r="T77" t="str">
            <v>Paid</v>
          </cell>
          <cell r="U77" t="str">
            <v>Completed</v>
          </cell>
        </row>
        <row r="78">
          <cell r="E78" t="str">
            <v>Ananya Rao</v>
          </cell>
          <cell r="F78" t="str">
            <v>Corporate</v>
          </cell>
          <cell r="H78" t="str">
            <v>Jharkhand</v>
          </cell>
          <cell r="I78" t="str">
            <v>Ranchi</v>
          </cell>
          <cell r="J78" t="str">
            <v>Office Supplies</v>
          </cell>
          <cell r="K78" t="str">
            <v>Labels</v>
          </cell>
          <cell r="T78" t="str">
            <v>Paid</v>
          </cell>
          <cell r="U78" t="str">
            <v>Completed</v>
          </cell>
        </row>
        <row r="79">
          <cell r="E79" t="str">
            <v>Rohan Mehta</v>
          </cell>
          <cell r="F79" t="str">
            <v>Home Office</v>
          </cell>
          <cell r="H79" t="str">
            <v>Uttar Pradesh</v>
          </cell>
          <cell r="I79" t="str">
            <v>Noida</v>
          </cell>
          <cell r="J79" t="str">
            <v>Furniture</v>
          </cell>
          <cell r="K79" t="str">
            <v>Furnishings</v>
          </cell>
          <cell r="T79" t="str">
            <v>Refunded</v>
          </cell>
          <cell r="U79" t="str">
            <v>Cancelled</v>
          </cell>
        </row>
        <row r="80">
          <cell r="E80" t="str">
            <v>Sneha Kapoor</v>
          </cell>
          <cell r="F80" t="str">
            <v>Corporate</v>
          </cell>
          <cell r="H80" t="str">
            <v>West Bengal</v>
          </cell>
          <cell r="I80" t="str">
            <v>Kolkata</v>
          </cell>
          <cell r="J80" t="str">
            <v>Furniture</v>
          </cell>
          <cell r="K80" t="str">
            <v>Tables</v>
          </cell>
          <cell r="T80" t="str">
            <v>Paid</v>
          </cell>
          <cell r="U80" t="str">
            <v>Completed</v>
          </cell>
        </row>
        <row r="81">
          <cell r="E81" t="str">
            <v>Diya Patel</v>
          </cell>
          <cell r="F81" t="str">
            <v>Home Office</v>
          </cell>
          <cell r="H81" t="str">
            <v>Tamil Nadu</v>
          </cell>
          <cell r="I81" t="str">
            <v>Chennai</v>
          </cell>
          <cell r="J81" t="str">
            <v>Furniture</v>
          </cell>
          <cell r="K81" t="str">
            <v>Chairs</v>
          </cell>
          <cell r="T81" t="str">
            <v>Paid</v>
          </cell>
          <cell r="U81" t="str">
            <v>Completed</v>
          </cell>
        </row>
        <row r="82">
          <cell r="E82" t="str">
            <v>Aarav Sharma</v>
          </cell>
          <cell r="F82" t="str">
            <v>Small Business</v>
          </cell>
          <cell r="H82" t="str">
            <v>Delhi</v>
          </cell>
          <cell r="I82" t="str">
            <v>New Delhi</v>
          </cell>
          <cell r="J82" t="str">
            <v>Office Supplies</v>
          </cell>
          <cell r="K82" t="str">
            <v>Storage</v>
          </cell>
          <cell r="T82" t="str">
            <v>Pending</v>
          </cell>
          <cell r="U82" t="str">
            <v>Returned</v>
          </cell>
        </row>
        <row r="83">
          <cell r="E83" t="str">
            <v>Karan Malhotra</v>
          </cell>
          <cell r="F83" t="str">
            <v>Home Office</v>
          </cell>
          <cell r="H83" t="str">
            <v>Goa</v>
          </cell>
          <cell r="I83" t="str">
            <v>Panaji</v>
          </cell>
          <cell r="J83" t="str">
            <v>Office Supplies</v>
          </cell>
          <cell r="K83" t="str">
            <v>Labels</v>
          </cell>
          <cell r="T83" t="str">
            <v>Paid</v>
          </cell>
          <cell r="U83" t="str">
            <v>Completed</v>
          </cell>
        </row>
        <row r="84">
          <cell r="E84" t="str">
            <v>Arjun Bose</v>
          </cell>
          <cell r="F84" t="str">
            <v>Consumer</v>
          </cell>
          <cell r="H84" t="str">
            <v>Uttar Pradesh</v>
          </cell>
          <cell r="I84" t="str">
            <v>Noida</v>
          </cell>
          <cell r="J84" t="str">
            <v>Technology</v>
          </cell>
          <cell r="K84" t="str">
            <v>Copiers</v>
          </cell>
          <cell r="T84" t="str">
            <v>Failed</v>
          </cell>
          <cell r="U84" t="str">
            <v>Returned</v>
          </cell>
        </row>
        <row r="85">
          <cell r="E85" t="str">
            <v>Aditi Sen</v>
          </cell>
          <cell r="F85" t="str">
            <v>Home Office</v>
          </cell>
          <cell r="H85" t="str">
            <v>Maharashtra</v>
          </cell>
          <cell r="I85" t="str">
            <v>Mumbai</v>
          </cell>
          <cell r="J85" t="str">
            <v>Furniture</v>
          </cell>
          <cell r="K85" t="str">
            <v>Tables</v>
          </cell>
          <cell r="T85" t="str">
            <v>Paid</v>
          </cell>
          <cell r="U85" t="str">
            <v>Completed</v>
          </cell>
        </row>
        <row r="86">
          <cell r="E86" t="str">
            <v>Rohan Mehta</v>
          </cell>
          <cell r="F86" t="str">
            <v>Corporate</v>
          </cell>
          <cell r="H86" t="str">
            <v>Tamil Nadu</v>
          </cell>
          <cell r="I86" t="str">
            <v>Chennai</v>
          </cell>
          <cell r="J86" t="str">
            <v>Technology</v>
          </cell>
          <cell r="K86" t="str">
            <v>Phones</v>
          </cell>
          <cell r="T86" t="str">
            <v>Paid</v>
          </cell>
          <cell r="U86" t="str">
            <v>Completed</v>
          </cell>
        </row>
        <row r="87">
          <cell r="E87" t="str">
            <v>Kabir Singh</v>
          </cell>
          <cell r="F87" t="str">
            <v>Corporate</v>
          </cell>
          <cell r="H87" t="str">
            <v>Delhi</v>
          </cell>
          <cell r="I87" t="str">
            <v>New Delhi</v>
          </cell>
          <cell r="J87" t="str">
            <v>Office Supplies</v>
          </cell>
          <cell r="K87" t="str">
            <v>Binders</v>
          </cell>
          <cell r="T87" t="str">
            <v>Paid</v>
          </cell>
          <cell r="U87" t="str">
            <v>Cancelled</v>
          </cell>
        </row>
        <row r="88">
          <cell r="E88" t="str">
            <v>Ananya Rao</v>
          </cell>
          <cell r="F88" t="str">
            <v>Small Business</v>
          </cell>
          <cell r="H88" t="str">
            <v>Delhi</v>
          </cell>
          <cell r="I88" t="str">
            <v>New Delhi</v>
          </cell>
          <cell r="J88" t="str">
            <v>Technology</v>
          </cell>
          <cell r="K88" t="str">
            <v>Copiers</v>
          </cell>
          <cell r="T88" t="str">
            <v>Refunded</v>
          </cell>
          <cell r="U88" t="str">
            <v>Cancelled</v>
          </cell>
        </row>
        <row r="89">
          <cell r="E89" t="str">
            <v>Vikram Iyer</v>
          </cell>
          <cell r="F89" t="str">
            <v>Consumer</v>
          </cell>
          <cell r="H89" t="str">
            <v>Assam</v>
          </cell>
          <cell r="I89" t="str">
            <v>Guwahati</v>
          </cell>
          <cell r="J89" t="str">
            <v>Office Supplies</v>
          </cell>
          <cell r="K89" t="str">
            <v>Binders</v>
          </cell>
          <cell r="T89" t="str">
            <v>Paid</v>
          </cell>
          <cell r="U89" t="str">
            <v>Completed</v>
          </cell>
        </row>
        <row r="90">
          <cell r="E90" t="str">
            <v>Rohan Mehta</v>
          </cell>
          <cell r="F90" t="str">
            <v>Small Business</v>
          </cell>
          <cell r="H90" t="str">
            <v>Maharashtra</v>
          </cell>
          <cell r="I90" t="str">
            <v>Mumbai</v>
          </cell>
          <cell r="J90" t="str">
            <v>Furniture</v>
          </cell>
          <cell r="K90" t="str">
            <v>Bookcases</v>
          </cell>
          <cell r="T90" t="str">
            <v>Paid</v>
          </cell>
          <cell r="U90" t="str">
            <v>Completed</v>
          </cell>
        </row>
        <row r="91">
          <cell r="E91" t="str">
            <v>Kabir Singh</v>
          </cell>
          <cell r="F91" t="str">
            <v>Consumer</v>
          </cell>
          <cell r="H91" t="str">
            <v>Andhra Pradesh</v>
          </cell>
          <cell r="I91" t="str">
            <v>Vijayawada</v>
          </cell>
          <cell r="J91" t="str">
            <v>Furniture</v>
          </cell>
          <cell r="K91" t="str">
            <v>Bookcases</v>
          </cell>
          <cell r="T91" t="str">
            <v>Pending</v>
          </cell>
          <cell r="U91" t="str">
            <v>Cancelled</v>
          </cell>
        </row>
        <row r="92">
          <cell r="E92" t="str">
            <v>Aarav Sharma</v>
          </cell>
          <cell r="F92" t="str">
            <v>Small Business</v>
          </cell>
          <cell r="H92" t="str">
            <v>Bihar</v>
          </cell>
          <cell r="I92" t="str">
            <v>Patna</v>
          </cell>
          <cell r="J92" t="str">
            <v>Technology</v>
          </cell>
          <cell r="K92" t="str">
            <v>Copiers</v>
          </cell>
          <cell r="T92" t="str">
            <v>Paid</v>
          </cell>
          <cell r="U92" t="str">
            <v>Completed</v>
          </cell>
        </row>
        <row r="93">
          <cell r="E93" t="str">
            <v>Sneha Kapoor</v>
          </cell>
          <cell r="F93" t="str">
            <v>Corporate</v>
          </cell>
          <cell r="H93" t="str">
            <v>Madhya Pradesh</v>
          </cell>
          <cell r="I93" t="str">
            <v>Indore</v>
          </cell>
          <cell r="J93" t="str">
            <v>Technology</v>
          </cell>
          <cell r="K93" t="str">
            <v>Copiers</v>
          </cell>
          <cell r="T93" t="str">
            <v>Paid</v>
          </cell>
          <cell r="U93" t="str">
            <v>Completed</v>
          </cell>
        </row>
        <row r="94">
          <cell r="E94" t="str">
            <v>Aarav Sharma</v>
          </cell>
          <cell r="F94" t="str">
            <v>Consumer</v>
          </cell>
          <cell r="H94" t="str">
            <v>Madhya Pradesh</v>
          </cell>
          <cell r="I94" t="str">
            <v>Indore</v>
          </cell>
          <cell r="J94" t="str">
            <v>Office Supplies</v>
          </cell>
          <cell r="K94" t="str">
            <v>Paper</v>
          </cell>
          <cell r="T94" t="str">
            <v>Paid</v>
          </cell>
          <cell r="U94" t="str">
            <v>Completed</v>
          </cell>
        </row>
        <row r="95">
          <cell r="E95" t="str">
            <v>Rohan Mehta</v>
          </cell>
          <cell r="F95" t="str">
            <v>Corporate</v>
          </cell>
          <cell r="H95" t="str">
            <v>Uttar Pradesh</v>
          </cell>
          <cell r="I95" t="str">
            <v>Noida</v>
          </cell>
          <cell r="J95" t="str">
            <v>Office Supplies</v>
          </cell>
          <cell r="K95" t="str">
            <v>Binders</v>
          </cell>
          <cell r="T95" t="str">
            <v>Paid</v>
          </cell>
          <cell r="U95" t="str">
            <v>Completed</v>
          </cell>
        </row>
        <row r="96">
          <cell r="E96" t="str">
            <v>Diya Patel</v>
          </cell>
          <cell r="F96" t="str">
            <v>Consumer</v>
          </cell>
          <cell r="H96" t="str">
            <v>Haryana</v>
          </cell>
          <cell r="I96" t="str">
            <v>Gurugram</v>
          </cell>
          <cell r="J96" t="str">
            <v>Technology</v>
          </cell>
          <cell r="K96" t="str">
            <v>Phones</v>
          </cell>
          <cell r="T96" t="str">
            <v>Pending</v>
          </cell>
          <cell r="U96" t="str">
            <v>Cancelled</v>
          </cell>
        </row>
        <row r="97">
          <cell r="E97" t="str">
            <v>Sneha Kapoor</v>
          </cell>
          <cell r="F97" t="str">
            <v>Corporate</v>
          </cell>
          <cell r="H97" t="str">
            <v>Goa</v>
          </cell>
          <cell r="I97" t="str">
            <v>Panaji</v>
          </cell>
          <cell r="J97" t="str">
            <v>Furniture</v>
          </cell>
          <cell r="K97" t="str">
            <v>Bookcases</v>
          </cell>
          <cell r="T97" t="str">
            <v>Paid</v>
          </cell>
          <cell r="U97" t="str">
            <v>Completed</v>
          </cell>
        </row>
        <row r="98">
          <cell r="E98" t="str">
            <v>Rahul Verma</v>
          </cell>
          <cell r="F98" t="str">
            <v>Home Office</v>
          </cell>
          <cell r="H98" t="str">
            <v>Odisha</v>
          </cell>
          <cell r="I98" t="str">
            <v>Bhubaneswar</v>
          </cell>
          <cell r="J98" t="str">
            <v>Technology</v>
          </cell>
          <cell r="K98" t="str">
            <v>Copiers</v>
          </cell>
          <cell r="T98" t="str">
            <v>Paid</v>
          </cell>
          <cell r="U98" t="str">
            <v>Completed</v>
          </cell>
        </row>
        <row r="99">
          <cell r="E99" t="str">
            <v>Diya Patel</v>
          </cell>
          <cell r="F99" t="str">
            <v>Small Business</v>
          </cell>
          <cell r="H99" t="str">
            <v>Gujarat</v>
          </cell>
          <cell r="I99" t="str">
            <v>Ahmedabad</v>
          </cell>
          <cell r="J99" t="str">
            <v>Office Supplies</v>
          </cell>
          <cell r="K99" t="str">
            <v>Storage</v>
          </cell>
          <cell r="T99" t="str">
            <v>Pending</v>
          </cell>
          <cell r="U99" t="str">
            <v>Returned</v>
          </cell>
        </row>
        <row r="100">
          <cell r="E100" t="str">
            <v>Rohan Mehta</v>
          </cell>
          <cell r="F100" t="str">
            <v>Home Office</v>
          </cell>
          <cell r="H100" t="str">
            <v>Kerala</v>
          </cell>
          <cell r="I100" t="str">
            <v>Kochi</v>
          </cell>
          <cell r="J100" t="str">
            <v>Technology</v>
          </cell>
          <cell r="K100" t="str">
            <v>Copiers</v>
          </cell>
          <cell r="T100" t="str">
            <v>Paid</v>
          </cell>
          <cell r="U100" t="str">
            <v>Completed</v>
          </cell>
        </row>
        <row r="101">
          <cell r="E101" t="str">
            <v>Aditi Sen</v>
          </cell>
          <cell r="F101" t="str">
            <v>Small Business</v>
          </cell>
          <cell r="H101" t="str">
            <v>Rajasthan</v>
          </cell>
          <cell r="I101" t="str">
            <v>Udaipur</v>
          </cell>
          <cell r="J101" t="str">
            <v>Technology</v>
          </cell>
          <cell r="K101" t="str">
            <v>Accessories</v>
          </cell>
          <cell r="T101" t="str">
            <v>Paid</v>
          </cell>
          <cell r="U101" t="str">
            <v>Completed</v>
          </cell>
        </row>
        <row r="102">
          <cell r="E102" t="str">
            <v>Aarav Sharma</v>
          </cell>
          <cell r="F102" t="str">
            <v>Home Office</v>
          </cell>
          <cell r="H102" t="str">
            <v>Kerala</v>
          </cell>
          <cell r="I102" t="str">
            <v>Kochi</v>
          </cell>
          <cell r="J102" t="str">
            <v>Office Supplies</v>
          </cell>
          <cell r="K102" t="str">
            <v>Storage</v>
          </cell>
          <cell r="T102" t="str">
            <v>Paid</v>
          </cell>
          <cell r="U102" t="str">
            <v>Completed</v>
          </cell>
        </row>
        <row r="103">
          <cell r="E103" t="str">
            <v>Rohan Mehta</v>
          </cell>
          <cell r="F103" t="str">
            <v>Home Office</v>
          </cell>
          <cell r="H103" t="str">
            <v>Bihar</v>
          </cell>
          <cell r="I103" t="str">
            <v>Patna</v>
          </cell>
          <cell r="J103" t="str">
            <v>Furniture</v>
          </cell>
          <cell r="K103" t="str">
            <v>Furnishings</v>
          </cell>
          <cell r="T103" t="str">
            <v>Paid</v>
          </cell>
          <cell r="U103" t="str">
            <v>Completed</v>
          </cell>
        </row>
        <row r="104">
          <cell r="E104" t="str">
            <v>Vikram Iyer</v>
          </cell>
          <cell r="F104" t="str">
            <v>Consumer</v>
          </cell>
          <cell r="H104" t="str">
            <v>Karnataka</v>
          </cell>
          <cell r="I104" t="str">
            <v>Bengaluru</v>
          </cell>
          <cell r="J104" t="str">
            <v>Furniture</v>
          </cell>
          <cell r="K104" t="str">
            <v>Chairs</v>
          </cell>
          <cell r="T104" t="str">
            <v>Refunded</v>
          </cell>
          <cell r="U104" t="str">
            <v>Cancelled</v>
          </cell>
        </row>
        <row r="105">
          <cell r="E105" t="str">
            <v>Kabir Singh</v>
          </cell>
          <cell r="F105" t="str">
            <v>Corporate</v>
          </cell>
          <cell r="H105" t="str">
            <v>Maharashtra</v>
          </cell>
          <cell r="I105" t="str">
            <v>Mumbai</v>
          </cell>
          <cell r="J105" t="str">
            <v>Furniture</v>
          </cell>
          <cell r="K105" t="str">
            <v>Tables</v>
          </cell>
          <cell r="T105" t="str">
            <v>Paid</v>
          </cell>
          <cell r="U105" t="str">
            <v>Completed</v>
          </cell>
        </row>
        <row r="106">
          <cell r="E106" t="str">
            <v>Ananya Rao</v>
          </cell>
          <cell r="F106" t="str">
            <v>Consumer</v>
          </cell>
          <cell r="H106" t="str">
            <v>Karnataka</v>
          </cell>
          <cell r="I106" t="str">
            <v>Bengaluru</v>
          </cell>
          <cell r="J106" t="str">
            <v>Office Supplies</v>
          </cell>
          <cell r="K106" t="str">
            <v>Labels</v>
          </cell>
          <cell r="T106" t="str">
            <v>Paid</v>
          </cell>
          <cell r="U106" t="str">
            <v>Cancelled</v>
          </cell>
        </row>
        <row r="107">
          <cell r="E107" t="str">
            <v>Mira Das</v>
          </cell>
          <cell r="F107" t="str">
            <v>Home Office</v>
          </cell>
          <cell r="H107" t="str">
            <v>West Bengal</v>
          </cell>
          <cell r="I107" t="str">
            <v>Kolkata</v>
          </cell>
          <cell r="J107" t="str">
            <v>Furniture</v>
          </cell>
          <cell r="K107" t="str">
            <v>Tables</v>
          </cell>
          <cell r="T107" t="str">
            <v>Paid</v>
          </cell>
          <cell r="U107" t="str">
            <v>Completed</v>
          </cell>
        </row>
        <row r="108">
          <cell r="E108" t="str">
            <v>Arjun Bose</v>
          </cell>
          <cell r="F108" t="str">
            <v>Home Office</v>
          </cell>
          <cell r="H108" t="str">
            <v>West Bengal</v>
          </cell>
          <cell r="I108" t="str">
            <v>Kolkata</v>
          </cell>
          <cell r="J108" t="str">
            <v>Office Supplies</v>
          </cell>
          <cell r="K108" t="str">
            <v>Paper</v>
          </cell>
          <cell r="T108" t="str">
            <v>Paid</v>
          </cell>
          <cell r="U108" t="str">
            <v>Cancelled</v>
          </cell>
        </row>
        <row r="109">
          <cell r="E109" t="str">
            <v>Rohan Mehta</v>
          </cell>
          <cell r="F109" t="str">
            <v>Home Office</v>
          </cell>
          <cell r="H109" t="str">
            <v>West Bengal</v>
          </cell>
          <cell r="I109" t="str">
            <v>Kolkata</v>
          </cell>
          <cell r="J109" t="str">
            <v>Furniture</v>
          </cell>
          <cell r="K109" t="str">
            <v>Furnishings</v>
          </cell>
          <cell r="T109" t="str">
            <v>Paid</v>
          </cell>
          <cell r="U109" t="str">
            <v>Completed</v>
          </cell>
        </row>
        <row r="110">
          <cell r="E110" t="str">
            <v>Aditi Sen</v>
          </cell>
          <cell r="F110" t="str">
            <v>Small Business</v>
          </cell>
          <cell r="H110" t="str">
            <v>Odisha</v>
          </cell>
          <cell r="I110" t="str">
            <v>Bhubaneswar</v>
          </cell>
          <cell r="J110" t="str">
            <v>Furniture</v>
          </cell>
          <cell r="K110" t="str">
            <v>Bookcases</v>
          </cell>
          <cell r="T110" t="str">
            <v>Paid</v>
          </cell>
          <cell r="U110" t="str">
            <v>Completed</v>
          </cell>
        </row>
        <row r="111">
          <cell r="E111" t="str">
            <v>Sneha Kapoor</v>
          </cell>
          <cell r="F111" t="str">
            <v>Consumer</v>
          </cell>
          <cell r="H111" t="str">
            <v>Delhi</v>
          </cell>
          <cell r="I111" t="str">
            <v>New Delhi</v>
          </cell>
          <cell r="J111" t="str">
            <v>Office Supplies</v>
          </cell>
          <cell r="K111" t="str">
            <v>Binders</v>
          </cell>
          <cell r="T111" t="str">
            <v>Paid</v>
          </cell>
          <cell r="U111" t="str">
            <v>Completed</v>
          </cell>
        </row>
        <row r="112">
          <cell r="E112" t="str">
            <v>Vikram Iyer</v>
          </cell>
          <cell r="F112" t="str">
            <v>Corporate</v>
          </cell>
          <cell r="H112" t="str">
            <v>Kerala</v>
          </cell>
          <cell r="I112" t="str">
            <v>Kochi</v>
          </cell>
          <cell r="J112" t="str">
            <v>Office Supplies</v>
          </cell>
          <cell r="K112" t="str">
            <v>Labels</v>
          </cell>
          <cell r="T112" t="str">
            <v>Refunded</v>
          </cell>
          <cell r="U112" t="str">
            <v>Cancelled</v>
          </cell>
        </row>
        <row r="113">
          <cell r="E113" t="str">
            <v>Neha Gupta</v>
          </cell>
          <cell r="F113" t="str">
            <v>Corporate</v>
          </cell>
          <cell r="H113" t="str">
            <v>Bihar</v>
          </cell>
          <cell r="I113" t="str">
            <v>Patna</v>
          </cell>
          <cell r="J113" t="str">
            <v>Technology</v>
          </cell>
          <cell r="K113" t="str">
            <v>Accessories</v>
          </cell>
          <cell r="T113" t="str">
            <v>Pending</v>
          </cell>
          <cell r="U113" t="str">
            <v>Cancelled</v>
          </cell>
        </row>
        <row r="114">
          <cell r="E114" t="str">
            <v>Sneha Kapoor</v>
          </cell>
          <cell r="F114" t="str">
            <v>Consumer</v>
          </cell>
          <cell r="H114" t="str">
            <v>Gujarat</v>
          </cell>
          <cell r="I114" t="str">
            <v>Ahmedabad</v>
          </cell>
          <cell r="J114" t="str">
            <v>Technology</v>
          </cell>
          <cell r="K114" t="str">
            <v>Accessories</v>
          </cell>
          <cell r="T114" t="str">
            <v>Paid</v>
          </cell>
          <cell r="U114" t="str">
            <v>Completed</v>
          </cell>
        </row>
        <row r="115">
          <cell r="E115" t="str">
            <v>Isha Nair</v>
          </cell>
          <cell r="F115" t="str">
            <v>Home Office</v>
          </cell>
          <cell r="H115" t="str">
            <v>Tamil Nadu</v>
          </cell>
          <cell r="I115" t="str">
            <v>Chennai</v>
          </cell>
          <cell r="J115" t="str">
            <v>Furniture</v>
          </cell>
          <cell r="K115" t="str">
            <v>Tables</v>
          </cell>
          <cell r="T115" t="str">
            <v>Paid</v>
          </cell>
          <cell r="U115" t="str">
            <v>Completed</v>
          </cell>
        </row>
        <row r="116">
          <cell r="E116" t="str">
            <v>Neha Gupta</v>
          </cell>
          <cell r="F116" t="str">
            <v>Small Business</v>
          </cell>
          <cell r="H116" t="str">
            <v>Rajasthan</v>
          </cell>
          <cell r="I116" t="str">
            <v>Jaipur</v>
          </cell>
          <cell r="J116" t="str">
            <v>Technology</v>
          </cell>
          <cell r="K116" t="str">
            <v>Accessories</v>
          </cell>
          <cell r="T116" t="str">
            <v>Pending</v>
          </cell>
          <cell r="U116" t="str">
            <v>Cancelled</v>
          </cell>
        </row>
        <row r="117">
          <cell r="E117" t="str">
            <v>Kabir Singh</v>
          </cell>
          <cell r="F117" t="str">
            <v>Corporate</v>
          </cell>
          <cell r="H117" t="str">
            <v>Tamil Nadu</v>
          </cell>
          <cell r="I117" t="str">
            <v>Chennai</v>
          </cell>
          <cell r="J117" t="str">
            <v>Office Supplies</v>
          </cell>
          <cell r="K117" t="str">
            <v>Binders</v>
          </cell>
          <cell r="T117" t="str">
            <v>Paid</v>
          </cell>
          <cell r="U117" t="str">
            <v>Cancelled</v>
          </cell>
        </row>
        <row r="118">
          <cell r="E118" t="str">
            <v>Ananya Rao</v>
          </cell>
          <cell r="F118" t="str">
            <v>Small Business</v>
          </cell>
          <cell r="H118" t="str">
            <v>Madhya Pradesh</v>
          </cell>
          <cell r="I118" t="str">
            <v>Indore</v>
          </cell>
          <cell r="J118" t="str">
            <v>Office Supplies</v>
          </cell>
          <cell r="K118" t="str">
            <v>Binders</v>
          </cell>
          <cell r="T118" t="str">
            <v>Failed</v>
          </cell>
          <cell r="U118" t="str">
            <v>Cancelled</v>
          </cell>
        </row>
        <row r="119">
          <cell r="E119" t="str">
            <v>Mira Das</v>
          </cell>
          <cell r="F119" t="str">
            <v>Home Office</v>
          </cell>
          <cell r="H119" t="str">
            <v>Tamil Nadu</v>
          </cell>
          <cell r="I119" t="str">
            <v>Chennai</v>
          </cell>
          <cell r="J119" t="str">
            <v>Technology</v>
          </cell>
          <cell r="K119" t="str">
            <v>Machines</v>
          </cell>
          <cell r="T119" t="str">
            <v>Paid</v>
          </cell>
          <cell r="U119" t="str">
            <v>Completed</v>
          </cell>
        </row>
        <row r="120">
          <cell r="E120" t="str">
            <v>Vikram  Iyer</v>
          </cell>
          <cell r="F120" t="str">
            <v>Home Office</v>
          </cell>
          <cell r="H120" t="str">
            <v>Andhra Pradesh</v>
          </cell>
          <cell r="I120" t="str">
            <v>Vijayawada</v>
          </cell>
          <cell r="J120" t="str">
            <v>Technology</v>
          </cell>
          <cell r="K120" t="str">
            <v>Copiers</v>
          </cell>
          <cell r="T120" t="str">
            <v>Paid</v>
          </cell>
          <cell r="U120" t="str">
            <v>Completed</v>
          </cell>
        </row>
        <row r="121">
          <cell r="E121" t="str">
            <v>Aditi Sen</v>
          </cell>
          <cell r="F121" t="str">
            <v>Small Business</v>
          </cell>
          <cell r="H121" t="str">
            <v>Kerala</v>
          </cell>
          <cell r="I121" t="str">
            <v>Kochi</v>
          </cell>
          <cell r="J121" t="str">
            <v>Furniture</v>
          </cell>
          <cell r="K121" t="str">
            <v>Chairs</v>
          </cell>
          <cell r="T121" t="str">
            <v>Refunded</v>
          </cell>
          <cell r="U121" t="str">
            <v>Returned</v>
          </cell>
        </row>
        <row r="122">
          <cell r="E122" t="str">
            <v>Sneha Kapoor</v>
          </cell>
          <cell r="F122" t="str">
            <v>Small Business</v>
          </cell>
          <cell r="H122" t="str">
            <v>Bihar</v>
          </cell>
          <cell r="I122" t="str">
            <v>Patna</v>
          </cell>
          <cell r="J122" t="str">
            <v>Technology</v>
          </cell>
          <cell r="K122" t="str">
            <v>Phones</v>
          </cell>
          <cell r="T122" t="str">
            <v>Paid</v>
          </cell>
          <cell r="U122" t="str">
            <v>Returned</v>
          </cell>
        </row>
        <row r="123">
          <cell r="E123" t="str">
            <v>Kabir Singh</v>
          </cell>
          <cell r="F123" t="str">
            <v>Small  Business</v>
          </cell>
          <cell r="H123" t="str">
            <v>Andhra Pradesh</v>
          </cell>
          <cell r="I123" t="str">
            <v>Vijayawada</v>
          </cell>
          <cell r="J123" t="str">
            <v>Technology</v>
          </cell>
          <cell r="K123" t="str">
            <v>Machines</v>
          </cell>
          <cell r="T123" t="str">
            <v>Refunded</v>
          </cell>
          <cell r="U123" t="str">
            <v>Cancelled</v>
          </cell>
        </row>
        <row r="124">
          <cell r="E124" t="str">
            <v>Ananya Rao</v>
          </cell>
          <cell r="F124" t="str">
            <v>Small Business</v>
          </cell>
          <cell r="H124" t="str">
            <v>Assam</v>
          </cell>
          <cell r="I124" t="str">
            <v>Guwahati</v>
          </cell>
          <cell r="J124" t="str">
            <v>Furniture</v>
          </cell>
          <cell r="K124" t="str">
            <v>Chairs</v>
          </cell>
          <cell r="T124" t="str">
            <v>Paid</v>
          </cell>
          <cell r="U124" t="str">
            <v>Completed</v>
          </cell>
        </row>
        <row r="125">
          <cell r="E125" t="str">
            <v>Sneha Kapoor</v>
          </cell>
          <cell r="F125" t="str">
            <v>Small Business</v>
          </cell>
          <cell r="H125" t="str">
            <v>Punjab</v>
          </cell>
          <cell r="I125" t="str">
            <v>Ludhiana</v>
          </cell>
          <cell r="J125" t="str">
            <v>Technology</v>
          </cell>
          <cell r="K125" t="str">
            <v>Copiers</v>
          </cell>
          <cell r="T125" t="str">
            <v>Refunded</v>
          </cell>
          <cell r="U125" t="str">
            <v>Cancelled</v>
          </cell>
        </row>
        <row r="126">
          <cell r="E126" t="str">
            <v>Isha Nair</v>
          </cell>
          <cell r="F126" t="str">
            <v>Corporate</v>
          </cell>
          <cell r="H126" t="str">
            <v>Karnataka</v>
          </cell>
          <cell r="I126" t="str">
            <v>Bengaluru</v>
          </cell>
          <cell r="J126" t="str">
            <v>Technology</v>
          </cell>
          <cell r="K126" t="str">
            <v>Copiers</v>
          </cell>
          <cell r="T126" t="str">
            <v>Paid</v>
          </cell>
          <cell r="U126" t="str">
            <v>Completed</v>
          </cell>
        </row>
        <row r="127">
          <cell r="E127" t="str">
            <v>Neha Gupta</v>
          </cell>
          <cell r="F127" t="str">
            <v>Small Business</v>
          </cell>
          <cell r="H127" t="str">
            <v>Rajasthan</v>
          </cell>
          <cell r="I127" t="str">
            <v>Udaipur</v>
          </cell>
          <cell r="J127" t="str">
            <v>Furniture</v>
          </cell>
          <cell r="K127" t="str">
            <v>Tables</v>
          </cell>
          <cell r="T127" t="str">
            <v>Refunded</v>
          </cell>
          <cell r="U127" t="str">
            <v>Returned</v>
          </cell>
        </row>
        <row r="128">
          <cell r="E128" t="str">
            <v>Priya Menon</v>
          </cell>
          <cell r="F128" t="str">
            <v>Corporate</v>
          </cell>
          <cell r="H128" t="str">
            <v>Delhi</v>
          </cell>
          <cell r="I128" t="str">
            <v>New Delhi</v>
          </cell>
          <cell r="J128" t="str">
            <v>Technology</v>
          </cell>
          <cell r="K128" t="str">
            <v>Copiers</v>
          </cell>
          <cell r="T128" t="str">
            <v>Paid</v>
          </cell>
          <cell r="U128" t="str">
            <v>Completed</v>
          </cell>
        </row>
        <row r="129">
          <cell r="E129" t="str">
            <v>Priya Menon</v>
          </cell>
          <cell r="F129" t="str">
            <v>Corporate</v>
          </cell>
          <cell r="H129" t="str">
            <v>Madhya Pradesh</v>
          </cell>
          <cell r="I129" t="str">
            <v>Indore</v>
          </cell>
          <cell r="J129" t="str">
            <v>Office Supplies</v>
          </cell>
          <cell r="K129" t="str">
            <v>Storage</v>
          </cell>
          <cell r="T129" t="str">
            <v>Paid</v>
          </cell>
          <cell r="U129" t="str">
            <v>Completed</v>
          </cell>
        </row>
        <row r="130">
          <cell r="E130" t="str">
            <v>Neha Gupta</v>
          </cell>
          <cell r="F130" t="str">
            <v>Small Business</v>
          </cell>
          <cell r="H130" t="str">
            <v>Odisha</v>
          </cell>
          <cell r="I130" t="str">
            <v>Bhubaneswar</v>
          </cell>
          <cell r="J130" t="str">
            <v>Furniture</v>
          </cell>
          <cell r="K130" t="str">
            <v>Furnishings</v>
          </cell>
          <cell r="T130" t="str">
            <v>Paid</v>
          </cell>
          <cell r="U130" t="str">
            <v>Returned</v>
          </cell>
        </row>
        <row r="131">
          <cell r="E131" t="str">
            <v>Isha Nair</v>
          </cell>
          <cell r="F131" t="str">
            <v>Small Business</v>
          </cell>
          <cell r="H131" t="str">
            <v>Goa</v>
          </cell>
          <cell r="I131" t="str">
            <v>Panaji</v>
          </cell>
          <cell r="J131" t="str">
            <v>Office Supplies</v>
          </cell>
          <cell r="K131" t="str">
            <v>Binders</v>
          </cell>
          <cell r="T131" t="str">
            <v>Paid</v>
          </cell>
          <cell r="U131" t="str">
            <v>Completed</v>
          </cell>
        </row>
        <row r="132">
          <cell r="E132" t="str">
            <v>Arjun Bose</v>
          </cell>
          <cell r="F132" t="str">
            <v>Consumer</v>
          </cell>
          <cell r="H132" t="str">
            <v>Gujarat</v>
          </cell>
          <cell r="I132" t="str">
            <v>Ahmedabad</v>
          </cell>
          <cell r="J132" t="str">
            <v>Office Supplies</v>
          </cell>
          <cell r="K132" t="str">
            <v>Labels</v>
          </cell>
          <cell r="T132" t="str">
            <v>Pending</v>
          </cell>
          <cell r="U132" t="str">
            <v>Cancelled</v>
          </cell>
        </row>
        <row r="133">
          <cell r="E133" t="str">
            <v>Ananya Rao</v>
          </cell>
          <cell r="F133" t="str">
            <v>Home Office</v>
          </cell>
          <cell r="H133" t="str">
            <v>Jharkhand</v>
          </cell>
          <cell r="I133" t="str">
            <v>Ranchi</v>
          </cell>
          <cell r="J133" t="str">
            <v>Office Supplies</v>
          </cell>
          <cell r="K133" t="str">
            <v>Paper</v>
          </cell>
          <cell r="T133" t="str">
            <v>Paid</v>
          </cell>
          <cell r="U133" t="str">
            <v>Completed</v>
          </cell>
        </row>
        <row r="134">
          <cell r="E134" t="str">
            <v>Kabir Singh</v>
          </cell>
          <cell r="F134" t="str">
            <v>Corporate</v>
          </cell>
          <cell r="H134" t="str">
            <v>Assam</v>
          </cell>
          <cell r="I134" t="str">
            <v>Guwahati</v>
          </cell>
          <cell r="J134" t="str">
            <v>Technology</v>
          </cell>
          <cell r="K134" t="str">
            <v>Machines</v>
          </cell>
          <cell r="T134" t="str">
            <v>Failed</v>
          </cell>
          <cell r="U134" t="str">
            <v>Cancelled</v>
          </cell>
        </row>
        <row r="135">
          <cell r="E135" t="str">
            <v>Karan Malhotra</v>
          </cell>
          <cell r="F135" t="str">
            <v>Consumer</v>
          </cell>
          <cell r="H135" t="str">
            <v>Goa</v>
          </cell>
          <cell r="I135" t="str">
            <v>Panaji</v>
          </cell>
          <cell r="J135" t="str">
            <v>Technology</v>
          </cell>
          <cell r="K135" t="str">
            <v>Phones</v>
          </cell>
          <cell r="T135" t="str">
            <v>Paid</v>
          </cell>
          <cell r="U135" t="str">
            <v>Completed</v>
          </cell>
        </row>
        <row r="136">
          <cell r="E136" t="str">
            <v>Vikram Iyer</v>
          </cell>
          <cell r="F136" t="str">
            <v>Home Office</v>
          </cell>
          <cell r="H136" t="str">
            <v>West Bengal</v>
          </cell>
          <cell r="I136" t="str">
            <v>Kolkata</v>
          </cell>
          <cell r="J136" t="str">
            <v>Furniture</v>
          </cell>
          <cell r="K136" t="str">
            <v>Bookcases</v>
          </cell>
          <cell r="T136" t="str">
            <v>Pending</v>
          </cell>
          <cell r="U136" t="str">
            <v>Cancelled</v>
          </cell>
        </row>
        <row r="137">
          <cell r="E137" t="str">
            <v>Diya Patel</v>
          </cell>
          <cell r="F137" t="str">
            <v>Small Business</v>
          </cell>
          <cell r="H137" t="str">
            <v>Kerala</v>
          </cell>
          <cell r="I137" t="str">
            <v>Kochi</v>
          </cell>
          <cell r="J137" t="str">
            <v>Furniture</v>
          </cell>
          <cell r="K137" t="str">
            <v>Bookcases</v>
          </cell>
          <cell r="T137" t="str">
            <v>Paid</v>
          </cell>
          <cell r="U137" t="str">
            <v>Completed</v>
          </cell>
        </row>
        <row r="138">
          <cell r="E138" t="str">
            <v>Mira Das</v>
          </cell>
          <cell r="F138" t="str">
            <v>Home Office</v>
          </cell>
          <cell r="H138" t="str">
            <v>Jharkhand</v>
          </cell>
          <cell r="I138" t="str">
            <v>Ranchi</v>
          </cell>
          <cell r="J138" t="str">
            <v>Office Supplies</v>
          </cell>
          <cell r="K138" t="str">
            <v>Binders</v>
          </cell>
          <cell r="T138" t="str">
            <v>Paid</v>
          </cell>
          <cell r="U138" t="str">
            <v>Completed</v>
          </cell>
        </row>
        <row r="139">
          <cell r="E139" t="str">
            <v>Sneha Kapoor</v>
          </cell>
          <cell r="F139" t="str">
            <v>Small Business</v>
          </cell>
          <cell r="H139" t="str">
            <v>Rajasthan</v>
          </cell>
          <cell r="I139" t="str">
            <v>Jaipur</v>
          </cell>
          <cell r="J139" t="str">
            <v>Furniture</v>
          </cell>
          <cell r="K139" t="str">
            <v>Chairs</v>
          </cell>
          <cell r="T139" t="str">
            <v>Paid</v>
          </cell>
          <cell r="U139" t="str">
            <v>Completed</v>
          </cell>
        </row>
        <row r="140">
          <cell r="E140" t="str">
            <v>Diya Patel</v>
          </cell>
          <cell r="F140" t="str">
            <v>Home Office</v>
          </cell>
          <cell r="H140" t="str">
            <v>Jharkhand</v>
          </cell>
          <cell r="I140" t="str">
            <v>Ranchi</v>
          </cell>
          <cell r="J140" t="str">
            <v>Technology</v>
          </cell>
          <cell r="K140" t="str">
            <v>Machines</v>
          </cell>
          <cell r="T140" t="str">
            <v>Paid</v>
          </cell>
          <cell r="U140" t="str">
            <v>Completed</v>
          </cell>
        </row>
        <row r="141">
          <cell r="E141" t="str">
            <v>Neha Gupta</v>
          </cell>
          <cell r="F141" t="str">
            <v>Home Office</v>
          </cell>
          <cell r="H141" t="str">
            <v>Karnataka</v>
          </cell>
          <cell r="I141" t="str">
            <v>Bengaluru</v>
          </cell>
          <cell r="J141" t="str">
            <v>Office Supplies</v>
          </cell>
          <cell r="K141" t="str">
            <v>Labels</v>
          </cell>
          <cell r="T141" t="str">
            <v>Paid</v>
          </cell>
          <cell r="U141" t="str">
            <v>Completed</v>
          </cell>
        </row>
        <row r="142">
          <cell r="E142" t="str">
            <v>Mira Das</v>
          </cell>
          <cell r="F142" t="str">
            <v>Corporate</v>
          </cell>
          <cell r="H142" t="str">
            <v>Karnataka</v>
          </cell>
          <cell r="I142" t="str">
            <v>Bengaluru</v>
          </cell>
          <cell r="J142" t="str">
            <v>Furniture</v>
          </cell>
          <cell r="K142" t="str">
            <v>Bookcases</v>
          </cell>
          <cell r="T142" t="str">
            <v>Paid</v>
          </cell>
          <cell r="U142" t="str">
            <v>Completed</v>
          </cell>
        </row>
        <row r="143">
          <cell r="E143" t="str">
            <v>Priya Menon</v>
          </cell>
          <cell r="F143" t="str">
            <v>Corporate</v>
          </cell>
          <cell r="H143" t="str">
            <v>Delhi</v>
          </cell>
          <cell r="I143" t="str">
            <v>New Delhi</v>
          </cell>
          <cell r="J143" t="str">
            <v>Furniture</v>
          </cell>
          <cell r="K143" t="str">
            <v>Bookcases</v>
          </cell>
          <cell r="T143" t="str">
            <v>Paid</v>
          </cell>
          <cell r="U143" t="str">
            <v>Returned</v>
          </cell>
        </row>
        <row r="144">
          <cell r="E144" t="str">
            <v>Aditi Sen</v>
          </cell>
          <cell r="F144" t="str">
            <v>Home Office</v>
          </cell>
          <cell r="H144" t="str">
            <v>Rajasthan</v>
          </cell>
          <cell r="I144" t="str">
            <v>Jaipur</v>
          </cell>
          <cell r="J144" t="str">
            <v>Technology</v>
          </cell>
          <cell r="K144" t="str">
            <v>Phones</v>
          </cell>
          <cell r="T144" t="str">
            <v>Paid</v>
          </cell>
          <cell r="U144" t="str">
            <v>Completed</v>
          </cell>
        </row>
        <row r="145">
          <cell r="E145" t="str">
            <v>Priya Menon</v>
          </cell>
          <cell r="F145" t="str">
            <v>Consumer</v>
          </cell>
          <cell r="H145" t="str">
            <v>Gujarat</v>
          </cell>
          <cell r="I145" t="str">
            <v>Ahmedabad</v>
          </cell>
          <cell r="J145" t="str">
            <v>Office Supplies</v>
          </cell>
          <cell r="K145" t="str">
            <v>Paper</v>
          </cell>
          <cell r="T145" t="str">
            <v>Paid</v>
          </cell>
          <cell r="U145" t="str">
            <v>Returned</v>
          </cell>
        </row>
        <row r="146">
          <cell r="E146" t="str">
            <v>Kabir Singh</v>
          </cell>
          <cell r="F146" t="str">
            <v>Small Business</v>
          </cell>
          <cell r="H146" t="str">
            <v>Telangana</v>
          </cell>
          <cell r="I146" t="str">
            <v>Hyderabad</v>
          </cell>
          <cell r="J146" t="str">
            <v>Technology</v>
          </cell>
          <cell r="K146" t="str">
            <v>Accessories</v>
          </cell>
          <cell r="T146" t="str">
            <v>Refunded</v>
          </cell>
          <cell r="U146" t="str">
            <v>Returned</v>
          </cell>
        </row>
        <row r="147">
          <cell r="E147" t="str">
            <v>Mira Das</v>
          </cell>
          <cell r="F147" t="str">
            <v>Small Business</v>
          </cell>
          <cell r="H147" t="str">
            <v>Goa</v>
          </cell>
          <cell r="I147" t="str">
            <v>Panaji</v>
          </cell>
          <cell r="J147" t="str">
            <v>Office Supplies</v>
          </cell>
          <cell r="K147" t="str">
            <v>Paper</v>
          </cell>
          <cell r="T147" t="str">
            <v>Paid</v>
          </cell>
          <cell r="U147" t="str">
            <v>Completed</v>
          </cell>
        </row>
        <row r="148">
          <cell r="E148" t="str">
            <v>Sneha Kapoor</v>
          </cell>
          <cell r="F148" t="str">
            <v>Small Business</v>
          </cell>
          <cell r="H148" t="str">
            <v>Tamil Nadu</v>
          </cell>
          <cell r="I148" t="str">
            <v>Chennai</v>
          </cell>
          <cell r="J148" t="str">
            <v>Office Supplies</v>
          </cell>
          <cell r="K148" t="str">
            <v>Storage</v>
          </cell>
          <cell r="T148" t="str">
            <v>Paid</v>
          </cell>
          <cell r="U148" t="str">
            <v>Completed</v>
          </cell>
        </row>
        <row r="149">
          <cell r="E149" t="str">
            <v>Priya Menon</v>
          </cell>
          <cell r="F149" t="str">
            <v>Home Office</v>
          </cell>
          <cell r="H149" t="str">
            <v>Goa</v>
          </cell>
          <cell r="I149" t="str">
            <v>Panaji</v>
          </cell>
          <cell r="J149" t="str">
            <v>Furniture</v>
          </cell>
          <cell r="K149" t="str">
            <v>Furnishings</v>
          </cell>
          <cell r="T149" t="str">
            <v>Paid</v>
          </cell>
          <cell r="U149" t="str">
            <v>Completed</v>
          </cell>
        </row>
        <row r="150">
          <cell r="E150" t="str">
            <v>Mira Das</v>
          </cell>
          <cell r="F150" t="str">
            <v>Home Office</v>
          </cell>
          <cell r="H150" t="str">
            <v>Madhya Pradesh</v>
          </cell>
          <cell r="I150" t="str">
            <v>Indore</v>
          </cell>
          <cell r="J150" t="str">
            <v>Technology</v>
          </cell>
          <cell r="K150" t="str">
            <v>Phones</v>
          </cell>
          <cell r="T150" t="str">
            <v>Paid</v>
          </cell>
          <cell r="U150" t="str">
            <v>Completed</v>
          </cell>
        </row>
        <row r="151">
          <cell r="E151" t="str">
            <v>Aarav Sharma</v>
          </cell>
          <cell r="F151" t="str">
            <v>Small Business</v>
          </cell>
          <cell r="H151" t="str">
            <v>Rajasthan</v>
          </cell>
          <cell r="I151" t="str">
            <v>Udaipur</v>
          </cell>
          <cell r="J151" t="str">
            <v>Technology</v>
          </cell>
          <cell r="K151" t="str">
            <v>Copiers</v>
          </cell>
          <cell r="T151" t="str">
            <v>Paid</v>
          </cell>
          <cell r="U151" t="str">
            <v>Completed</v>
          </cell>
        </row>
        <row r="152">
          <cell r="E152" t="str">
            <v>Arjun Bose</v>
          </cell>
          <cell r="F152" t="str">
            <v>Consumer</v>
          </cell>
          <cell r="H152" t="str">
            <v>Gujarat</v>
          </cell>
          <cell r="I152" t="str">
            <v>Ahmedabad</v>
          </cell>
          <cell r="J152" t="str">
            <v>Furniture</v>
          </cell>
          <cell r="K152" t="str">
            <v>Bookcases</v>
          </cell>
          <cell r="T152" t="str">
            <v>Paid</v>
          </cell>
          <cell r="U152" t="str">
            <v>Completed</v>
          </cell>
        </row>
        <row r="153">
          <cell r="E153" t="str">
            <v>Neha Gupta</v>
          </cell>
          <cell r="F153" t="str">
            <v>Home Office</v>
          </cell>
          <cell r="H153" t="str">
            <v>Madhya Pradesh</v>
          </cell>
          <cell r="I153" t="str">
            <v>Indore</v>
          </cell>
          <cell r="J153" t="str">
            <v>Technology</v>
          </cell>
          <cell r="K153" t="str">
            <v>Copiers</v>
          </cell>
          <cell r="T153" t="str">
            <v>Pending</v>
          </cell>
          <cell r="U153" t="str">
            <v>Returned</v>
          </cell>
        </row>
        <row r="154">
          <cell r="E154" t="str">
            <v>Kabir Singh</v>
          </cell>
          <cell r="F154" t="str">
            <v>Small Business</v>
          </cell>
          <cell r="H154" t="str">
            <v>Kerala</v>
          </cell>
          <cell r="I154" t="str">
            <v>Kochi</v>
          </cell>
          <cell r="J154" t="str">
            <v>Furniture</v>
          </cell>
          <cell r="K154" t="str">
            <v>Tables</v>
          </cell>
          <cell r="T154" t="str">
            <v>Pending</v>
          </cell>
          <cell r="U154" t="str">
            <v>Returned</v>
          </cell>
        </row>
        <row r="155">
          <cell r="E155" t="str">
            <v>Aditi Sen</v>
          </cell>
          <cell r="F155" t="str">
            <v>Consumer</v>
          </cell>
          <cell r="H155" t="str">
            <v>Odisha</v>
          </cell>
          <cell r="I155" t="str">
            <v>Bhubaneswar</v>
          </cell>
          <cell r="J155" t="str">
            <v>Office Supplies</v>
          </cell>
          <cell r="K155" t="str">
            <v>Labels</v>
          </cell>
          <cell r="T155" t="str">
            <v>Refunded</v>
          </cell>
          <cell r="U155" t="str">
            <v>Returned</v>
          </cell>
        </row>
        <row r="156">
          <cell r="E156" t="str">
            <v>Priya Menon</v>
          </cell>
          <cell r="F156" t="str">
            <v>Consumer</v>
          </cell>
          <cell r="H156" t="str">
            <v>Tamil Nadu</v>
          </cell>
          <cell r="I156" t="str">
            <v>Chennai</v>
          </cell>
          <cell r="J156" t="str">
            <v>Furniture</v>
          </cell>
          <cell r="K156" t="str">
            <v>Bookcases</v>
          </cell>
          <cell r="T156" t="str">
            <v>Paid</v>
          </cell>
          <cell r="U156" t="str">
            <v>Completed</v>
          </cell>
        </row>
        <row r="157">
          <cell r="E157" t="str">
            <v>Karan Malhotra</v>
          </cell>
          <cell r="F157" t="str">
            <v>Corporate</v>
          </cell>
          <cell r="H157" t="str">
            <v>Rajasthan</v>
          </cell>
          <cell r="I157" t="str">
            <v>Udaipur</v>
          </cell>
          <cell r="J157" t="str">
            <v>Furniture</v>
          </cell>
          <cell r="K157" t="str">
            <v>Furnishings</v>
          </cell>
          <cell r="T157" t="str">
            <v>Refunded</v>
          </cell>
          <cell r="U157" t="str">
            <v>Returned</v>
          </cell>
        </row>
        <row r="158">
          <cell r="E158" t="str">
            <v>Vikram Iyer</v>
          </cell>
          <cell r="F158" t="str">
            <v>Small Business</v>
          </cell>
          <cell r="H158" t="str">
            <v>Bihar</v>
          </cell>
          <cell r="I158" t="str">
            <v>Patna</v>
          </cell>
          <cell r="J158" t="str">
            <v>Technology</v>
          </cell>
          <cell r="K158" t="str">
            <v>Machines</v>
          </cell>
          <cell r="T158" t="str">
            <v>Paid</v>
          </cell>
          <cell r="U158" t="str">
            <v>Completed</v>
          </cell>
        </row>
        <row r="159">
          <cell r="E159" t="str">
            <v>Rohan Mehta</v>
          </cell>
          <cell r="F159" t="str">
            <v>Small Business</v>
          </cell>
          <cell r="H159" t="str">
            <v>Andhra Pradesh</v>
          </cell>
          <cell r="I159" t="str">
            <v>Vijayawada</v>
          </cell>
          <cell r="J159" t="str">
            <v>Furniture</v>
          </cell>
          <cell r="K159" t="str">
            <v>Bookcases</v>
          </cell>
          <cell r="T159" t="str">
            <v>Paid</v>
          </cell>
          <cell r="U159" t="str">
            <v>Completed</v>
          </cell>
        </row>
        <row r="160">
          <cell r="E160" t="str">
            <v>Neha Gupta</v>
          </cell>
          <cell r="F160" t="str">
            <v>Home Office</v>
          </cell>
          <cell r="H160" t="str">
            <v>Telangana</v>
          </cell>
          <cell r="I160" t="str">
            <v>Hyderabad</v>
          </cell>
          <cell r="J160" t="str">
            <v>Furniture</v>
          </cell>
          <cell r="K160" t="str">
            <v>Bookcases</v>
          </cell>
          <cell r="T160" t="str">
            <v>Paid</v>
          </cell>
          <cell r="U160" t="str">
            <v>Completed</v>
          </cell>
        </row>
        <row r="161">
          <cell r="E161" t="str">
            <v>Priya Menon</v>
          </cell>
          <cell r="F161" t="str">
            <v>Corporate</v>
          </cell>
          <cell r="H161" t="str">
            <v>Haryana</v>
          </cell>
          <cell r="I161" t="str">
            <v>Gurugram</v>
          </cell>
          <cell r="J161" t="str">
            <v>Furniture</v>
          </cell>
          <cell r="K161" t="str">
            <v>Chairs</v>
          </cell>
          <cell r="T161" t="str">
            <v>Pending</v>
          </cell>
          <cell r="U161" t="str">
            <v>Cancelled</v>
          </cell>
        </row>
        <row r="162">
          <cell r="E162" t="str">
            <v>Vikram Iyer</v>
          </cell>
          <cell r="F162" t="str">
            <v>Small Business</v>
          </cell>
          <cell r="H162" t="str">
            <v>Maharashtra</v>
          </cell>
          <cell r="I162" t="str">
            <v>Mumbai</v>
          </cell>
          <cell r="J162" t="str">
            <v>Office Supplies</v>
          </cell>
          <cell r="K162" t="str">
            <v>Paper</v>
          </cell>
          <cell r="T162" t="str">
            <v>Pending</v>
          </cell>
          <cell r="U162" t="str">
            <v>Cancelled</v>
          </cell>
        </row>
        <row r="163">
          <cell r="E163" t="str">
            <v>Arjun Bose</v>
          </cell>
          <cell r="F163" t="str">
            <v>consumer</v>
          </cell>
          <cell r="H163" t="str">
            <v>Rajasthan</v>
          </cell>
          <cell r="I163" t="str">
            <v>Udaipur</v>
          </cell>
          <cell r="J163" t="str">
            <v>Office Supplies</v>
          </cell>
          <cell r="K163" t="str">
            <v>Binders</v>
          </cell>
          <cell r="T163" t="str">
            <v>Pending</v>
          </cell>
          <cell r="U163" t="str">
            <v>Cancelled</v>
          </cell>
        </row>
        <row r="164">
          <cell r="E164" t="str">
            <v>Neha Gupta</v>
          </cell>
          <cell r="F164" t="str">
            <v>Small Business</v>
          </cell>
          <cell r="H164" t="str">
            <v>Goa</v>
          </cell>
          <cell r="I164" t="str">
            <v>Panaji</v>
          </cell>
          <cell r="J164" t="str">
            <v>Furniture</v>
          </cell>
          <cell r="K164" t="str">
            <v>Furnishings</v>
          </cell>
          <cell r="T164" t="str">
            <v>Pending</v>
          </cell>
          <cell r="U164" t="str">
            <v>Returned</v>
          </cell>
        </row>
        <row r="165">
          <cell r="E165" t="str">
            <v>Rohan Mehta</v>
          </cell>
          <cell r="F165" t="str">
            <v>Home Office</v>
          </cell>
          <cell r="H165" t="str">
            <v>Gujarat</v>
          </cell>
          <cell r="I165" t="str">
            <v>Ahmedabad</v>
          </cell>
          <cell r="J165" t="str">
            <v>Furniture</v>
          </cell>
          <cell r="K165" t="str">
            <v>Tables</v>
          </cell>
          <cell r="T165" t="str">
            <v>Pending</v>
          </cell>
          <cell r="U165" t="str">
            <v>Returned</v>
          </cell>
        </row>
        <row r="166">
          <cell r="E166" t="str">
            <v>Rahul Verma</v>
          </cell>
          <cell r="F166" t="str">
            <v>Small Business</v>
          </cell>
          <cell r="H166" t="str">
            <v>West Bengal</v>
          </cell>
          <cell r="I166" t="str">
            <v>Kolkata</v>
          </cell>
          <cell r="J166" t="str">
            <v>Furniture</v>
          </cell>
          <cell r="K166" t="str">
            <v>Bookcases</v>
          </cell>
          <cell r="T166" t="str">
            <v>Paid</v>
          </cell>
          <cell r="U166" t="str">
            <v>Completed</v>
          </cell>
        </row>
        <row r="167">
          <cell r="E167" t="str">
            <v>Mira Das</v>
          </cell>
          <cell r="F167" t="str">
            <v>Home Office</v>
          </cell>
          <cell r="H167" t="str">
            <v>Bihar</v>
          </cell>
          <cell r="I167" t="str">
            <v>Patna</v>
          </cell>
          <cell r="J167" t="str">
            <v>Furniture</v>
          </cell>
          <cell r="K167" t="str">
            <v>Chairs</v>
          </cell>
          <cell r="T167" t="str">
            <v>Paid</v>
          </cell>
          <cell r="U167" t="str">
            <v>Completed</v>
          </cell>
        </row>
        <row r="168">
          <cell r="E168" t="str">
            <v>Karan Malhotra</v>
          </cell>
          <cell r="F168" t="str">
            <v>Small Business</v>
          </cell>
          <cell r="H168" t="str">
            <v>Gujarat</v>
          </cell>
          <cell r="I168" t="str">
            <v>Ahmedabad</v>
          </cell>
          <cell r="J168" t="str">
            <v>OFFICE SUPPLIES</v>
          </cell>
          <cell r="K168" t="str">
            <v>Labels</v>
          </cell>
          <cell r="T168" t="str">
            <v>Paid</v>
          </cell>
          <cell r="U168" t="str">
            <v>Completed</v>
          </cell>
        </row>
        <row r="169">
          <cell r="E169" t="str">
            <v>Arjun Bose</v>
          </cell>
          <cell r="F169" t="str">
            <v>Home Office</v>
          </cell>
          <cell r="H169" t="str">
            <v>Karnataka</v>
          </cell>
          <cell r="I169" t="str">
            <v>Bengaluru</v>
          </cell>
          <cell r="J169" t="str">
            <v>Office Supplies</v>
          </cell>
          <cell r="K169" t="str">
            <v>Storage</v>
          </cell>
          <cell r="T169" t="str">
            <v>Paid</v>
          </cell>
          <cell r="U169" t="str">
            <v>Returned</v>
          </cell>
        </row>
        <row r="170">
          <cell r="E170" t="str">
            <v>Kabir Singh</v>
          </cell>
          <cell r="F170" t="str">
            <v>Consumer</v>
          </cell>
          <cell r="H170" t="str">
            <v>Maharashtra</v>
          </cell>
          <cell r="I170" t="str">
            <v>Mumbai</v>
          </cell>
          <cell r="J170" t="str">
            <v>Technology</v>
          </cell>
          <cell r="K170" t="str">
            <v>Accessories</v>
          </cell>
          <cell r="T170" t="str">
            <v>Paid</v>
          </cell>
          <cell r="U170" t="str">
            <v>Cancelled</v>
          </cell>
        </row>
        <row r="171">
          <cell r="E171" t="str">
            <v>Diya Patel</v>
          </cell>
          <cell r="F171" t="str">
            <v>Consumer</v>
          </cell>
          <cell r="H171" t="str">
            <v>Assam</v>
          </cell>
          <cell r="I171" t="str">
            <v>Guwahati</v>
          </cell>
          <cell r="J171" t="str">
            <v>Office Supplies</v>
          </cell>
          <cell r="K171" t="str">
            <v>Art</v>
          </cell>
          <cell r="T171" t="str">
            <v>Pending</v>
          </cell>
          <cell r="U171" t="str">
            <v>Returned</v>
          </cell>
        </row>
        <row r="172">
          <cell r="E172" t="str">
            <v>Rohan Mehta</v>
          </cell>
          <cell r="F172" t="str">
            <v>Corporate</v>
          </cell>
          <cell r="H172" t="str">
            <v>Bihar</v>
          </cell>
          <cell r="I172" t="str">
            <v>Patna</v>
          </cell>
          <cell r="J172" t="str">
            <v>Technology</v>
          </cell>
          <cell r="K172" t="str">
            <v>Copiers</v>
          </cell>
          <cell r="T172" t="str">
            <v>Paid</v>
          </cell>
          <cell r="U172" t="str">
            <v>Completed</v>
          </cell>
        </row>
        <row r="173">
          <cell r="E173" t="str">
            <v>Karan Malhotra</v>
          </cell>
          <cell r="F173" t="str">
            <v>Corporate</v>
          </cell>
          <cell r="H173" t="str">
            <v>Bihar</v>
          </cell>
          <cell r="I173" t="str">
            <v>Patna</v>
          </cell>
          <cell r="J173" t="str">
            <v>Office Supplies</v>
          </cell>
          <cell r="K173" t="str">
            <v>Labels</v>
          </cell>
          <cell r="T173" t="str">
            <v>Paid</v>
          </cell>
          <cell r="U173" t="str">
            <v>Completed</v>
          </cell>
        </row>
        <row r="174">
          <cell r="E174" t="str">
            <v>Karan Malhotra</v>
          </cell>
          <cell r="F174" t="str">
            <v>Corporate</v>
          </cell>
          <cell r="H174" t="str">
            <v>Delhi</v>
          </cell>
          <cell r="I174" t="str">
            <v>New Delhi</v>
          </cell>
          <cell r="J174" t="str">
            <v>Furniture</v>
          </cell>
          <cell r="K174" t="str">
            <v>Furnishings</v>
          </cell>
          <cell r="T174" t="str">
            <v>Refunded</v>
          </cell>
          <cell r="U174" t="str">
            <v>Returned</v>
          </cell>
        </row>
        <row r="175">
          <cell r="E175" t="str">
            <v>PRIYA MENON</v>
          </cell>
          <cell r="F175" t="str">
            <v>Home Office</v>
          </cell>
          <cell r="H175" t="str">
            <v>Punjab</v>
          </cell>
          <cell r="I175" t="str">
            <v>Ludhiana</v>
          </cell>
          <cell r="J175" t="str">
            <v>Technology</v>
          </cell>
          <cell r="K175" t="str">
            <v>Copiers</v>
          </cell>
          <cell r="T175" t="str">
            <v>Paid</v>
          </cell>
          <cell r="U175" t="str">
            <v>Completed</v>
          </cell>
        </row>
        <row r="176">
          <cell r="E176" t="str">
            <v>Karan Malhotra</v>
          </cell>
          <cell r="F176" t="str">
            <v>Small Business</v>
          </cell>
          <cell r="H176" t="str">
            <v>Karnataka</v>
          </cell>
          <cell r="I176" t="str">
            <v>Bengaluru</v>
          </cell>
          <cell r="J176" t="str">
            <v>Furniture</v>
          </cell>
          <cell r="K176" t="str">
            <v>Bookcases</v>
          </cell>
          <cell r="T176" t="str">
            <v>Pending</v>
          </cell>
          <cell r="U176" t="str">
            <v>Returned</v>
          </cell>
        </row>
        <row r="177">
          <cell r="E177" t="str">
            <v>Arjun Bose</v>
          </cell>
          <cell r="F177" t="str">
            <v>Small Business</v>
          </cell>
          <cell r="H177" t="str">
            <v>Bihar</v>
          </cell>
          <cell r="I177" t="str">
            <v>Patna</v>
          </cell>
          <cell r="J177" t="str">
            <v>Technology</v>
          </cell>
          <cell r="K177" t="str">
            <v>Machines</v>
          </cell>
          <cell r="T177" t="str">
            <v>Paid</v>
          </cell>
          <cell r="U177" t="str">
            <v>Returned</v>
          </cell>
        </row>
        <row r="178">
          <cell r="E178" t="str">
            <v>Vikram Iyer</v>
          </cell>
          <cell r="F178" t="str">
            <v>Corporate</v>
          </cell>
          <cell r="H178" t="str">
            <v>Jharkhand</v>
          </cell>
          <cell r="I178" t="str">
            <v>Ranchi</v>
          </cell>
          <cell r="J178" t="str">
            <v>Furniture</v>
          </cell>
          <cell r="K178" t="str">
            <v>Bookcases</v>
          </cell>
          <cell r="T178" t="str">
            <v>Paid</v>
          </cell>
          <cell r="U178" t="str">
            <v>Completed</v>
          </cell>
        </row>
        <row r="179">
          <cell r="E179" t="str">
            <v>Sneha Kapoor</v>
          </cell>
          <cell r="F179" t="str">
            <v>Home Office</v>
          </cell>
          <cell r="H179" t="str">
            <v>Bihar</v>
          </cell>
          <cell r="I179" t="str">
            <v>Patna</v>
          </cell>
          <cell r="J179" t="str">
            <v>Office Supplies</v>
          </cell>
          <cell r="K179" t="str">
            <v>Art</v>
          </cell>
          <cell r="T179" t="str">
            <v>Paid</v>
          </cell>
          <cell r="U179" t="str">
            <v>Completed</v>
          </cell>
        </row>
        <row r="180">
          <cell r="E180" t="str">
            <v>Isha Nair</v>
          </cell>
          <cell r="F180" t="str">
            <v>Corporate</v>
          </cell>
          <cell r="H180" t="str">
            <v>Telangana</v>
          </cell>
          <cell r="I180" t="str">
            <v>Hyderabad</v>
          </cell>
          <cell r="J180" t="str">
            <v>Office Supplies</v>
          </cell>
          <cell r="K180" t="str">
            <v>Art</v>
          </cell>
          <cell r="T180" t="str">
            <v>Paid</v>
          </cell>
          <cell r="U180" t="str">
            <v>Completed</v>
          </cell>
        </row>
        <row r="181">
          <cell r="E181" t="str">
            <v>Ananya Rao</v>
          </cell>
          <cell r="F181" t="str">
            <v>Small Business</v>
          </cell>
          <cell r="H181" t="str">
            <v>Tamil Nadu</v>
          </cell>
          <cell r="I181" t="str">
            <v>Chennai</v>
          </cell>
          <cell r="J181" t="str">
            <v>Furniture</v>
          </cell>
          <cell r="K181" t="str">
            <v>Furnishings</v>
          </cell>
          <cell r="T181" t="str">
            <v>Refunded</v>
          </cell>
          <cell r="U181" t="str">
            <v>Returned</v>
          </cell>
        </row>
        <row r="182">
          <cell r="E182" t="str">
            <v>Mira Das</v>
          </cell>
          <cell r="F182" t="str">
            <v>Home Office</v>
          </cell>
          <cell r="H182" t="str">
            <v>Uttar Pradesh</v>
          </cell>
          <cell r="I182" t="str">
            <v>Noida</v>
          </cell>
          <cell r="J182" t="str">
            <v>OFFICE SUPPLIES</v>
          </cell>
          <cell r="K182" t="str">
            <v>Binders</v>
          </cell>
          <cell r="T182" t="str">
            <v>Paid</v>
          </cell>
          <cell r="U182" t="str">
            <v>Completed</v>
          </cell>
        </row>
        <row r="183">
          <cell r="E183" t="str">
            <v>Priya Menon</v>
          </cell>
          <cell r="F183" t="str">
            <v>Home Office</v>
          </cell>
          <cell r="H183" t="str">
            <v>Tamil Nadu</v>
          </cell>
          <cell r="I183" t="str">
            <v>Chennai</v>
          </cell>
          <cell r="J183" t="str">
            <v>Office Supplies</v>
          </cell>
          <cell r="K183" t="str">
            <v>Art</v>
          </cell>
          <cell r="T183" t="str">
            <v>Paid</v>
          </cell>
          <cell r="U183" t="str">
            <v>Completed</v>
          </cell>
        </row>
        <row r="184">
          <cell r="E184" t="str">
            <v>Ananya Rao</v>
          </cell>
          <cell r="F184" t="str">
            <v>Home Office</v>
          </cell>
          <cell r="H184" t="str">
            <v>Bihar</v>
          </cell>
          <cell r="I184" t="str">
            <v>Patna</v>
          </cell>
          <cell r="J184" t="str">
            <v>Technology</v>
          </cell>
          <cell r="K184" t="str">
            <v>Machines</v>
          </cell>
          <cell r="T184" t="str">
            <v>Paid</v>
          </cell>
          <cell r="U184" t="str">
            <v>Completed</v>
          </cell>
        </row>
        <row r="185">
          <cell r="E185" t="str">
            <v>Vikram Iyer</v>
          </cell>
          <cell r="F185" t="str">
            <v>Home Office</v>
          </cell>
          <cell r="H185" t="str">
            <v>Telangana</v>
          </cell>
          <cell r="I185" t="str">
            <v>Hyderabad</v>
          </cell>
          <cell r="J185" t="str">
            <v>Technology</v>
          </cell>
          <cell r="K185" t="str">
            <v>Copiers</v>
          </cell>
          <cell r="T185" t="str">
            <v>Paid</v>
          </cell>
          <cell r="U185" t="str">
            <v>Returned</v>
          </cell>
        </row>
        <row r="186">
          <cell r="E186" t="str">
            <v>Vikram Iyer</v>
          </cell>
          <cell r="F186" t="str">
            <v>Corporate</v>
          </cell>
          <cell r="H186" t="str">
            <v>Madhya Pradesh</v>
          </cell>
          <cell r="I186" t="str">
            <v>Indore</v>
          </cell>
          <cell r="J186" t="str">
            <v>Furniture</v>
          </cell>
          <cell r="K186" t="str">
            <v>Bookcases</v>
          </cell>
          <cell r="T186" t="str">
            <v>Refunded</v>
          </cell>
          <cell r="U186" t="str">
            <v>Returned</v>
          </cell>
        </row>
        <row r="187">
          <cell r="E187" t="str">
            <v>Arjun Bose</v>
          </cell>
          <cell r="F187" t="str">
            <v>Consumer</v>
          </cell>
          <cell r="H187" t="str">
            <v>Punjab</v>
          </cell>
          <cell r="I187" t="str">
            <v>Ludhiana</v>
          </cell>
          <cell r="J187" t="str">
            <v>Office Supplies</v>
          </cell>
          <cell r="K187" t="str">
            <v>Labels</v>
          </cell>
          <cell r="T187" t="str">
            <v>Paid</v>
          </cell>
          <cell r="U187" t="str">
            <v>Completed</v>
          </cell>
        </row>
        <row r="188">
          <cell r="E188" t="str">
            <v>Vikram Iyer</v>
          </cell>
          <cell r="F188" t="str">
            <v>Consumer</v>
          </cell>
          <cell r="H188" t="str">
            <v>Tamil Nadu</v>
          </cell>
          <cell r="I188" t="str">
            <v>Chennai</v>
          </cell>
          <cell r="J188" t="str">
            <v>Furniture</v>
          </cell>
          <cell r="K188" t="str">
            <v>Tables</v>
          </cell>
          <cell r="T188" t="str">
            <v>Paid</v>
          </cell>
          <cell r="U188" t="str">
            <v>Completed</v>
          </cell>
        </row>
        <row r="189">
          <cell r="E189" t="str">
            <v>Mira Das</v>
          </cell>
          <cell r="F189" t="str">
            <v>Consumer</v>
          </cell>
          <cell r="H189" t="str">
            <v>Madhya Pradesh</v>
          </cell>
          <cell r="I189" t="str">
            <v>Indore</v>
          </cell>
          <cell r="J189" t="str">
            <v>Furniture</v>
          </cell>
          <cell r="K189" t="str">
            <v>Chairs</v>
          </cell>
          <cell r="T189" t="str">
            <v>Paid</v>
          </cell>
          <cell r="U189" t="str">
            <v>Returned</v>
          </cell>
        </row>
        <row r="190">
          <cell r="E190" t="str">
            <v>Priya Menon</v>
          </cell>
          <cell r="F190" t="str">
            <v>Corporate</v>
          </cell>
          <cell r="H190" t="str">
            <v>West Bengal</v>
          </cell>
          <cell r="I190" t="str">
            <v>Kolkata</v>
          </cell>
          <cell r="J190" t="str">
            <v>Furniture</v>
          </cell>
          <cell r="K190" t="str">
            <v>Bookcases</v>
          </cell>
          <cell r="T190" t="str">
            <v>Paid</v>
          </cell>
          <cell r="U190" t="str">
            <v>Completed</v>
          </cell>
        </row>
        <row r="191">
          <cell r="E191" t="str">
            <v>Arjun Bose</v>
          </cell>
          <cell r="F191" t="str">
            <v>Consumer</v>
          </cell>
          <cell r="H191" t="str">
            <v>Rajasthan</v>
          </cell>
          <cell r="I191" t="str">
            <v>Udaipur</v>
          </cell>
          <cell r="J191" t="str">
            <v>Furniture</v>
          </cell>
          <cell r="K191" t="str">
            <v>Bookcases</v>
          </cell>
          <cell r="T191" t="str">
            <v>Paid</v>
          </cell>
          <cell r="U191" t="str">
            <v>completed</v>
          </cell>
        </row>
        <row r="192">
          <cell r="E192" t="str">
            <v>Aditi Sen</v>
          </cell>
          <cell r="F192" t="str">
            <v>Consumer</v>
          </cell>
          <cell r="H192" t="str">
            <v>Tamil Nadu</v>
          </cell>
          <cell r="I192" t="str">
            <v>Chennai</v>
          </cell>
          <cell r="J192" t="str">
            <v>Office Supplies</v>
          </cell>
          <cell r="K192" t="str">
            <v>Storage</v>
          </cell>
          <cell r="T192" t="str">
            <v>Paid</v>
          </cell>
          <cell r="U192" t="str">
            <v>Completed</v>
          </cell>
        </row>
        <row r="193">
          <cell r="E193" t="str">
            <v>Sneha Kapoor</v>
          </cell>
          <cell r="F193" t="str">
            <v>Small Business</v>
          </cell>
          <cell r="H193" t="str">
            <v>Tamil Nadu</v>
          </cell>
          <cell r="I193" t="str">
            <v>Chennai</v>
          </cell>
          <cell r="J193" t="str">
            <v>Furniture</v>
          </cell>
          <cell r="K193" t="str">
            <v>Bookcases</v>
          </cell>
          <cell r="T193" t="str">
            <v>Paid</v>
          </cell>
          <cell r="U193" t="str">
            <v>Completed</v>
          </cell>
        </row>
        <row r="194">
          <cell r="E194" t="str">
            <v>Isha Nair</v>
          </cell>
          <cell r="F194" t="str">
            <v>Home Office</v>
          </cell>
          <cell r="H194" t="str">
            <v>Gujarat</v>
          </cell>
          <cell r="I194" t="str">
            <v>Ahmedabad</v>
          </cell>
          <cell r="J194" t="str">
            <v>Furniture</v>
          </cell>
          <cell r="K194" t="str">
            <v>Chairs</v>
          </cell>
          <cell r="T194" t="str">
            <v>Paid</v>
          </cell>
          <cell r="U194" t="str">
            <v>Completed</v>
          </cell>
        </row>
        <row r="195">
          <cell r="E195" t="str">
            <v>Priya Menon</v>
          </cell>
          <cell r="F195" t="str">
            <v>Small Business</v>
          </cell>
          <cell r="H195" t="str">
            <v>Punjab</v>
          </cell>
          <cell r="I195" t="str">
            <v>Ludhiana</v>
          </cell>
          <cell r="J195" t="str">
            <v>Technology</v>
          </cell>
          <cell r="K195" t="str">
            <v>Copiers</v>
          </cell>
          <cell r="T195" t="str">
            <v>Refunded</v>
          </cell>
          <cell r="U195" t="str">
            <v>Returned</v>
          </cell>
        </row>
        <row r="196">
          <cell r="E196" t="str">
            <v>Priya Menon</v>
          </cell>
          <cell r="F196" t="str">
            <v>Consumer</v>
          </cell>
          <cell r="H196" t="str">
            <v>Maharashtra</v>
          </cell>
          <cell r="I196" t="str">
            <v>Mumbai</v>
          </cell>
          <cell r="J196" t="str">
            <v>Furniture</v>
          </cell>
          <cell r="K196" t="str">
            <v>Furnishings</v>
          </cell>
          <cell r="T196" t="str">
            <v>Pending</v>
          </cell>
          <cell r="U196" t="str">
            <v>Returned</v>
          </cell>
        </row>
        <row r="197">
          <cell r="E197" t="str">
            <v>Neha Gupta</v>
          </cell>
          <cell r="F197" t="str">
            <v>Home Office</v>
          </cell>
          <cell r="H197" t="str">
            <v>Andhra Pradesh</v>
          </cell>
          <cell r="I197" t="str">
            <v>Vijayawada</v>
          </cell>
          <cell r="J197" t="str">
            <v>Furniture</v>
          </cell>
          <cell r="K197" t="str">
            <v>Furnishings</v>
          </cell>
          <cell r="T197" t="str">
            <v>Paid</v>
          </cell>
          <cell r="U197" t="str">
            <v>Completed</v>
          </cell>
        </row>
        <row r="198">
          <cell r="E198" t="str">
            <v>Kabir Singh</v>
          </cell>
          <cell r="F198" t="str">
            <v>Home Office</v>
          </cell>
          <cell r="H198" t="str">
            <v>Uttar Pradesh</v>
          </cell>
          <cell r="I198" t="str">
            <v>Noida</v>
          </cell>
          <cell r="J198" t="str">
            <v>Office Supplies</v>
          </cell>
          <cell r="K198" t="str">
            <v>Storage</v>
          </cell>
          <cell r="T198" t="str">
            <v>Paid</v>
          </cell>
          <cell r="U198" t="str">
            <v>Completed</v>
          </cell>
        </row>
        <row r="199">
          <cell r="E199" t="str">
            <v>Rahul Verma</v>
          </cell>
          <cell r="F199" t="str">
            <v>Small  Business</v>
          </cell>
          <cell r="H199" t="str">
            <v>Bihar</v>
          </cell>
          <cell r="I199" t="str">
            <v>Patna</v>
          </cell>
          <cell r="J199" t="str">
            <v>Office Supplies</v>
          </cell>
          <cell r="K199" t="str">
            <v>Storage</v>
          </cell>
          <cell r="T199" t="str">
            <v>Paid</v>
          </cell>
          <cell r="U199" t="str">
            <v>Completed</v>
          </cell>
        </row>
        <row r="200">
          <cell r="E200" t="str">
            <v>Sneha Kapoor</v>
          </cell>
          <cell r="F200" t="str">
            <v>Consumer</v>
          </cell>
          <cell r="H200" t="str">
            <v>Gujarat</v>
          </cell>
          <cell r="I200" t="str">
            <v>Ahmedabad</v>
          </cell>
          <cell r="J200" t="str">
            <v>Office Supplies</v>
          </cell>
          <cell r="K200" t="str">
            <v>Art</v>
          </cell>
          <cell r="T200" t="str">
            <v>Failed</v>
          </cell>
          <cell r="U200" t="str">
            <v>Cancelled</v>
          </cell>
        </row>
        <row r="201">
          <cell r="E201" t="str">
            <v>Rahul Verma</v>
          </cell>
          <cell r="F201" t="str">
            <v>Home Office</v>
          </cell>
          <cell r="H201" t="str">
            <v>Bihar</v>
          </cell>
          <cell r="I201" t="str">
            <v>Patna</v>
          </cell>
          <cell r="J201" t="str">
            <v>Technology</v>
          </cell>
          <cell r="K201" t="str">
            <v>Machines</v>
          </cell>
          <cell r="T201" t="str">
            <v>Paid</v>
          </cell>
          <cell r="U201" t="str">
            <v>Completed</v>
          </cell>
        </row>
        <row r="202">
          <cell r="E202" t="str">
            <v>Priya Menon</v>
          </cell>
          <cell r="F202" t="str">
            <v>Small Business</v>
          </cell>
          <cell r="H202" t="str">
            <v>Rajasthan</v>
          </cell>
          <cell r="I202" t="str">
            <v>Jaipur</v>
          </cell>
          <cell r="J202" t="str">
            <v>Technology</v>
          </cell>
          <cell r="K202" t="str">
            <v>Copiers</v>
          </cell>
          <cell r="T202" t="str">
            <v>Pending</v>
          </cell>
          <cell r="U202" t="str">
            <v>Cancelled</v>
          </cell>
        </row>
        <row r="203">
          <cell r="E203" t="str">
            <v>Vikram Iyer</v>
          </cell>
          <cell r="F203" t="str">
            <v>Consumer</v>
          </cell>
          <cell r="H203" t="str">
            <v>Madhya Pradesh</v>
          </cell>
          <cell r="I203" t="str">
            <v>Indore</v>
          </cell>
          <cell r="J203" t="str">
            <v>Office Supplies</v>
          </cell>
          <cell r="K203" t="str">
            <v>Labels</v>
          </cell>
          <cell r="T203" t="str">
            <v>Refunded</v>
          </cell>
          <cell r="U203" t="str">
            <v>Cancelled</v>
          </cell>
        </row>
        <row r="204">
          <cell r="E204" t="str">
            <v>Sneha Kapoor</v>
          </cell>
          <cell r="F204" t="str">
            <v>Corporate</v>
          </cell>
          <cell r="H204" t="str">
            <v>Goa</v>
          </cell>
          <cell r="I204" t="str">
            <v>Panaji</v>
          </cell>
          <cell r="J204" t="str">
            <v>Technology</v>
          </cell>
          <cell r="K204" t="str">
            <v>Accessories</v>
          </cell>
          <cell r="T204" t="str">
            <v>Paid</v>
          </cell>
          <cell r="U204" t="str">
            <v>Completed</v>
          </cell>
        </row>
        <row r="205">
          <cell r="E205" t="str">
            <v>Sneha Kapoor</v>
          </cell>
          <cell r="F205" t="str">
            <v>Corporate</v>
          </cell>
          <cell r="H205" t="str">
            <v>Rajasthan</v>
          </cell>
          <cell r="I205" t="str">
            <v>Udaipur</v>
          </cell>
          <cell r="J205" t="str">
            <v>Technology</v>
          </cell>
          <cell r="K205" t="str">
            <v>Accessories</v>
          </cell>
          <cell r="T205" t="str">
            <v>Paid</v>
          </cell>
          <cell r="U205" t="str">
            <v>Completed</v>
          </cell>
        </row>
        <row r="206">
          <cell r="E206" t="str">
            <v>Mira Das</v>
          </cell>
          <cell r="F206" t="str">
            <v>Home Office</v>
          </cell>
          <cell r="H206" t="str">
            <v>West Bengal</v>
          </cell>
          <cell r="I206" t="str">
            <v>Kolkata</v>
          </cell>
          <cell r="J206" t="str">
            <v>Furniture</v>
          </cell>
          <cell r="K206" t="str">
            <v>Tables</v>
          </cell>
          <cell r="T206" t="str">
            <v>Paid</v>
          </cell>
          <cell r="U206" t="str">
            <v>Completed</v>
          </cell>
        </row>
        <row r="207">
          <cell r="E207" t="str">
            <v>Ananya Rao</v>
          </cell>
          <cell r="F207" t="str">
            <v>Consumer</v>
          </cell>
          <cell r="H207" t="str">
            <v>Maharashtra</v>
          </cell>
          <cell r="I207" t="str">
            <v>Mumbai</v>
          </cell>
          <cell r="J207" t="str">
            <v>OFFICE SUPPLIES</v>
          </cell>
          <cell r="K207" t="str">
            <v>Labels</v>
          </cell>
          <cell r="T207" t="str">
            <v>Paid</v>
          </cell>
          <cell r="U207" t="str">
            <v>Completed</v>
          </cell>
        </row>
        <row r="208">
          <cell r="E208" t="str">
            <v>Diya Patel</v>
          </cell>
          <cell r="F208" t="str">
            <v>Small Business</v>
          </cell>
          <cell r="H208" t="str">
            <v>Uttar Pradesh</v>
          </cell>
          <cell r="I208" t="str">
            <v>Noida</v>
          </cell>
          <cell r="J208" t="str">
            <v>Furniture</v>
          </cell>
          <cell r="K208" t="str">
            <v>Furnishings</v>
          </cell>
          <cell r="T208" t="str">
            <v>Paid</v>
          </cell>
          <cell r="U208" t="str">
            <v>Completed</v>
          </cell>
        </row>
        <row r="209">
          <cell r="E209" t="str">
            <v>Aarav Sharma</v>
          </cell>
          <cell r="F209" t="str">
            <v>Home Office</v>
          </cell>
          <cell r="H209" t="str">
            <v>Goa</v>
          </cell>
          <cell r="I209" t="str">
            <v>Panaji</v>
          </cell>
          <cell r="J209" t="str">
            <v>Furniture</v>
          </cell>
          <cell r="K209" t="str">
            <v>Bookcases</v>
          </cell>
          <cell r="T209" t="str">
            <v>Paid</v>
          </cell>
          <cell r="U209" t="str">
            <v>Completed</v>
          </cell>
        </row>
        <row r="210">
          <cell r="E210" t="str">
            <v>Diya Patel</v>
          </cell>
          <cell r="F210" t="str">
            <v>Consumer</v>
          </cell>
          <cell r="H210" t="str">
            <v>Punjab</v>
          </cell>
          <cell r="I210" t="str">
            <v>Ludhiana</v>
          </cell>
          <cell r="J210" t="str">
            <v>Furniture</v>
          </cell>
          <cell r="K210" t="str">
            <v>Chairs</v>
          </cell>
          <cell r="T210" t="str">
            <v>Paid</v>
          </cell>
          <cell r="U210" t="str">
            <v>Completed</v>
          </cell>
        </row>
        <row r="211">
          <cell r="E211" t="str">
            <v>Rohan Mehta</v>
          </cell>
          <cell r="F211" t="str">
            <v>Small Business</v>
          </cell>
          <cell r="H211" t="str">
            <v>Andhra Pradesh</v>
          </cell>
          <cell r="I211" t="str">
            <v>Vijayawada</v>
          </cell>
          <cell r="J211" t="str">
            <v>Office Supplies</v>
          </cell>
          <cell r="K211" t="str">
            <v>Paper</v>
          </cell>
          <cell r="T211" t="str">
            <v>Paid</v>
          </cell>
          <cell r="U211" t="str">
            <v>Completed</v>
          </cell>
        </row>
        <row r="212">
          <cell r="E212" t="str">
            <v>Kabir Singh</v>
          </cell>
          <cell r="F212" t="str">
            <v>Home Office</v>
          </cell>
          <cell r="H212" t="str">
            <v>Karnataka</v>
          </cell>
          <cell r="I212" t="str">
            <v>Bengaluru</v>
          </cell>
          <cell r="J212" t="str">
            <v>Technology</v>
          </cell>
          <cell r="K212" t="str">
            <v>Machines</v>
          </cell>
          <cell r="T212" t="str">
            <v>Failed</v>
          </cell>
          <cell r="U212" t="str">
            <v>Returned</v>
          </cell>
        </row>
        <row r="213">
          <cell r="E213" t="str">
            <v>Rohan Mehta</v>
          </cell>
          <cell r="F213" t="str">
            <v>Corporate</v>
          </cell>
          <cell r="H213" t="str">
            <v>West Bengal</v>
          </cell>
          <cell r="I213" t="str">
            <v>Kolkata</v>
          </cell>
          <cell r="J213" t="str">
            <v>Technology</v>
          </cell>
          <cell r="K213" t="str">
            <v>Copiers</v>
          </cell>
          <cell r="T213" t="str">
            <v>Paid</v>
          </cell>
          <cell r="U213" t="str">
            <v>Completed</v>
          </cell>
        </row>
        <row r="214">
          <cell r="E214" t="str">
            <v>Ananya Rao</v>
          </cell>
          <cell r="F214" t="str">
            <v>Small Business</v>
          </cell>
          <cell r="H214" t="str">
            <v>Odisha</v>
          </cell>
          <cell r="I214" t="str">
            <v>Bhubaneswar</v>
          </cell>
          <cell r="J214" t="str">
            <v>Technology</v>
          </cell>
          <cell r="K214" t="str">
            <v>Phones</v>
          </cell>
          <cell r="T214" t="str">
            <v>Paid</v>
          </cell>
          <cell r="U214" t="str">
            <v>Completed</v>
          </cell>
        </row>
        <row r="215">
          <cell r="E215" t="str">
            <v>Isha Nair</v>
          </cell>
          <cell r="F215" t="str">
            <v>Small Business</v>
          </cell>
          <cell r="H215" t="str">
            <v>Bihar</v>
          </cell>
          <cell r="I215" t="str">
            <v>Patna</v>
          </cell>
          <cell r="J215" t="str">
            <v>Technology</v>
          </cell>
          <cell r="K215" t="str">
            <v>Accessories</v>
          </cell>
          <cell r="T215" t="str">
            <v>Paid</v>
          </cell>
          <cell r="U215" t="str">
            <v>Completed</v>
          </cell>
        </row>
        <row r="216">
          <cell r="E216" t="str">
            <v>Rahul Verma</v>
          </cell>
          <cell r="F216" t="str">
            <v>Consumer</v>
          </cell>
          <cell r="H216" t="str">
            <v>Haryana</v>
          </cell>
          <cell r="I216" t="str">
            <v>Gurugram</v>
          </cell>
          <cell r="J216" t="str">
            <v>Technology</v>
          </cell>
          <cell r="K216" t="str">
            <v>Accessories</v>
          </cell>
          <cell r="T216" t="str">
            <v>Paid</v>
          </cell>
          <cell r="U216" t="str">
            <v>Completed</v>
          </cell>
        </row>
        <row r="217">
          <cell r="E217" t="str">
            <v>Mira Das</v>
          </cell>
          <cell r="F217" t="str">
            <v>Consumer</v>
          </cell>
          <cell r="H217" t="str">
            <v>Madhya Pradesh</v>
          </cell>
          <cell r="I217" t="str">
            <v>Indore</v>
          </cell>
          <cell r="J217" t="str">
            <v>Office Supplies</v>
          </cell>
          <cell r="K217" t="str">
            <v>Paper</v>
          </cell>
          <cell r="T217" t="str">
            <v>Paid</v>
          </cell>
          <cell r="U217" t="str">
            <v>Completed</v>
          </cell>
        </row>
        <row r="218">
          <cell r="E218" t="str">
            <v>Isha Nair</v>
          </cell>
          <cell r="F218" t="str">
            <v>Consumer</v>
          </cell>
          <cell r="H218" t="str">
            <v>Gujarat</v>
          </cell>
          <cell r="I218" t="str">
            <v>Ahmedabad</v>
          </cell>
          <cell r="J218" t="str">
            <v>Furniture</v>
          </cell>
          <cell r="K218" t="str">
            <v>Tables</v>
          </cell>
          <cell r="T218" t="str">
            <v>Failed</v>
          </cell>
          <cell r="U218" t="str">
            <v>Returned</v>
          </cell>
        </row>
        <row r="219">
          <cell r="E219" t="str">
            <v>Aditi Sen</v>
          </cell>
          <cell r="F219" t="str">
            <v>Consumer</v>
          </cell>
          <cell r="H219" t="str">
            <v>Odisha</v>
          </cell>
          <cell r="I219" t="str">
            <v>Bhubaneswar</v>
          </cell>
          <cell r="J219" t="str">
            <v>Furniture</v>
          </cell>
          <cell r="K219" t="str">
            <v>Bookcases</v>
          </cell>
          <cell r="T219" t="str">
            <v>Refunded</v>
          </cell>
          <cell r="U219" t="str">
            <v>Cancelled</v>
          </cell>
        </row>
        <row r="220">
          <cell r="E220" t="str">
            <v>Priya Menon</v>
          </cell>
          <cell r="F220" t="str">
            <v>Corporate</v>
          </cell>
          <cell r="H220" t="str">
            <v>Gujarat</v>
          </cell>
          <cell r="I220" t="str">
            <v>Ahmedabad</v>
          </cell>
          <cell r="J220" t="str">
            <v>Furniture</v>
          </cell>
          <cell r="K220" t="str">
            <v>Bookcases</v>
          </cell>
          <cell r="T220" t="str">
            <v>Paid</v>
          </cell>
          <cell r="U220" t="str">
            <v>Completed</v>
          </cell>
        </row>
        <row r="221">
          <cell r="E221" t="str">
            <v>Rahul Verma</v>
          </cell>
          <cell r="F221" t="str">
            <v>Consumer</v>
          </cell>
          <cell r="H221" t="str">
            <v>Bihar</v>
          </cell>
          <cell r="I221" t="str">
            <v>Patna</v>
          </cell>
          <cell r="J221" t="str">
            <v>Technology</v>
          </cell>
          <cell r="K221" t="str">
            <v>Machines</v>
          </cell>
          <cell r="T221" t="str">
            <v>Paid</v>
          </cell>
          <cell r="U221" t="str">
            <v>Completed</v>
          </cell>
        </row>
        <row r="222">
          <cell r="E222" t="str">
            <v>Sneha Kapoor</v>
          </cell>
          <cell r="F222" t="str">
            <v>Consumer</v>
          </cell>
          <cell r="H222" t="str">
            <v>Kerala</v>
          </cell>
          <cell r="I222" t="str">
            <v>Kochi</v>
          </cell>
          <cell r="J222" t="str">
            <v>Office Supplies</v>
          </cell>
          <cell r="K222" t="str">
            <v>Storage</v>
          </cell>
          <cell r="T222" t="str">
            <v>Refunded</v>
          </cell>
          <cell r="U222" t="str">
            <v>Cancelled</v>
          </cell>
        </row>
        <row r="223">
          <cell r="E223" t="str">
            <v>Mira Das</v>
          </cell>
          <cell r="F223" t="str">
            <v>Corporate</v>
          </cell>
          <cell r="H223" t="str">
            <v>Karnataka</v>
          </cell>
          <cell r="I223" t="str">
            <v>Bengaluru</v>
          </cell>
          <cell r="J223" t="str">
            <v>Furniture</v>
          </cell>
          <cell r="K223" t="str">
            <v>Chairs</v>
          </cell>
          <cell r="T223" t="str">
            <v>Paid</v>
          </cell>
          <cell r="U223" t="str">
            <v>Completed</v>
          </cell>
        </row>
        <row r="224">
          <cell r="E224" t="str">
            <v>Vikram Iyer</v>
          </cell>
          <cell r="F224" t="str">
            <v>Small Business</v>
          </cell>
          <cell r="H224" t="str">
            <v>Goa</v>
          </cell>
          <cell r="I224" t="str">
            <v>Panaji</v>
          </cell>
          <cell r="J224" t="str">
            <v>Office Supplies</v>
          </cell>
          <cell r="K224" t="str">
            <v>Storage</v>
          </cell>
          <cell r="T224" t="str">
            <v>Paid</v>
          </cell>
          <cell r="U224" t="str">
            <v>Completed</v>
          </cell>
        </row>
        <row r="225">
          <cell r="E225" t="str">
            <v>Mira Das</v>
          </cell>
          <cell r="F225" t="str">
            <v>Corporate</v>
          </cell>
          <cell r="H225" t="str">
            <v>Maharashtra</v>
          </cell>
          <cell r="I225" t="str">
            <v>Mumbai</v>
          </cell>
          <cell r="J225" t="str">
            <v>Furniture</v>
          </cell>
          <cell r="K225" t="str">
            <v>Furnishings</v>
          </cell>
          <cell r="T225" t="str">
            <v>Pending</v>
          </cell>
          <cell r="U225" t="str">
            <v>Returned</v>
          </cell>
        </row>
        <row r="226">
          <cell r="E226" t="str">
            <v>Isha Nair</v>
          </cell>
          <cell r="F226" t="str">
            <v>Small Business</v>
          </cell>
          <cell r="H226" t="str">
            <v>Punjab</v>
          </cell>
          <cell r="I226" t="str">
            <v>Ludhiana</v>
          </cell>
          <cell r="J226" t="str">
            <v>Furniture</v>
          </cell>
          <cell r="K226" t="str">
            <v>Furnishings</v>
          </cell>
          <cell r="T226" t="str">
            <v>Paid</v>
          </cell>
          <cell r="U226" t="str">
            <v>Cancelled</v>
          </cell>
        </row>
        <row r="227">
          <cell r="E227" t="str">
            <v>Mira Das</v>
          </cell>
          <cell r="F227" t="str">
            <v>Corporate</v>
          </cell>
          <cell r="H227" t="str">
            <v>Goa</v>
          </cell>
          <cell r="I227" t="str">
            <v>Panaji</v>
          </cell>
          <cell r="J227" t="str">
            <v>Technology</v>
          </cell>
          <cell r="K227" t="str">
            <v>Phones</v>
          </cell>
          <cell r="T227" t="str">
            <v>Paid</v>
          </cell>
          <cell r="U227" t="str">
            <v>Completed</v>
          </cell>
        </row>
        <row r="228">
          <cell r="E228" t="str">
            <v>Diya Patel</v>
          </cell>
          <cell r="F228" t="str">
            <v>Home Office</v>
          </cell>
          <cell r="H228" t="str">
            <v>Kerala</v>
          </cell>
          <cell r="I228" t="str">
            <v>Kochi</v>
          </cell>
          <cell r="J228" t="str">
            <v>Technology</v>
          </cell>
          <cell r="K228" t="str">
            <v>Copiers</v>
          </cell>
          <cell r="T228" t="str">
            <v>Paid</v>
          </cell>
          <cell r="U228" t="str">
            <v>Completed</v>
          </cell>
        </row>
        <row r="229">
          <cell r="E229" t="str">
            <v>Ananya Rao</v>
          </cell>
          <cell r="F229" t="str">
            <v>SMALL BUSINESS</v>
          </cell>
          <cell r="H229" t="str">
            <v>Goa</v>
          </cell>
          <cell r="I229" t="str">
            <v>Panaji</v>
          </cell>
          <cell r="J229" t="str">
            <v>Office Supplies</v>
          </cell>
          <cell r="K229" t="str">
            <v>Binders</v>
          </cell>
          <cell r="T229" t="str">
            <v>Paid</v>
          </cell>
          <cell r="U229" t="str">
            <v>Completed</v>
          </cell>
        </row>
        <row r="230">
          <cell r="E230" t="str">
            <v>Karan Malhotra</v>
          </cell>
          <cell r="F230" t="str">
            <v>Small Business</v>
          </cell>
          <cell r="H230" t="str">
            <v>Telangana</v>
          </cell>
          <cell r="I230" t="str">
            <v>Hyderabad</v>
          </cell>
          <cell r="J230" t="str">
            <v>Office Supplies</v>
          </cell>
          <cell r="K230" t="str">
            <v>Labels</v>
          </cell>
          <cell r="T230" t="str">
            <v>Paid</v>
          </cell>
          <cell r="U230" t="str">
            <v>Completed</v>
          </cell>
        </row>
        <row r="231">
          <cell r="E231" t="str">
            <v>Rohan Mehta</v>
          </cell>
          <cell r="F231" t="str">
            <v>Consumer</v>
          </cell>
          <cell r="H231" t="str">
            <v>Telangana</v>
          </cell>
          <cell r="I231" t="str">
            <v>Hyderabad</v>
          </cell>
          <cell r="J231" t="str">
            <v>Furniture</v>
          </cell>
          <cell r="K231" t="str">
            <v>Bookcases</v>
          </cell>
          <cell r="T231" t="str">
            <v>Refunded</v>
          </cell>
          <cell r="U231" t="str">
            <v>Returned</v>
          </cell>
        </row>
        <row r="232">
          <cell r="E232" t="str">
            <v>Neha Gupta</v>
          </cell>
          <cell r="F232" t="str">
            <v>Small Business</v>
          </cell>
          <cell r="H232" t="str">
            <v>Rajasthan</v>
          </cell>
          <cell r="I232" t="str">
            <v>Jaipur</v>
          </cell>
          <cell r="J232" t="str">
            <v>Office Supplies</v>
          </cell>
          <cell r="K232" t="str">
            <v>Paper</v>
          </cell>
          <cell r="T232" t="str">
            <v>Paid</v>
          </cell>
          <cell r="U232" t="str">
            <v>Completed</v>
          </cell>
        </row>
        <row r="233">
          <cell r="E233" t="str">
            <v>Ananya Rao</v>
          </cell>
          <cell r="F233" t="str">
            <v>Corporate</v>
          </cell>
          <cell r="H233" t="str">
            <v>Rajasthan</v>
          </cell>
          <cell r="I233" t="str">
            <v>Jaipur</v>
          </cell>
          <cell r="J233" t="str">
            <v>Office  Supplies</v>
          </cell>
          <cell r="K233" t="str">
            <v>Labels</v>
          </cell>
          <cell r="T233" t="str">
            <v>Refunded</v>
          </cell>
          <cell r="U233" t="str">
            <v>Cancelled</v>
          </cell>
        </row>
        <row r="234">
          <cell r="E234" t="str">
            <v>Rahul Verma</v>
          </cell>
          <cell r="F234" t="str">
            <v>Consumer</v>
          </cell>
          <cell r="H234" t="str">
            <v>Andhra Pradesh</v>
          </cell>
          <cell r="I234" t="str">
            <v>Vijayawada</v>
          </cell>
          <cell r="J234" t="str">
            <v>Technology</v>
          </cell>
          <cell r="K234" t="str">
            <v>Phones</v>
          </cell>
          <cell r="T234" t="str">
            <v>Paid</v>
          </cell>
          <cell r="U234" t="str">
            <v>Completed</v>
          </cell>
        </row>
        <row r="235">
          <cell r="E235" t="str">
            <v>Vikram Iyer</v>
          </cell>
          <cell r="F235" t="str">
            <v>Corporate</v>
          </cell>
          <cell r="H235" t="str">
            <v>Karnataka</v>
          </cell>
          <cell r="I235" t="str">
            <v>Bengaluru</v>
          </cell>
          <cell r="J235" t="str">
            <v>Furniture</v>
          </cell>
          <cell r="K235" t="str">
            <v>Bookcases</v>
          </cell>
          <cell r="T235" t="str">
            <v>Paid</v>
          </cell>
          <cell r="U235" t="str">
            <v>Completed</v>
          </cell>
        </row>
        <row r="236">
          <cell r="E236" t="str">
            <v>Kabir Singh</v>
          </cell>
          <cell r="F236" t="str">
            <v>Home Office</v>
          </cell>
          <cell r="H236" t="str">
            <v>Delhi</v>
          </cell>
          <cell r="I236" t="str">
            <v>New Delhi</v>
          </cell>
          <cell r="J236" t="str">
            <v>Furniture</v>
          </cell>
          <cell r="K236" t="str">
            <v>Furnishings</v>
          </cell>
          <cell r="T236" t="str">
            <v>Paid</v>
          </cell>
          <cell r="U236" t="str">
            <v>Completed</v>
          </cell>
        </row>
        <row r="237">
          <cell r="E237" t="str">
            <v>Rahul Verma</v>
          </cell>
          <cell r="F237" t="str">
            <v>Small Business</v>
          </cell>
          <cell r="H237" t="str">
            <v>Rajasthan</v>
          </cell>
          <cell r="I237" t="str">
            <v>Udaipur</v>
          </cell>
          <cell r="J237" t="str">
            <v>Office Supplies</v>
          </cell>
          <cell r="K237" t="str">
            <v>Storage</v>
          </cell>
          <cell r="T237" t="str">
            <v>Paid</v>
          </cell>
          <cell r="U237" t="str">
            <v>Completed</v>
          </cell>
        </row>
        <row r="238">
          <cell r="E238" t="str">
            <v>Priya Menon</v>
          </cell>
          <cell r="F238" t="str">
            <v>Corporate</v>
          </cell>
          <cell r="H238" t="str">
            <v>Uttar Pradesh</v>
          </cell>
          <cell r="I238" t="str">
            <v>Noida</v>
          </cell>
          <cell r="J238" t="str">
            <v>Furniture</v>
          </cell>
          <cell r="K238" t="str">
            <v>Bookcases</v>
          </cell>
          <cell r="T238" t="str">
            <v>Paid</v>
          </cell>
          <cell r="U238" t="str">
            <v>Completed</v>
          </cell>
        </row>
        <row r="239">
          <cell r="E239" t="str">
            <v>Mira Das</v>
          </cell>
          <cell r="F239" t="str">
            <v>Consumer</v>
          </cell>
          <cell r="H239" t="str">
            <v>Haryana</v>
          </cell>
          <cell r="I239" t="str">
            <v>Gurugram</v>
          </cell>
          <cell r="J239" t="str">
            <v>Technology</v>
          </cell>
          <cell r="K239" t="str">
            <v>Copiers</v>
          </cell>
          <cell r="T239" t="str">
            <v>Paid</v>
          </cell>
          <cell r="U239" t="str">
            <v>Completed</v>
          </cell>
        </row>
        <row r="240">
          <cell r="E240" t="str">
            <v>Arjun Bose</v>
          </cell>
          <cell r="F240" t="str">
            <v>Consumer</v>
          </cell>
          <cell r="H240" t="str">
            <v>Andhra Pradesh</v>
          </cell>
          <cell r="I240" t="str">
            <v>Vijayawada</v>
          </cell>
          <cell r="J240" t="str">
            <v>Office Supplies</v>
          </cell>
          <cell r="K240" t="str">
            <v>Storage</v>
          </cell>
          <cell r="T240" t="str">
            <v>Paid</v>
          </cell>
          <cell r="U240" t="str">
            <v>Completed</v>
          </cell>
        </row>
        <row r="241">
          <cell r="E241" t="str">
            <v>Kabir Singh</v>
          </cell>
          <cell r="F241" t="str">
            <v>Corporate</v>
          </cell>
          <cell r="H241" t="str">
            <v>Karnataka</v>
          </cell>
          <cell r="I241" t="str">
            <v>Bengaluru</v>
          </cell>
          <cell r="J241" t="str">
            <v>Technology</v>
          </cell>
          <cell r="K241" t="str">
            <v>Machines</v>
          </cell>
          <cell r="T241" t="str">
            <v>Paid</v>
          </cell>
          <cell r="U241" t="str">
            <v>Completed</v>
          </cell>
        </row>
        <row r="242">
          <cell r="E242" t="str">
            <v>Aarav Sharma</v>
          </cell>
          <cell r="F242" t="str">
            <v>Corporate</v>
          </cell>
          <cell r="H242" t="str">
            <v>Telangana</v>
          </cell>
          <cell r="I242" t="str">
            <v>Hyderabad</v>
          </cell>
          <cell r="J242" t="str">
            <v>Office Supplies</v>
          </cell>
          <cell r="K242" t="str">
            <v>Binders</v>
          </cell>
          <cell r="T242" t="str">
            <v>Paid</v>
          </cell>
          <cell r="U242" t="str">
            <v>Completed</v>
          </cell>
        </row>
        <row r="243">
          <cell r="E243" t="str">
            <v>Sneha Kapoor</v>
          </cell>
          <cell r="F243" t="str">
            <v>Corporate</v>
          </cell>
          <cell r="H243" t="str">
            <v>Haryana</v>
          </cell>
          <cell r="I243" t="str">
            <v>Gurugram</v>
          </cell>
          <cell r="J243" t="str">
            <v>Office Supplies</v>
          </cell>
          <cell r="K243" t="str">
            <v>Storage</v>
          </cell>
          <cell r="T243" t="str">
            <v>Pending</v>
          </cell>
          <cell r="U243" t="str">
            <v>Returned</v>
          </cell>
        </row>
        <row r="244">
          <cell r="E244" t="str">
            <v>Arjun Bose</v>
          </cell>
          <cell r="F244" t="str">
            <v>Consumer</v>
          </cell>
          <cell r="H244" t="str">
            <v>Uttar Pradesh</v>
          </cell>
          <cell r="I244" t="str">
            <v>Noida</v>
          </cell>
          <cell r="J244" t="str">
            <v>Office Supplies</v>
          </cell>
          <cell r="K244" t="str">
            <v>Art</v>
          </cell>
          <cell r="T244" t="str">
            <v>Paid</v>
          </cell>
          <cell r="U244" t="str">
            <v>Completed</v>
          </cell>
        </row>
        <row r="245">
          <cell r="E245" t="str">
            <v>Sneha Kapoor</v>
          </cell>
          <cell r="F245" t="str">
            <v>Small Business</v>
          </cell>
          <cell r="H245" t="str">
            <v>Madhya Pradesh</v>
          </cell>
          <cell r="I245" t="str">
            <v>Indore</v>
          </cell>
          <cell r="J245" t="str">
            <v>Technology</v>
          </cell>
          <cell r="K245" t="str">
            <v>Accessories</v>
          </cell>
          <cell r="T245" t="str">
            <v>Paid</v>
          </cell>
          <cell r="U245" t="str">
            <v>completed</v>
          </cell>
        </row>
        <row r="246">
          <cell r="E246" t="str">
            <v>Neha Gupta</v>
          </cell>
          <cell r="F246" t="str">
            <v>Consumer</v>
          </cell>
          <cell r="H246" t="str">
            <v>Telangana</v>
          </cell>
          <cell r="I246" t="str">
            <v>Hyderabad</v>
          </cell>
          <cell r="J246" t="str">
            <v>Furniture</v>
          </cell>
          <cell r="K246" t="str">
            <v>Bookcases</v>
          </cell>
          <cell r="T246" t="str">
            <v>Paid</v>
          </cell>
          <cell r="U246" t="str">
            <v>Completed</v>
          </cell>
        </row>
        <row r="247">
          <cell r="E247" t="str">
            <v>Neha Gupta</v>
          </cell>
          <cell r="F247" t="str">
            <v>Home Office</v>
          </cell>
          <cell r="H247" t="str">
            <v>Kerala</v>
          </cell>
          <cell r="I247" t="str">
            <v>Kochi</v>
          </cell>
          <cell r="J247" t="str">
            <v>FURNITURE</v>
          </cell>
          <cell r="K247" t="str">
            <v>Chairs</v>
          </cell>
          <cell r="T247" t="str">
            <v>Paid</v>
          </cell>
          <cell r="U247" t="str">
            <v>Completed</v>
          </cell>
        </row>
        <row r="248">
          <cell r="E248" t="str">
            <v>Ananya Rao</v>
          </cell>
          <cell r="F248" t="str">
            <v>Corporate</v>
          </cell>
          <cell r="H248" t="str">
            <v>Punjab</v>
          </cell>
          <cell r="I248" t="str">
            <v>Ludhiana</v>
          </cell>
          <cell r="J248" t="str">
            <v>Technology</v>
          </cell>
          <cell r="K248" t="str">
            <v>Machines</v>
          </cell>
          <cell r="T248" t="str">
            <v>Refunded</v>
          </cell>
          <cell r="U248" t="str">
            <v>Cancelled</v>
          </cell>
        </row>
        <row r="249">
          <cell r="E249" t="str">
            <v>Rahul Verma</v>
          </cell>
          <cell r="F249" t="str">
            <v>Corporate</v>
          </cell>
          <cell r="H249" t="str">
            <v>Rajasthan</v>
          </cell>
          <cell r="I249" t="str">
            <v>Jaipur</v>
          </cell>
          <cell r="J249" t="str">
            <v>Technology</v>
          </cell>
          <cell r="K249" t="str">
            <v>Accessories</v>
          </cell>
          <cell r="T249" t="str">
            <v>Paid</v>
          </cell>
          <cell r="U249" t="str">
            <v>Completed</v>
          </cell>
        </row>
        <row r="250">
          <cell r="E250" t="str">
            <v>Rohan Mehta</v>
          </cell>
          <cell r="F250" t="str">
            <v>Home Office</v>
          </cell>
          <cell r="H250" t="str">
            <v>Odisha</v>
          </cell>
          <cell r="I250" t="str">
            <v>Bhubaneswar</v>
          </cell>
          <cell r="J250" t="str">
            <v>Office Supplies</v>
          </cell>
          <cell r="K250" t="str">
            <v>Labels</v>
          </cell>
          <cell r="T250" t="str">
            <v>Paid</v>
          </cell>
          <cell r="U250" t="str">
            <v>Completed</v>
          </cell>
        </row>
        <row r="251">
          <cell r="E251" t="str">
            <v>Mira Das</v>
          </cell>
          <cell r="F251" t="str">
            <v>Corporate</v>
          </cell>
          <cell r="H251" t="str">
            <v>Rajasthan</v>
          </cell>
          <cell r="I251" t="str">
            <v>Jaipur</v>
          </cell>
          <cell r="J251" t="str">
            <v>Furniture</v>
          </cell>
          <cell r="K251" t="str">
            <v>Furnishings</v>
          </cell>
          <cell r="T251" t="str">
            <v>Paid</v>
          </cell>
          <cell r="U251" t="str">
            <v>Completed</v>
          </cell>
        </row>
        <row r="252">
          <cell r="E252" t="str">
            <v>Arjun Bose</v>
          </cell>
          <cell r="F252" t="str">
            <v>Small Business</v>
          </cell>
          <cell r="H252" t="str">
            <v>West Bengal</v>
          </cell>
          <cell r="I252" t="str">
            <v>Kolkata</v>
          </cell>
          <cell r="J252" t="str">
            <v>Furniture</v>
          </cell>
          <cell r="K252" t="str">
            <v>Furnishings</v>
          </cell>
          <cell r="T252" t="str">
            <v>Pending</v>
          </cell>
          <cell r="U252" t="str">
            <v>Returned</v>
          </cell>
        </row>
        <row r="253">
          <cell r="E253" t="str">
            <v>Ananya Rao</v>
          </cell>
          <cell r="F253" t="str">
            <v>Corporate</v>
          </cell>
          <cell r="H253" t="str">
            <v>Gujarat</v>
          </cell>
          <cell r="I253" t="str">
            <v>Ahmedabad</v>
          </cell>
          <cell r="J253" t="str">
            <v>Furniture</v>
          </cell>
          <cell r="K253" t="str">
            <v>Tables</v>
          </cell>
          <cell r="T253" t="str">
            <v>Paid</v>
          </cell>
          <cell r="U253" t="str">
            <v>Completed</v>
          </cell>
        </row>
        <row r="254">
          <cell r="E254" t="str">
            <v>Arjun Bose</v>
          </cell>
          <cell r="F254" t="str">
            <v>Corporate</v>
          </cell>
          <cell r="H254" t="str">
            <v>Haryana</v>
          </cell>
          <cell r="I254" t="str">
            <v>Gurugram</v>
          </cell>
          <cell r="J254" t="str">
            <v>Office Supplies</v>
          </cell>
          <cell r="K254" t="str">
            <v>Storage</v>
          </cell>
          <cell r="T254" t="str">
            <v>Pending</v>
          </cell>
          <cell r="U254" t="str">
            <v>Returned</v>
          </cell>
        </row>
        <row r="255">
          <cell r="E255" t="str">
            <v>Priya Menon</v>
          </cell>
          <cell r="F255" t="str">
            <v>Small Business</v>
          </cell>
          <cell r="H255" t="str">
            <v>Rajasthan</v>
          </cell>
          <cell r="I255" t="str">
            <v>Jaipur</v>
          </cell>
          <cell r="J255" t="str">
            <v>Technology</v>
          </cell>
          <cell r="K255" t="str">
            <v>Phones</v>
          </cell>
          <cell r="T255" t="str">
            <v>Refunded</v>
          </cell>
          <cell r="U255" t="str">
            <v>Cancelled</v>
          </cell>
        </row>
        <row r="256">
          <cell r="E256" t="str">
            <v>Ananya Rao</v>
          </cell>
          <cell r="F256" t="str">
            <v>Consumer</v>
          </cell>
          <cell r="H256" t="str">
            <v>Madhya Pradesh</v>
          </cell>
          <cell r="I256" t="str">
            <v>Indore</v>
          </cell>
          <cell r="J256" t="str">
            <v>Technology</v>
          </cell>
          <cell r="K256" t="str">
            <v>Accessories</v>
          </cell>
          <cell r="T256" t="str">
            <v>Paid</v>
          </cell>
          <cell r="U256" t="str">
            <v>Returned</v>
          </cell>
        </row>
        <row r="257">
          <cell r="E257" t="str">
            <v>Isha Nair</v>
          </cell>
          <cell r="F257" t="str">
            <v>Corporate</v>
          </cell>
          <cell r="H257" t="str">
            <v>Maharashtra</v>
          </cell>
          <cell r="I257" t="str">
            <v>Mumbai</v>
          </cell>
          <cell r="J257" t="str">
            <v>Technology</v>
          </cell>
          <cell r="K257" t="str">
            <v>Phones</v>
          </cell>
          <cell r="T257" t="str">
            <v>Paid</v>
          </cell>
          <cell r="U257" t="str">
            <v>Completed</v>
          </cell>
        </row>
        <row r="258">
          <cell r="E258" t="str">
            <v>Ananya Rao</v>
          </cell>
          <cell r="F258" t="str">
            <v>Consumer</v>
          </cell>
          <cell r="H258" t="str">
            <v>West Bengal</v>
          </cell>
          <cell r="I258" t="str">
            <v>Kolkata</v>
          </cell>
          <cell r="J258" t="str">
            <v>Furniture</v>
          </cell>
          <cell r="K258" t="str">
            <v>Tables</v>
          </cell>
          <cell r="T258" t="str">
            <v>Paid</v>
          </cell>
          <cell r="U258" t="str">
            <v>Completed</v>
          </cell>
        </row>
        <row r="259">
          <cell r="E259" t="str">
            <v>Diya Patel</v>
          </cell>
          <cell r="F259" t="str">
            <v>Corporate</v>
          </cell>
          <cell r="H259" t="str">
            <v>Karnataka</v>
          </cell>
          <cell r="I259" t="str">
            <v>Bengaluru</v>
          </cell>
          <cell r="J259" t="str">
            <v>Technology</v>
          </cell>
          <cell r="K259" t="str">
            <v>Accessories</v>
          </cell>
          <cell r="T259" t="str">
            <v>Paid</v>
          </cell>
          <cell r="U259" t="str">
            <v>Cancelled</v>
          </cell>
        </row>
        <row r="260">
          <cell r="E260" t="str">
            <v>Sneha Kapoor</v>
          </cell>
          <cell r="F260" t="str">
            <v>Corporate</v>
          </cell>
          <cell r="H260" t="str">
            <v>Tamil Nadu</v>
          </cell>
          <cell r="I260" t="str">
            <v>Chennai</v>
          </cell>
          <cell r="J260" t="str">
            <v>Furniture</v>
          </cell>
          <cell r="K260" t="str">
            <v>Tables</v>
          </cell>
          <cell r="T260" t="str">
            <v>Paid</v>
          </cell>
          <cell r="U260" t="str">
            <v>Completed</v>
          </cell>
        </row>
        <row r="261">
          <cell r="E261" t="str">
            <v>Neha Gupta</v>
          </cell>
          <cell r="F261" t="str">
            <v>Consumer</v>
          </cell>
          <cell r="H261" t="str">
            <v>Tamil Nadu</v>
          </cell>
          <cell r="I261" t="str">
            <v>Chennai</v>
          </cell>
          <cell r="J261" t="str">
            <v>Technology</v>
          </cell>
          <cell r="K261" t="str">
            <v>Machines</v>
          </cell>
          <cell r="T261" t="str">
            <v>Paid</v>
          </cell>
          <cell r="U261" t="str">
            <v>Completed</v>
          </cell>
        </row>
        <row r="262">
          <cell r="E262" t="str">
            <v>Aditi Sen</v>
          </cell>
          <cell r="F262" t="str">
            <v>Corporate</v>
          </cell>
          <cell r="H262" t="str">
            <v>West Bengal</v>
          </cell>
          <cell r="I262" t="str">
            <v>Kolkata</v>
          </cell>
          <cell r="J262" t="str">
            <v>Office Supplies</v>
          </cell>
          <cell r="K262" t="str">
            <v>Binders</v>
          </cell>
          <cell r="T262" t="str">
            <v>Failed</v>
          </cell>
          <cell r="U262" t="str">
            <v>Returned</v>
          </cell>
        </row>
        <row r="263">
          <cell r="E263" t="str">
            <v>Sneha Kapoor</v>
          </cell>
          <cell r="F263" t="str">
            <v>Corporate</v>
          </cell>
          <cell r="H263" t="str">
            <v>Rajasthan</v>
          </cell>
          <cell r="I263" t="str">
            <v>Jaipur</v>
          </cell>
          <cell r="J263" t="str">
            <v>Office Supplies</v>
          </cell>
          <cell r="K263" t="str">
            <v>Labels</v>
          </cell>
          <cell r="T263" t="str">
            <v>Failed</v>
          </cell>
          <cell r="U263" t="str">
            <v>Cancelled</v>
          </cell>
        </row>
        <row r="264">
          <cell r="E264" t="str">
            <v>Arjun Bose</v>
          </cell>
          <cell r="F264" t="str">
            <v>Small Business</v>
          </cell>
          <cell r="H264" t="str">
            <v>Delhi</v>
          </cell>
          <cell r="I264" t="str">
            <v>New Delhi</v>
          </cell>
          <cell r="J264" t="str">
            <v>Technology</v>
          </cell>
          <cell r="K264" t="str">
            <v>Phones</v>
          </cell>
          <cell r="T264" t="str">
            <v>Pending</v>
          </cell>
          <cell r="U264" t="str">
            <v>Returned</v>
          </cell>
        </row>
        <row r="265">
          <cell r="E265" t="str">
            <v>Rohan Mehta</v>
          </cell>
          <cell r="F265" t="str">
            <v>Small Business</v>
          </cell>
          <cell r="H265" t="str">
            <v>Delhi</v>
          </cell>
          <cell r="I265" t="str">
            <v>New Delhi</v>
          </cell>
          <cell r="J265" t="str">
            <v>Office Supplies</v>
          </cell>
          <cell r="K265" t="str">
            <v>Binders</v>
          </cell>
          <cell r="T265" t="str">
            <v>Pending</v>
          </cell>
          <cell r="U265" t="str">
            <v>Returned</v>
          </cell>
        </row>
        <row r="266">
          <cell r="E266" t="str">
            <v>Diya Patel</v>
          </cell>
          <cell r="F266" t="str">
            <v>Small Business</v>
          </cell>
          <cell r="H266" t="str">
            <v>Bihar</v>
          </cell>
          <cell r="I266" t="str">
            <v>Patna</v>
          </cell>
          <cell r="J266" t="str">
            <v>Technology</v>
          </cell>
          <cell r="K266" t="str">
            <v>Copiers</v>
          </cell>
          <cell r="T266" t="str">
            <v>Paid</v>
          </cell>
          <cell r="U266" t="str">
            <v>Completed</v>
          </cell>
        </row>
        <row r="267">
          <cell r="E267" t="str">
            <v>Priya Menon</v>
          </cell>
          <cell r="F267" t="str">
            <v>Corporate</v>
          </cell>
          <cell r="H267" t="str">
            <v>Bihar</v>
          </cell>
          <cell r="I267" t="str">
            <v>Patna</v>
          </cell>
          <cell r="J267" t="str">
            <v>Furniture</v>
          </cell>
          <cell r="K267" t="str">
            <v>Bookcases</v>
          </cell>
          <cell r="T267" t="str">
            <v>Refunded</v>
          </cell>
          <cell r="U267" t="str">
            <v>Cancelled</v>
          </cell>
        </row>
        <row r="268">
          <cell r="E268" t="str">
            <v>Neha Gupta</v>
          </cell>
          <cell r="F268" t="str">
            <v>Home Office</v>
          </cell>
          <cell r="H268" t="str">
            <v>Maharashtra</v>
          </cell>
          <cell r="I268" t="str">
            <v>Mumbai</v>
          </cell>
          <cell r="J268" t="str">
            <v>Office Supplies</v>
          </cell>
          <cell r="K268" t="str">
            <v>Storage</v>
          </cell>
          <cell r="T268" t="str">
            <v>Paid</v>
          </cell>
          <cell r="U268" t="str">
            <v>Completed</v>
          </cell>
        </row>
        <row r="269">
          <cell r="E269" t="str">
            <v>Diya Patel</v>
          </cell>
          <cell r="F269" t="str">
            <v>Corporate</v>
          </cell>
          <cell r="H269" t="str">
            <v>Jharkhand</v>
          </cell>
          <cell r="I269" t="str">
            <v>Ranchi</v>
          </cell>
          <cell r="J269" t="str">
            <v>Furniture</v>
          </cell>
          <cell r="K269" t="str">
            <v>Furnishings</v>
          </cell>
          <cell r="T269" t="str">
            <v>Paid</v>
          </cell>
          <cell r="U269" t="str">
            <v>Completed</v>
          </cell>
        </row>
        <row r="270">
          <cell r="E270" t="str">
            <v>Aarav Sharma</v>
          </cell>
          <cell r="F270" t="str">
            <v>Home Office</v>
          </cell>
          <cell r="H270" t="str">
            <v>Punjab</v>
          </cell>
          <cell r="I270" t="str">
            <v>Ludhiana</v>
          </cell>
          <cell r="J270" t="str">
            <v>Technology</v>
          </cell>
          <cell r="K270" t="str">
            <v>Accessories</v>
          </cell>
          <cell r="T270" t="str">
            <v>Paid</v>
          </cell>
          <cell r="U270" t="str">
            <v>Completed</v>
          </cell>
        </row>
        <row r="271">
          <cell r="E271" t="str">
            <v>Rahul Verma</v>
          </cell>
          <cell r="F271" t="str">
            <v>Small Business</v>
          </cell>
          <cell r="H271" t="str">
            <v>Rajasthan</v>
          </cell>
          <cell r="I271" t="str">
            <v>Udaipur</v>
          </cell>
          <cell r="J271" t="str">
            <v>Furniture</v>
          </cell>
          <cell r="K271" t="str">
            <v>Tables</v>
          </cell>
          <cell r="T271" t="str">
            <v>Paid</v>
          </cell>
          <cell r="U271" t="str">
            <v>Completed</v>
          </cell>
        </row>
        <row r="272">
          <cell r="E272" t="str">
            <v>Aditi Sen</v>
          </cell>
          <cell r="F272" t="str">
            <v>Corporate</v>
          </cell>
          <cell r="H272" t="str">
            <v>Uttar Pradesh</v>
          </cell>
          <cell r="I272" t="str">
            <v>Noida</v>
          </cell>
          <cell r="J272" t="str">
            <v>Technology</v>
          </cell>
          <cell r="K272" t="str">
            <v>Machines</v>
          </cell>
          <cell r="T272" t="str">
            <v>Paid</v>
          </cell>
          <cell r="U272" t="str">
            <v>Completed</v>
          </cell>
        </row>
        <row r="273">
          <cell r="E273" t="str">
            <v>Aditi Sen</v>
          </cell>
          <cell r="F273" t="str">
            <v>Consumer</v>
          </cell>
          <cell r="H273" t="str">
            <v>Telangana</v>
          </cell>
          <cell r="I273" t="str">
            <v>Hyderabad</v>
          </cell>
          <cell r="J273" t="str">
            <v>Office Supplies</v>
          </cell>
          <cell r="K273" t="str">
            <v>Binders</v>
          </cell>
          <cell r="T273" t="str">
            <v>Failed</v>
          </cell>
          <cell r="U273" t="str">
            <v>Cancelled</v>
          </cell>
        </row>
        <row r="274">
          <cell r="E274" t="str">
            <v>Arjun Bose</v>
          </cell>
          <cell r="F274" t="str">
            <v>Consumer</v>
          </cell>
          <cell r="H274" t="str">
            <v>Andhra Pradesh</v>
          </cell>
          <cell r="I274" t="str">
            <v>Vijayawada</v>
          </cell>
          <cell r="J274" t="str">
            <v>Furniture</v>
          </cell>
          <cell r="K274" t="str">
            <v>Chairs</v>
          </cell>
          <cell r="T274" t="str">
            <v>Paid</v>
          </cell>
          <cell r="U274" t="str">
            <v>Completed</v>
          </cell>
        </row>
        <row r="275">
          <cell r="E275" t="str">
            <v>Isha Nair</v>
          </cell>
          <cell r="F275" t="str">
            <v>Consumer</v>
          </cell>
          <cell r="H275" t="str">
            <v>Bihar</v>
          </cell>
          <cell r="I275" t="str">
            <v>Patna</v>
          </cell>
          <cell r="J275" t="str">
            <v>Office Supplies</v>
          </cell>
          <cell r="K275" t="str">
            <v>Paper</v>
          </cell>
          <cell r="T275" t="str">
            <v>Paid</v>
          </cell>
          <cell r="U275" t="str">
            <v>Returned</v>
          </cell>
        </row>
        <row r="276">
          <cell r="E276" t="str">
            <v>Rohan Mehta</v>
          </cell>
          <cell r="F276" t="str">
            <v>Consumer</v>
          </cell>
          <cell r="H276" t="str">
            <v>Kerala</v>
          </cell>
          <cell r="I276" t="str">
            <v>Kochi</v>
          </cell>
          <cell r="J276" t="str">
            <v>Technology</v>
          </cell>
          <cell r="K276" t="str">
            <v>Copiers</v>
          </cell>
          <cell r="T276" t="str">
            <v>Failed</v>
          </cell>
          <cell r="U276" t="str">
            <v>Returned</v>
          </cell>
        </row>
        <row r="277">
          <cell r="E277" t="str">
            <v>Priya Menon</v>
          </cell>
          <cell r="F277" t="str">
            <v>Small Business</v>
          </cell>
          <cell r="H277" t="str">
            <v>West Bengal</v>
          </cell>
          <cell r="I277" t="str">
            <v>Kolkata</v>
          </cell>
          <cell r="J277" t="str">
            <v>Furniture</v>
          </cell>
          <cell r="K277" t="str">
            <v>Furnishings</v>
          </cell>
          <cell r="T277" t="str">
            <v>Paid</v>
          </cell>
          <cell r="U277" t="str">
            <v>Completed</v>
          </cell>
        </row>
        <row r="278">
          <cell r="E278" t="str">
            <v>Aarav Sharma</v>
          </cell>
          <cell r="F278" t="str">
            <v>Small Business</v>
          </cell>
          <cell r="H278" t="str">
            <v>Assam</v>
          </cell>
          <cell r="I278" t="str">
            <v>Guwahati</v>
          </cell>
          <cell r="J278" t="str">
            <v>Furniture</v>
          </cell>
          <cell r="K278" t="str">
            <v>Chairs</v>
          </cell>
          <cell r="T278" t="str">
            <v>Paid</v>
          </cell>
          <cell r="U278" t="str">
            <v>Completed</v>
          </cell>
        </row>
        <row r="279">
          <cell r="E279" t="str">
            <v>Isha Nair</v>
          </cell>
          <cell r="F279" t="str">
            <v>Corporate</v>
          </cell>
          <cell r="H279" t="str">
            <v>Haryana</v>
          </cell>
          <cell r="I279" t="str">
            <v>Gurugram</v>
          </cell>
          <cell r="J279" t="str">
            <v>Technology</v>
          </cell>
          <cell r="K279" t="str">
            <v>Accessories</v>
          </cell>
          <cell r="T279" t="str">
            <v>Pending</v>
          </cell>
          <cell r="U279" t="str">
            <v>Cancelled</v>
          </cell>
        </row>
        <row r="280">
          <cell r="E280" t="str">
            <v>Priya Menon</v>
          </cell>
          <cell r="F280" t="str">
            <v>Small Business</v>
          </cell>
          <cell r="H280" t="str">
            <v>Delhi</v>
          </cell>
          <cell r="I280" t="str">
            <v>New Delhi</v>
          </cell>
          <cell r="J280" t="str">
            <v>Technology</v>
          </cell>
          <cell r="K280" t="str">
            <v>Accessories</v>
          </cell>
          <cell r="T280" t="str">
            <v>Paid</v>
          </cell>
          <cell r="U280" t="str">
            <v>Returned</v>
          </cell>
        </row>
        <row r="281">
          <cell r="E281" t="str">
            <v>Rohan Mehta</v>
          </cell>
          <cell r="F281" t="str">
            <v>Small Business</v>
          </cell>
          <cell r="H281" t="str">
            <v>Maharashtra</v>
          </cell>
          <cell r="I281" t="str">
            <v>Mumbai</v>
          </cell>
          <cell r="J281" t="str">
            <v>Office Supplies</v>
          </cell>
          <cell r="K281" t="str">
            <v>Storage</v>
          </cell>
          <cell r="T281" t="str">
            <v>Paid</v>
          </cell>
          <cell r="U281" t="str">
            <v>Completed</v>
          </cell>
        </row>
        <row r="282">
          <cell r="E282" t="str">
            <v>Aditi Sen</v>
          </cell>
          <cell r="F282" t="str">
            <v>Consumer</v>
          </cell>
          <cell r="H282" t="str">
            <v>Karnataka</v>
          </cell>
          <cell r="I282" t="str">
            <v>Bengaluru</v>
          </cell>
          <cell r="J282" t="str">
            <v>Technology</v>
          </cell>
          <cell r="K282" t="str">
            <v>Copiers</v>
          </cell>
          <cell r="T282" t="str">
            <v>Paid</v>
          </cell>
          <cell r="U282" t="str">
            <v>Completed</v>
          </cell>
        </row>
        <row r="283">
          <cell r="E283" t="str">
            <v>Kabir Singh</v>
          </cell>
          <cell r="F283" t="str">
            <v>Consumer</v>
          </cell>
          <cell r="H283" t="str">
            <v>Jharkhand</v>
          </cell>
          <cell r="I283" t="str">
            <v>Ranchi</v>
          </cell>
          <cell r="J283" t="str">
            <v>Office Supplies</v>
          </cell>
          <cell r="K283" t="str">
            <v>Binders</v>
          </cell>
          <cell r="T283" t="str">
            <v>Paid</v>
          </cell>
          <cell r="U283" t="str">
            <v>Completed</v>
          </cell>
        </row>
        <row r="284">
          <cell r="E284" t="str">
            <v>Karan Malhotra</v>
          </cell>
          <cell r="F284" t="str">
            <v>Home Office</v>
          </cell>
          <cell r="H284" t="str">
            <v>Assam</v>
          </cell>
          <cell r="I284" t="str">
            <v>Guwahati</v>
          </cell>
          <cell r="J284" t="str">
            <v>Furniture</v>
          </cell>
          <cell r="K284" t="str">
            <v>Tables</v>
          </cell>
          <cell r="T284" t="str">
            <v>Paid</v>
          </cell>
          <cell r="U284" t="str">
            <v>Completed</v>
          </cell>
        </row>
        <row r="285">
          <cell r="E285" t="str">
            <v>Vikram Iyer</v>
          </cell>
          <cell r="F285" t="str">
            <v>Consumer</v>
          </cell>
          <cell r="H285" t="str">
            <v>Maharashtra</v>
          </cell>
          <cell r="I285" t="str">
            <v>Mumbai</v>
          </cell>
          <cell r="J285" t="str">
            <v>Furniture</v>
          </cell>
          <cell r="K285" t="str">
            <v>Furnishings</v>
          </cell>
          <cell r="T285" t="str">
            <v>Paid</v>
          </cell>
          <cell r="U285" t="str">
            <v>Completed</v>
          </cell>
        </row>
        <row r="286">
          <cell r="E286" t="str">
            <v>Karan Malhotra</v>
          </cell>
          <cell r="F286" t="str">
            <v>Consumer</v>
          </cell>
          <cell r="H286" t="str">
            <v>Odisha</v>
          </cell>
          <cell r="I286" t="str">
            <v>Bhubaneswar</v>
          </cell>
          <cell r="J286" t="str">
            <v>Furniture</v>
          </cell>
          <cell r="K286" t="str">
            <v>Tables</v>
          </cell>
          <cell r="T286" t="str">
            <v>Paid</v>
          </cell>
          <cell r="U286" t="str">
            <v>Returned</v>
          </cell>
        </row>
        <row r="287">
          <cell r="E287" t="str">
            <v>Neha Gupta</v>
          </cell>
          <cell r="F287" t="str">
            <v>Home Office</v>
          </cell>
          <cell r="H287" t="str">
            <v>Rajasthan</v>
          </cell>
          <cell r="I287" t="str">
            <v>Jaipur</v>
          </cell>
          <cell r="J287" t="str">
            <v>Office Supplies</v>
          </cell>
          <cell r="K287" t="str">
            <v>Storage</v>
          </cell>
          <cell r="T287" t="str">
            <v>Paid</v>
          </cell>
          <cell r="U287" t="str">
            <v>Completed</v>
          </cell>
        </row>
        <row r="288">
          <cell r="E288" t="str">
            <v>Priya Menon</v>
          </cell>
          <cell r="F288" t="str">
            <v>Small Business</v>
          </cell>
          <cell r="H288" t="str">
            <v>Delhi</v>
          </cell>
          <cell r="I288" t="str">
            <v>New Delhi</v>
          </cell>
          <cell r="J288" t="str">
            <v>Furniture</v>
          </cell>
          <cell r="K288" t="str">
            <v>Furnishings</v>
          </cell>
          <cell r="T288" t="str">
            <v>Pending</v>
          </cell>
          <cell r="U288" t="str">
            <v>Returned</v>
          </cell>
        </row>
        <row r="289">
          <cell r="E289" t="str">
            <v>Neha Gupta</v>
          </cell>
          <cell r="F289" t="str">
            <v>Small Business</v>
          </cell>
          <cell r="H289" t="str">
            <v>Tamil Nadu</v>
          </cell>
          <cell r="I289" t="str">
            <v>Chennai</v>
          </cell>
          <cell r="J289" t="str">
            <v>Technology</v>
          </cell>
          <cell r="K289" t="str">
            <v>Copiers</v>
          </cell>
          <cell r="T289" t="str">
            <v>Paid</v>
          </cell>
          <cell r="U289" t="str">
            <v>Cancelled</v>
          </cell>
        </row>
        <row r="290">
          <cell r="E290" t="str">
            <v>Rohan Mehta</v>
          </cell>
          <cell r="F290" t="str">
            <v>Small Business</v>
          </cell>
          <cell r="H290" t="str">
            <v>Bihar</v>
          </cell>
          <cell r="I290" t="str">
            <v>Patna</v>
          </cell>
          <cell r="J290" t="str">
            <v>Office Supplies</v>
          </cell>
          <cell r="K290" t="str">
            <v>Binders</v>
          </cell>
          <cell r="T290" t="str">
            <v>Paid</v>
          </cell>
          <cell r="U290" t="str">
            <v>Completed</v>
          </cell>
        </row>
        <row r="291">
          <cell r="E291" t="str">
            <v>Karan Malhotra</v>
          </cell>
          <cell r="F291" t="str">
            <v>Home Office</v>
          </cell>
          <cell r="H291" t="str">
            <v>Tamil Nadu</v>
          </cell>
          <cell r="I291" t="str">
            <v>Chennai</v>
          </cell>
          <cell r="J291" t="str">
            <v>Furniture</v>
          </cell>
          <cell r="K291" t="str">
            <v>Bookcases</v>
          </cell>
          <cell r="T291" t="str">
            <v>Paid</v>
          </cell>
          <cell r="U291" t="str">
            <v>Completed</v>
          </cell>
        </row>
        <row r="292">
          <cell r="E292" t="str">
            <v>Diya Patel</v>
          </cell>
          <cell r="F292" t="str">
            <v>Home Office</v>
          </cell>
          <cell r="H292" t="str">
            <v>Jharkhand</v>
          </cell>
          <cell r="I292" t="str">
            <v>Ranchi</v>
          </cell>
          <cell r="J292" t="str">
            <v>Furniture</v>
          </cell>
          <cell r="K292" t="str">
            <v>Tables</v>
          </cell>
          <cell r="T292" t="str">
            <v>Paid</v>
          </cell>
          <cell r="U292" t="str">
            <v>Completed</v>
          </cell>
        </row>
        <row r="293">
          <cell r="E293" t="str">
            <v>Priya Menon</v>
          </cell>
          <cell r="F293" t="str">
            <v>Home Office</v>
          </cell>
          <cell r="H293" t="str">
            <v>Rajasthan</v>
          </cell>
          <cell r="I293" t="str">
            <v>Jaipur</v>
          </cell>
          <cell r="J293" t="str">
            <v>Office Supplies</v>
          </cell>
          <cell r="K293" t="str">
            <v>Binders</v>
          </cell>
          <cell r="T293" t="str">
            <v>Paid</v>
          </cell>
          <cell r="U293" t="str">
            <v>Completed</v>
          </cell>
        </row>
        <row r="294">
          <cell r="E294" t="str">
            <v>Kabir Singh</v>
          </cell>
          <cell r="F294" t="str">
            <v>Home Office</v>
          </cell>
          <cell r="H294" t="str">
            <v>Haryana</v>
          </cell>
          <cell r="I294" t="str">
            <v>Gurugram</v>
          </cell>
          <cell r="J294" t="str">
            <v>Office Supplies</v>
          </cell>
          <cell r="K294" t="str">
            <v>Art</v>
          </cell>
          <cell r="T294" t="str">
            <v>Pending</v>
          </cell>
          <cell r="U294" t="str">
            <v>Cancelled</v>
          </cell>
        </row>
        <row r="295">
          <cell r="E295" t="str">
            <v>Arjun Bose</v>
          </cell>
          <cell r="F295" t="str">
            <v>Home Office</v>
          </cell>
          <cell r="H295" t="str">
            <v>Telangana</v>
          </cell>
          <cell r="I295" t="str">
            <v>Hyderabad</v>
          </cell>
          <cell r="J295" t="str">
            <v>Technology</v>
          </cell>
          <cell r="K295" t="str">
            <v>Phones</v>
          </cell>
          <cell r="T295" t="str">
            <v>Paid</v>
          </cell>
          <cell r="U295" t="str">
            <v>Completed</v>
          </cell>
        </row>
        <row r="296">
          <cell r="E296" t="str">
            <v>Priya Menon</v>
          </cell>
          <cell r="F296" t="str">
            <v>Consumer</v>
          </cell>
          <cell r="H296" t="str">
            <v>Odisha</v>
          </cell>
          <cell r="I296" t="str">
            <v>Bhubaneswar</v>
          </cell>
          <cell r="J296" t="str">
            <v>Technology</v>
          </cell>
          <cell r="K296" t="str">
            <v>Phones</v>
          </cell>
          <cell r="T296" t="str">
            <v>Paid</v>
          </cell>
          <cell r="U296" t="str">
            <v>Returned</v>
          </cell>
        </row>
        <row r="297">
          <cell r="E297" t="str">
            <v>Aditi Sen</v>
          </cell>
          <cell r="F297" t="str">
            <v>Small Business</v>
          </cell>
          <cell r="H297" t="str">
            <v>Assam</v>
          </cell>
          <cell r="I297" t="str">
            <v>Guwahati</v>
          </cell>
          <cell r="J297" t="str">
            <v>Office Supplies</v>
          </cell>
          <cell r="K297" t="str">
            <v>Binders</v>
          </cell>
          <cell r="T297" t="str">
            <v>Paid</v>
          </cell>
          <cell r="U297" t="str">
            <v>Completed</v>
          </cell>
        </row>
        <row r="298">
          <cell r="E298" t="str">
            <v>Aditi Sen</v>
          </cell>
          <cell r="F298" t="str">
            <v>Home Office</v>
          </cell>
          <cell r="H298" t="str">
            <v>Haryana</v>
          </cell>
          <cell r="I298" t="str">
            <v>Gurugram</v>
          </cell>
          <cell r="J298" t="str">
            <v>Furniture</v>
          </cell>
          <cell r="K298" t="str">
            <v>Furnishings</v>
          </cell>
          <cell r="T298" t="str">
            <v>Paid</v>
          </cell>
          <cell r="U298" t="str">
            <v>Completed</v>
          </cell>
        </row>
        <row r="299">
          <cell r="E299" t="str">
            <v>Sneha Kapoor</v>
          </cell>
          <cell r="F299" t="str">
            <v>Corporate</v>
          </cell>
          <cell r="H299" t="str">
            <v>Tamil Nadu</v>
          </cell>
          <cell r="I299" t="str">
            <v>Chennai</v>
          </cell>
          <cell r="J299" t="str">
            <v>Technology</v>
          </cell>
          <cell r="K299" t="str">
            <v>Copiers</v>
          </cell>
          <cell r="T299" t="str">
            <v>Paid</v>
          </cell>
          <cell r="U299" t="str">
            <v>Completed</v>
          </cell>
        </row>
        <row r="300">
          <cell r="E300" t="str">
            <v>Isha Nair</v>
          </cell>
          <cell r="F300" t="str">
            <v>Consumer</v>
          </cell>
          <cell r="H300" t="str">
            <v>Kerala</v>
          </cell>
          <cell r="I300" t="str">
            <v>Kochi</v>
          </cell>
          <cell r="J300" t="str">
            <v>Technology</v>
          </cell>
          <cell r="K300" t="str">
            <v>Copiers</v>
          </cell>
          <cell r="T300" t="str">
            <v>Failed</v>
          </cell>
          <cell r="U300" t="str">
            <v>Returned</v>
          </cell>
        </row>
        <row r="301">
          <cell r="E301" t="str">
            <v>Rahul Verma</v>
          </cell>
          <cell r="F301" t="str">
            <v>Small Business</v>
          </cell>
          <cell r="H301" t="str">
            <v>Gujarat</v>
          </cell>
          <cell r="I301" t="str">
            <v>Ahmedabad</v>
          </cell>
          <cell r="J301" t="str">
            <v>Technology</v>
          </cell>
          <cell r="K301" t="str">
            <v>Accessories</v>
          </cell>
          <cell r="T301" t="str">
            <v>Paid</v>
          </cell>
          <cell r="U301" t="str">
            <v>Completed</v>
          </cell>
        </row>
        <row r="302">
          <cell r="E302" t="str">
            <v>Diya Patel</v>
          </cell>
          <cell r="F302" t="str">
            <v>Small Business</v>
          </cell>
          <cell r="H302" t="str">
            <v>Punjab</v>
          </cell>
          <cell r="I302" t="str">
            <v>Ludhiana</v>
          </cell>
          <cell r="J302" t="str">
            <v>Technology</v>
          </cell>
          <cell r="K302" t="str">
            <v>Accessories</v>
          </cell>
          <cell r="T302" t="str">
            <v>Paid</v>
          </cell>
          <cell r="U302" t="str">
            <v>Completed</v>
          </cell>
        </row>
        <row r="303">
          <cell r="E303" t="str">
            <v>Isha Nair</v>
          </cell>
          <cell r="F303" t="str">
            <v>Home Office</v>
          </cell>
          <cell r="H303" t="str">
            <v>Bihar</v>
          </cell>
          <cell r="I303" t="str">
            <v>Patna</v>
          </cell>
          <cell r="J303" t="str">
            <v>Technology</v>
          </cell>
          <cell r="K303" t="str">
            <v>Phones</v>
          </cell>
          <cell r="T303" t="str">
            <v>Paid</v>
          </cell>
          <cell r="U303" t="str">
            <v>Completed</v>
          </cell>
        </row>
        <row r="304">
          <cell r="E304" t="str">
            <v>Neha Gupta</v>
          </cell>
          <cell r="F304" t="str">
            <v>Consumer</v>
          </cell>
          <cell r="H304" t="str">
            <v>Goa</v>
          </cell>
          <cell r="I304" t="str">
            <v>Panaji</v>
          </cell>
          <cell r="J304" t="str">
            <v>OFFICE SUPPLIES</v>
          </cell>
          <cell r="K304" t="str">
            <v>Storage</v>
          </cell>
          <cell r="T304" t="str">
            <v>Paid</v>
          </cell>
          <cell r="U304" t="str">
            <v>Completed</v>
          </cell>
        </row>
        <row r="305">
          <cell r="E305" t="str">
            <v>Diya Patel</v>
          </cell>
          <cell r="F305" t="str">
            <v>Home Office</v>
          </cell>
          <cell r="H305" t="str">
            <v>Gujarat</v>
          </cell>
          <cell r="I305" t="str">
            <v>Ahmedabad</v>
          </cell>
          <cell r="J305" t="str">
            <v>Furniture</v>
          </cell>
          <cell r="K305" t="str">
            <v>Chairs</v>
          </cell>
          <cell r="T305" t="str">
            <v>Pending</v>
          </cell>
          <cell r="U305" t="str">
            <v>Returned</v>
          </cell>
        </row>
        <row r="306">
          <cell r="E306" t="str">
            <v>Karan Malhotra</v>
          </cell>
          <cell r="F306" t="str">
            <v>Consumer</v>
          </cell>
          <cell r="H306" t="str">
            <v>Punjab</v>
          </cell>
          <cell r="I306" t="str">
            <v>Ludhiana</v>
          </cell>
          <cell r="J306" t="str">
            <v>Furniture</v>
          </cell>
          <cell r="K306" t="str">
            <v>Furnishings</v>
          </cell>
          <cell r="T306" t="str">
            <v>Paid</v>
          </cell>
          <cell r="U306" t="str">
            <v>Completed</v>
          </cell>
        </row>
        <row r="307">
          <cell r="E307" t="str">
            <v>Ananya Rao</v>
          </cell>
          <cell r="F307" t="str">
            <v>Consumer</v>
          </cell>
          <cell r="H307" t="str">
            <v>Assam</v>
          </cell>
          <cell r="I307" t="str">
            <v>Guwahati</v>
          </cell>
          <cell r="J307" t="str">
            <v>Furniture</v>
          </cell>
          <cell r="K307" t="str">
            <v>Chairs</v>
          </cell>
          <cell r="T307" t="str">
            <v>Paid</v>
          </cell>
          <cell r="U307" t="str">
            <v>Cancelled</v>
          </cell>
        </row>
        <row r="308">
          <cell r="E308" t="str">
            <v>Aarav Sharma</v>
          </cell>
          <cell r="F308" t="str">
            <v>Consumer</v>
          </cell>
          <cell r="H308" t="str">
            <v>Rajasthan</v>
          </cell>
          <cell r="I308" t="str">
            <v>Jaipur</v>
          </cell>
          <cell r="J308" t="str">
            <v>Technology</v>
          </cell>
          <cell r="K308" t="str">
            <v>Phones</v>
          </cell>
          <cell r="T308" t="str">
            <v>Paid</v>
          </cell>
          <cell r="U308" t="str">
            <v>Completed</v>
          </cell>
        </row>
        <row r="309">
          <cell r="E309" t="str">
            <v>Ananya Rao</v>
          </cell>
          <cell r="F309" t="str">
            <v>Corporate</v>
          </cell>
          <cell r="H309" t="str">
            <v>Uttar Pradesh</v>
          </cell>
          <cell r="I309" t="str">
            <v>Noida</v>
          </cell>
          <cell r="J309" t="str">
            <v>Furniture</v>
          </cell>
          <cell r="K309" t="str">
            <v>Tables</v>
          </cell>
          <cell r="T309" t="str">
            <v>PENDING</v>
          </cell>
          <cell r="U309" t="str">
            <v>Cancelled</v>
          </cell>
        </row>
        <row r="310">
          <cell r="E310" t="str">
            <v>Rohan Mehta</v>
          </cell>
          <cell r="F310" t="str">
            <v>Consumer</v>
          </cell>
          <cell r="H310" t="str">
            <v>Rajasthan</v>
          </cell>
          <cell r="I310" t="str">
            <v>Jaipur</v>
          </cell>
          <cell r="J310" t="str">
            <v>Furniture</v>
          </cell>
          <cell r="K310" t="str">
            <v>Tables</v>
          </cell>
          <cell r="T310" t="str">
            <v>Paid</v>
          </cell>
          <cell r="U310" t="str">
            <v>Completed</v>
          </cell>
        </row>
        <row r="311">
          <cell r="E311" t="str">
            <v>Ananya Rao</v>
          </cell>
          <cell r="F311" t="str">
            <v>Consumer</v>
          </cell>
          <cell r="H311" t="str">
            <v>Tamil Nadu</v>
          </cell>
          <cell r="I311" t="str">
            <v>Chennai</v>
          </cell>
          <cell r="J311" t="str">
            <v>Furniture</v>
          </cell>
          <cell r="K311" t="str">
            <v>Tables</v>
          </cell>
          <cell r="T311" t="str">
            <v>Paid</v>
          </cell>
          <cell r="U311" t="str">
            <v>Cancelled</v>
          </cell>
        </row>
        <row r="312">
          <cell r="E312" t="str">
            <v>Rohan Mehta</v>
          </cell>
          <cell r="F312" t="str">
            <v>Small Business</v>
          </cell>
          <cell r="H312" t="str">
            <v>Tamil Nadu</v>
          </cell>
          <cell r="I312" t="str">
            <v>Chennai</v>
          </cell>
          <cell r="J312" t="str">
            <v>Technology</v>
          </cell>
          <cell r="K312" t="str">
            <v>Machines</v>
          </cell>
          <cell r="T312" t="str">
            <v>Paid</v>
          </cell>
          <cell r="U312" t="str">
            <v>Completed</v>
          </cell>
        </row>
        <row r="313">
          <cell r="E313" t="str">
            <v>Mira Das</v>
          </cell>
          <cell r="F313" t="str">
            <v>Corporate</v>
          </cell>
          <cell r="H313" t="str">
            <v>Karnataka</v>
          </cell>
          <cell r="I313" t="str">
            <v>Bengaluru</v>
          </cell>
          <cell r="J313" t="str">
            <v>Office Supplies</v>
          </cell>
          <cell r="K313" t="str">
            <v>Binders</v>
          </cell>
          <cell r="T313" t="str">
            <v>Paid</v>
          </cell>
          <cell r="U313" t="str">
            <v>Completed</v>
          </cell>
        </row>
        <row r="314">
          <cell r="E314" t="str">
            <v>Karan Malhotra</v>
          </cell>
          <cell r="F314" t="str">
            <v>Small Business</v>
          </cell>
          <cell r="H314" t="str">
            <v>Assam</v>
          </cell>
          <cell r="I314" t="str">
            <v>Guwahati</v>
          </cell>
          <cell r="J314" t="str">
            <v>Technology</v>
          </cell>
          <cell r="K314" t="str">
            <v>Phones</v>
          </cell>
          <cell r="T314" t="str">
            <v>Paid</v>
          </cell>
          <cell r="U314" t="str">
            <v>Cancelled</v>
          </cell>
        </row>
        <row r="315">
          <cell r="E315" t="str">
            <v>Rahul Verma</v>
          </cell>
          <cell r="F315" t="str">
            <v>Corporate</v>
          </cell>
          <cell r="H315" t="str">
            <v>Uttar Pradesh</v>
          </cell>
          <cell r="I315" t="str">
            <v>Noida</v>
          </cell>
          <cell r="J315" t="str">
            <v>Technology</v>
          </cell>
          <cell r="K315" t="str">
            <v>Phones</v>
          </cell>
          <cell r="T315" t="str">
            <v>Refunded</v>
          </cell>
          <cell r="U315" t="str">
            <v>Cancelled</v>
          </cell>
        </row>
        <row r="316">
          <cell r="E316" t="str">
            <v>Isha Nair</v>
          </cell>
          <cell r="F316" t="str">
            <v>Corporate</v>
          </cell>
          <cell r="H316" t="str">
            <v>Madhya Pradesh</v>
          </cell>
          <cell r="I316" t="str">
            <v>Indore</v>
          </cell>
          <cell r="J316" t="str">
            <v>Office Supplies</v>
          </cell>
          <cell r="K316" t="str">
            <v>Labels</v>
          </cell>
          <cell r="T316" t="str">
            <v>Failed</v>
          </cell>
          <cell r="U316" t="str">
            <v>Returned</v>
          </cell>
        </row>
        <row r="317">
          <cell r="E317" t="str">
            <v>Rohan Mehta</v>
          </cell>
          <cell r="F317" t="str">
            <v>Consumer</v>
          </cell>
          <cell r="H317" t="str">
            <v>Delhi</v>
          </cell>
          <cell r="I317" t="str">
            <v>New Delhi</v>
          </cell>
          <cell r="J317" t="str">
            <v>Office Supplies</v>
          </cell>
          <cell r="K317" t="str">
            <v>Paper</v>
          </cell>
          <cell r="T317" t="str">
            <v>Pending</v>
          </cell>
          <cell r="U317" t="str">
            <v>Returned</v>
          </cell>
        </row>
        <row r="318">
          <cell r="E318" t="str">
            <v>Karan Malhotra</v>
          </cell>
          <cell r="F318" t="str">
            <v>Corporate</v>
          </cell>
          <cell r="H318" t="str">
            <v>Punjab</v>
          </cell>
          <cell r="I318" t="str">
            <v>Ludhiana</v>
          </cell>
          <cell r="J318" t="str">
            <v>Office Supplies</v>
          </cell>
          <cell r="K318" t="str">
            <v>Labels</v>
          </cell>
          <cell r="T318" t="str">
            <v>Paid</v>
          </cell>
          <cell r="U318" t="str">
            <v>Cancelled</v>
          </cell>
        </row>
        <row r="319">
          <cell r="E319" t="str">
            <v>Neha Gupta</v>
          </cell>
          <cell r="F319" t="str">
            <v>Corporate</v>
          </cell>
          <cell r="H319" t="str">
            <v>Kerala</v>
          </cell>
          <cell r="I319" t="str">
            <v>Kochi</v>
          </cell>
          <cell r="J319" t="str">
            <v>Furniture</v>
          </cell>
          <cell r="K319" t="str">
            <v>Tables</v>
          </cell>
          <cell r="T319" t="str">
            <v>Paid</v>
          </cell>
          <cell r="U319" t="str">
            <v>Completed</v>
          </cell>
        </row>
        <row r="320">
          <cell r="E320" t="str">
            <v>Mira Das</v>
          </cell>
          <cell r="F320" t="str">
            <v>Small Business</v>
          </cell>
          <cell r="H320" t="str">
            <v>Karnataka</v>
          </cell>
          <cell r="I320" t="str">
            <v>Bengaluru</v>
          </cell>
          <cell r="J320" t="str">
            <v>Technology</v>
          </cell>
          <cell r="K320" t="str">
            <v>Phones</v>
          </cell>
          <cell r="T320" t="str">
            <v>Paid</v>
          </cell>
          <cell r="U320" t="str">
            <v>Completed</v>
          </cell>
        </row>
        <row r="321">
          <cell r="E321" t="str">
            <v>Diya Patel</v>
          </cell>
          <cell r="F321" t="str">
            <v>Consumer</v>
          </cell>
          <cell r="H321" t="str">
            <v>Gujarat</v>
          </cell>
          <cell r="I321" t="str">
            <v>Ahmedabad</v>
          </cell>
          <cell r="J321" t="str">
            <v>Office Supplies</v>
          </cell>
          <cell r="K321" t="str">
            <v>Binders</v>
          </cell>
          <cell r="T321" t="str">
            <v>Paid</v>
          </cell>
          <cell r="U321" t="str">
            <v>Completed</v>
          </cell>
        </row>
        <row r="322">
          <cell r="E322" t="str">
            <v>Aarav Sharma</v>
          </cell>
          <cell r="F322" t="str">
            <v>Home Office</v>
          </cell>
          <cell r="H322" t="str">
            <v>West Bengal</v>
          </cell>
          <cell r="I322" t="str">
            <v>Kolkata</v>
          </cell>
          <cell r="J322" t="str">
            <v>Office Supplies</v>
          </cell>
          <cell r="K322" t="str">
            <v>Art</v>
          </cell>
          <cell r="T322" t="str">
            <v>Pending</v>
          </cell>
          <cell r="U322" t="str">
            <v>Returned</v>
          </cell>
        </row>
        <row r="323">
          <cell r="E323" t="str">
            <v>Neha Gupta</v>
          </cell>
          <cell r="F323" t="str">
            <v>Small Business</v>
          </cell>
          <cell r="H323" t="str">
            <v>Goa</v>
          </cell>
          <cell r="I323" t="str">
            <v>Panaji</v>
          </cell>
          <cell r="J323" t="str">
            <v>Technology</v>
          </cell>
          <cell r="K323" t="str">
            <v>Accessories</v>
          </cell>
          <cell r="T323" t="str">
            <v>Failed</v>
          </cell>
          <cell r="U323" t="str">
            <v>Cancelled</v>
          </cell>
        </row>
        <row r="324">
          <cell r="E324" t="str">
            <v>Isha Nair</v>
          </cell>
          <cell r="F324" t="str">
            <v>Consumer</v>
          </cell>
          <cell r="H324" t="str">
            <v>Uttar Pradesh</v>
          </cell>
          <cell r="I324" t="str">
            <v>Noida</v>
          </cell>
          <cell r="J324" t="str">
            <v>Technology</v>
          </cell>
          <cell r="K324" t="str">
            <v>Phones</v>
          </cell>
          <cell r="T324" t="str">
            <v>Paid</v>
          </cell>
          <cell r="U324" t="str">
            <v>Completed</v>
          </cell>
        </row>
        <row r="325">
          <cell r="E325" t="str">
            <v>Isha Nair</v>
          </cell>
          <cell r="F325" t="str">
            <v>Small Business</v>
          </cell>
          <cell r="H325" t="str">
            <v>Goa</v>
          </cell>
          <cell r="I325" t="str">
            <v>Panaji</v>
          </cell>
          <cell r="J325" t="str">
            <v>Furniture</v>
          </cell>
          <cell r="K325" t="str">
            <v>Furnishings</v>
          </cell>
          <cell r="T325" t="str">
            <v>Paid</v>
          </cell>
          <cell r="U325" t="str">
            <v>Completed</v>
          </cell>
        </row>
        <row r="326">
          <cell r="E326" t="str">
            <v>Rohan Mehta</v>
          </cell>
          <cell r="F326" t="str">
            <v>Home Office</v>
          </cell>
          <cell r="H326" t="str">
            <v>Andhra Pradesh</v>
          </cell>
          <cell r="I326" t="str">
            <v>Vijayawada</v>
          </cell>
          <cell r="J326" t="str">
            <v>Office Supplies</v>
          </cell>
          <cell r="K326" t="str">
            <v>Labels</v>
          </cell>
          <cell r="T326" t="str">
            <v>Paid</v>
          </cell>
          <cell r="U326" t="str">
            <v>Returned</v>
          </cell>
        </row>
        <row r="327">
          <cell r="E327" t="str">
            <v>Sneha Kapoor</v>
          </cell>
          <cell r="F327" t="str">
            <v>Home Office</v>
          </cell>
          <cell r="H327" t="str">
            <v>West Bengal</v>
          </cell>
          <cell r="I327" t="str">
            <v>Kolkata</v>
          </cell>
          <cell r="J327" t="str">
            <v>Technology</v>
          </cell>
          <cell r="K327" t="str">
            <v>Copiers</v>
          </cell>
          <cell r="T327" t="str">
            <v>Paid</v>
          </cell>
          <cell r="U327" t="str">
            <v>Completed</v>
          </cell>
        </row>
        <row r="328">
          <cell r="E328" t="str">
            <v>Sneha Kapoor</v>
          </cell>
          <cell r="F328" t="str">
            <v>Corporate</v>
          </cell>
          <cell r="H328" t="str">
            <v>Jharkhand</v>
          </cell>
          <cell r="I328" t="str">
            <v>Ranchi</v>
          </cell>
          <cell r="J328" t="str">
            <v>Furniture</v>
          </cell>
          <cell r="K328" t="str">
            <v>Furnishings</v>
          </cell>
          <cell r="T328" t="str">
            <v>Paid</v>
          </cell>
          <cell r="U328" t="str">
            <v>Completed</v>
          </cell>
        </row>
        <row r="329">
          <cell r="E329" t="str">
            <v>Isha Nair</v>
          </cell>
          <cell r="F329" t="str">
            <v>Consumer</v>
          </cell>
          <cell r="H329" t="str">
            <v>Rajasthan</v>
          </cell>
          <cell r="I329" t="str">
            <v>Udaipur</v>
          </cell>
          <cell r="J329" t="str">
            <v>Technology</v>
          </cell>
          <cell r="K329" t="str">
            <v>Accessories</v>
          </cell>
          <cell r="T329" t="str">
            <v>Pending</v>
          </cell>
          <cell r="U329" t="str">
            <v>Cancelled</v>
          </cell>
        </row>
        <row r="330">
          <cell r="E330" t="str">
            <v>Diya Patel</v>
          </cell>
          <cell r="F330" t="str">
            <v>Consumer</v>
          </cell>
          <cell r="H330" t="str">
            <v>Maharashtra</v>
          </cell>
          <cell r="I330" t="str">
            <v>Mumbai</v>
          </cell>
          <cell r="J330" t="str">
            <v>Office Supplies</v>
          </cell>
          <cell r="K330" t="str">
            <v>Storage</v>
          </cell>
          <cell r="T330" t="str">
            <v>Paid</v>
          </cell>
          <cell r="U330" t="str">
            <v>Completed</v>
          </cell>
        </row>
        <row r="331">
          <cell r="E331" t="str">
            <v>Neha Gupta</v>
          </cell>
          <cell r="F331" t="str">
            <v>Small Business</v>
          </cell>
          <cell r="H331" t="str">
            <v>Maharashtra</v>
          </cell>
          <cell r="I331" t="str">
            <v>Mumbai</v>
          </cell>
          <cell r="J331" t="str">
            <v>Office Supplies</v>
          </cell>
          <cell r="K331" t="str">
            <v>Storage</v>
          </cell>
          <cell r="T331" t="str">
            <v>Paid</v>
          </cell>
          <cell r="U331" t="str">
            <v>Completed</v>
          </cell>
        </row>
        <row r="332">
          <cell r="E332" t="str">
            <v>Arjun Bose</v>
          </cell>
          <cell r="F332" t="str">
            <v>Home Office</v>
          </cell>
          <cell r="H332" t="str">
            <v>Punjab</v>
          </cell>
          <cell r="I332" t="str">
            <v>Ludhiana</v>
          </cell>
          <cell r="J332" t="str">
            <v>Technology</v>
          </cell>
          <cell r="K332" t="str">
            <v>Accessories</v>
          </cell>
          <cell r="T332" t="str">
            <v>Failed</v>
          </cell>
          <cell r="U332" t="str">
            <v>Cancelled</v>
          </cell>
        </row>
        <row r="333">
          <cell r="E333" t="str">
            <v>Sneha Kapoor</v>
          </cell>
          <cell r="F333" t="str">
            <v>Home Office</v>
          </cell>
          <cell r="H333" t="str">
            <v>Odisha</v>
          </cell>
          <cell r="I333" t="str">
            <v>Bhubaneswar</v>
          </cell>
          <cell r="J333" t="str">
            <v>Office Supplies</v>
          </cell>
          <cell r="K333" t="str">
            <v>Binders</v>
          </cell>
          <cell r="T333" t="str">
            <v>Paid</v>
          </cell>
          <cell r="U333" t="str">
            <v>Returned</v>
          </cell>
        </row>
        <row r="334">
          <cell r="E334" t="str">
            <v>Aarav Sharma</v>
          </cell>
          <cell r="F334" t="str">
            <v>Consumer</v>
          </cell>
          <cell r="H334" t="str">
            <v>Andhra Pradesh</v>
          </cell>
          <cell r="I334" t="str">
            <v>Vijayawada</v>
          </cell>
          <cell r="J334" t="str">
            <v>Technology</v>
          </cell>
          <cell r="K334" t="str">
            <v>machines</v>
          </cell>
          <cell r="T334" t="str">
            <v>Paid</v>
          </cell>
          <cell r="U334" t="str">
            <v>Completed</v>
          </cell>
        </row>
        <row r="335">
          <cell r="E335" t="str">
            <v>Rohan Mehta</v>
          </cell>
          <cell r="F335" t="str">
            <v>Home Office</v>
          </cell>
          <cell r="H335" t="str">
            <v>Delhi</v>
          </cell>
          <cell r="I335" t="str">
            <v>New Delhi</v>
          </cell>
          <cell r="J335" t="str">
            <v>Technology</v>
          </cell>
          <cell r="K335" t="str">
            <v>Phones</v>
          </cell>
          <cell r="T335" t="str">
            <v>Paid</v>
          </cell>
          <cell r="U335" t="str">
            <v>Completed</v>
          </cell>
        </row>
        <row r="336">
          <cell r="E336" t="str">
            <v>Ananya Rao</v>
          </cell>
          <cell r="F336" t="str">
            <v>Consumer</v>
          </cell>
          <cell r="H336" t="str">
            <v>Jharkhand</v>
          </cell>
          <cell r="I336" t="str">
            <v>Ranchi</v>
          </cell>
          <cell r="J336" t="str">
            <v>Office Supplies</v>
          </cell>
          <cell r="K336" t="str">
            <v>Storage</v>
          </cell>
          <cell r="T336" t="str">
            <v>Paid</v>
          </cell>
          <cell r="U336" t="str">
            <v>Completed</v>
          </cell>
        </row>
        <row r="337">
          <cell r="E337" t="str">
            <v>Rahul Verma</v>
          </cell>
          <cell r="F337" t="str">
            <v>Home Office</v>
          </cell>
          <cell r="H337" t="str">
            <v>Madhya Pradesh</v>
          </cell>
          <cell r="I337" t="str">
            <v>Indore</v>
          </cell>
          <cell r="J337" t="str">
            <v>Office Supplies</v>
          </cell>
          <cell r="K337" t="str">
            <v>Paper</v>
          </cell>
          <cell r="T337" t="str">
            <v>Paid</v>
          </cell>
          <cell r="U337" t="str">
            <v>Completed</v>
          </cell>
        </row>
        <row r="338">
          <cell r="E338" t="str">
            <v>Aarav Sharma</v>
          </cell>
          <cell r="F338" t="str">
            <v>Consumer</v>
          </cell>
          <cell r="H338" t="str">
            <v>Rajasthan</v>
          </cell>
          <cell r="I338" t="str">
            <v>Jaipur</v>
          </cell>
          <cell r="J338" t="str">
            <v>Technology</v>
          </cell>
          <cell r="K338" t="str">
            <v>Copiers</v>
          </cell>
          <cell r="T338" t="str">
            <v>Paid</v>
          </cell>
          <cell r="U338" t="str">
            <v>Completed</v>
          </cell>
        </row>
        <row r="339">
          <cell r="E339" t="str">
            <v>Ananya Rao</v>
          </cell>
          <cell r="F339" t="str">
            <v>Consumer</v>
          </cell>
          <cell r="H339" t="str">
            <v>Assam</v>
          </cell>
          <cell r="I339" t="str">
            <v>Guwahati</v>
          </cell>
          <cell r="J339" t="str">
            <v>Office Supplies</v>
          </cell>
          <cell r="K339" t="str">
            <v>Labels</v>
          </cell>
          <cell r="T339" t="str">
            <v>Paid</v>
          </cell>
          <cell r="U339" t="str">
            <v>Completed</v>
          </cell>
        </row>
        <row r="340">
          <cell r="E340" t="str">
            <v>Arjun Bose</v>
          </cell>
          <cell r="F340" t="str">
            <v>Small Business</v>
          </cell>
          <cell r="H340" t="str">
            <v>Andhra Pradesh</v>
          </cell>
          <cell r="I340" t="str">
            <v>Vijayawada</v>
          </cell>
          <cell r="J340" t="str">
            <v>Technology</v>
          </cell>
          <cell r="K340" t="str">
            <v>Accessories</v>
          </cell>
          <cell r="T340" t="str">
            <v>Paid</v>
          </cell>
          <cell r="U340" t="str">
            <v>Completed</v>
          </cell>
        </row>
        <row r="341">
          <cell r="E341" t="str">
            <v>Neha Gupta</v>
          </cell>
          <cell r="F341" t="str">
            <v>Corporate</v>
          </cell>
          <cell r="H341" t="str">
            <v>Jharkhand</v>
          </cell>
          <cell r="I341" t="str">
            <v>Ranchi</v>
          </cell>
          <cell r="J341" t="str">
            <v>Furniture</v>
          </cell>
          <cell r="K341" t="str">
            <v>Bookcases</v>
          </cell>
          <cell r="T341" t="str">
            <v>Paid</v>
          </cell>
          <cell r="U341" t="str">
            <v>Completed</v>
          </cell>
        </row>
        <row r="342">
          <cell r="E342" t="str">
            <v>Neha Gupta</v>
          </cell>
          <cell r="F342" t="str">
            <v>Consumer</v>
          </cell>
          <cell r="H342" t="str">
            <v>Karnataka</v>
          </cell>
          <cell r="I342" t="str">
            <v>Bengaluru</v>
          </cell>
          <cell r="J342" t="str">
            <v>Office Supplies</v>
          </cell>
          <cell r="K342" t="str">
            <v>Binders</v>
          </cell>
          <cell r="T342" t="str">
            <v>Paid</v>
          </cell>
          <cell r="U342" t="str">
            <v>Completed</v>
          </cell>
        </row>
        <row r="343">
          <cell r="E343" t="str">
            <v>Rohan Mehta</v>
          </cell>
          <cell r="F343" t="str">
            <v>Home Office</v>
          </cell>
          <cell r="H343" t="str">
            <v>Gujarat</v>
          </cell>
          <cell r="I343" t="str">
            <v>Ahmedabad</v>
          </cell>
          <cell r="J343" t="str">
            <v>Furniture</v>
          </cell>
          <cell r="K343" t="str">
            <v>Chairs</v>
          </cell>
          <cell r="T343" t="str">
            <v>Paid</v>
          </cell>
          <cell r="U343" t="str">
            <v>Completed</v>
          </cell>
        </row>
        <row r="344">
          <cell r="E344" t="str">
            <v>Kabir Singh</v>
          </cell>
          <cell r="F344" t="str">
            <v>Small Business</v>
          </cell>
          <cell r="H344" t="str">
            <v>Jharkhand</v>
          </cell>
          <cell r="I344" t="str">
            <v>Ranchi</v>
          </cell>
          <cell r="J344" t="str">
            <v>Office Supplies</v>
          </cell>
          <cell r="K344" t="str">
            <v>Binders</v>
          </cell>
          <cell r="T344" t="str">
            <v>Paid</v>
          </cell>
          <cell r="U344" t="str">
            <v>Completed</v>
          </cell>
        </row>
        <row r="345">
          <cell r="E345" t="str">
            <v>Aarav Sharma</v>
          </cell>
          <cell r="F345" t="str">
            <v>Corporate</v>
          </cell>
          <cell r="H345" t="str">
            <v>Madhya Pradesh</v>
          </cell>
          <cell r="I345" t="str">
            <v>Indore</v>
          </cell>
          <cell r="J345" t="str">
            <v>Technology</v>
          </cell>
          <cell r="K345" t="str">
            <v>Machines</v>
          </cell>
          <cell r="T345" t="str">
            <v>Paid</v>
          </cell>
          <cell r="U345" t="str">
            <v>Completed</v>
          </cell>
        </row>
        <row r="346">
          <cell r="E346" t="str">
            <v>Priya Menon</v>
          </cell>
          <cell r="F346" t="str">
            <v>Consumer</v>
          </cell>
          <cell r="H346" t="str">
            <v>Punjab</v>
          </cell>
          <cell r="I346" t="str">
            <v>Ludhiana</v>
          </cell>
          <cell r="J346" t="str">
            <v>Furniture</v>
          </cell>
          <cell r="K346" t="str">
            <v>Bookcases</v>
          </cell>
          <cell r="T346" t="str">
            <v>Pending</v>
          </cell>
          <cell r="U346" t="str">
            <v>Returned</v>
          </cell>
        </row>
        <row r="347">
          <cell r="E347" t="str">
            <v>Karan Malhotra</v>
          </cell>
          <cell r="F347" t="str">
            <v>Consumer</v>
          </cell>
          <cell r="H347" t="str">
            <v>Madhya Pradesh</v>
          </cell>
          <cell r="I347" t="str">
            <v>Indore</v>
          </cell>
          <cell r="J347" t="str">
            <v>Furniture</v>
          </cell>
          <cell r="K347" t="str">
            <v>Furnishings</v>
          </cell>
          <cell r="T347" t="str">
            <v>Paid</v>
          </cell>
          <cell r="U347" t="str">
            <v>Completed</v>
          </cell>
        </row>
        <row r="348">
          <cell r="E348" t="str">
            <v>Rahul Verma</v>
          </cell>
          <cell r="F348" t="str">
            <v>Corporate</v>
          </cell>
          <cell r="H348" t="str">
            <v>Kerala</v>
          </cell>
          <cell r="I348" t="str">
            <v>Kochi</v>
          </cell>
          <cell r="J348" t="str">
            <v>Furniture</v>
          </cell>
          <cell r="K348" t="str">
            <v>Chairs</v>
          </cell>
          <cell r="T348" t="str">
            <v>Paid</v>
          </cell>
          <cell r="U348" t="str">
            <v>Completed</v>
          </cell>
        </row>
        <row r="349">
          <cell r="E349" t="str">
            <v>Aarav Sharma</v>
          </cell>
          <cell r="F349" t="str">
            <v>Small Business</v>
          </cell>
          <cell r="H349" t="str">
            <v>Goa</v>
          </cell>
          <cell r="I349" t="str">
            <v>Panaji</v>
          </cell>
          <cell r="J349" t="str">
            <v>Furniture</v>
          </cell>
          <cell r="K349" t="str">
            <v>Chairs</v>
          </cell>
          <cell r="T349" t="str">
            <v>Refunded</v>
          </cell>
          <cell r="U349" t="str">
            <v>Returned</v>
          </cell>
        </row>
        <row r="350">
          <cell r="E350" t="str">
            <v>Aarav Sharma</v>
          </cell>
          <cell r="F350" t="str">
            <v>Corporate</v>
          </cell>
          <cell r="H350" t="str">
            <v>Karnataka</v>
          </cell>
          <cell r="I350" t="str">
            <v>Bengaluru</v>
          </cell>
          <cell r="J350" t="str">
            <v>Technology</v>
          </cell>
          <cell r="K350" t="str">
            <v>Phones</v>
          </cell>
          <cell r="T350" t="str">
            <v>Paid</v>
          </cell>
          <cell r="U350" t="str">
            <v>Completed</v>
          </cell>
        </row>
        <row r="351">
          <cell r="E351" t="str">
            <v>Kabir Singh</v>
          </cell>
          <cell r="F351" t="str">
            <v>Home Office</v>
          </cell>
          <cell r="H351" t="str">
            <v>Jharkhand</v>
          </cell>
          <cell r="I351" t="str">
            <v>Ranchi</v>
          </cell>
          <cell r="J351" t="str">
            <v>Furniture</v>
          </cell>
          <cell r="K351" t="str">
            <v>Furnishings</v>
          </cell>
          <cell r="T351" t="str">
            <v>Paid</v>
          </cell>
          <cell r="U351" t="str">
            <v>Completed</v>
          </cell>
        </row>
        <row r="352">
          <cell r="E352" t="str">
            <v>Sneha Kapoor</v>
          </cell>
          <cell r="F352" t="str">
            <v>Small Business</v>
          </cell>
          <cell r="H352" t="str">
            <v>Jharkhand</v>
          </cell>
          <cell r="I352" t="str">
            <v>Ranchi</v>
          </cell>
          <cell r="J352" t="str">
            <v>Furniture</v>
          </cell>
          <cell r="K352" t="str">
            <v>Furnishings</v>
          </cell>
          <cell r="T352" t="str">
            <v>Refunded</v>
          </cell>
          <cell r="U352" t="str">
            <v>Returned</v>
          </cell>
        </row>
        <row r="353">
          <cell r="E353" t="str">
            <v>Vikram Iyer</v>
          </cell>
          <cell r="F353" t="str">
            <v>Small Business</v>
          </cell>
          <cell r="H353" t="str">
            <v>Telangana</v>
          </cell>
          <cell r="I353" t="str">
            <v>Hyderabad</v>
          </cell>
          <cell r="J353" t="str">
            <v>Office Supplies</v>
          </cell>
          <cell r="K353" t="str">
            <v>Storage</v>
          </cell>
          <cell r="T353" t="str">
            <v>Pending</v>
          </cell>
          <cell r="U353" t="str">
            <v>Cancelled</v>
          </cell>
        </row>
        <row r="354">
          <cell r="E354" t="str">
            <v>Diya Patel</v>
          </cell>
          <cell r="F354" t="str">
            <v>Small Business</v>
          </cell>
          <cell r="H354" t="str">
            <v>Assam</v>
          </cell>
          <cell r="I354" t="str">
            <v>Guwahati</v>
          </cell>
          <cell r="J354" t="str">
            <v>Technology</v>
          </cell>
          <cell r="K354" t="str">
            <v>Copiers</v>
          </cell>
          <cell r="T354" t="str">
            <v>Paid</v>
          </cell>
          <cell r="U354" t="str">
            <v>Completed</v>
          </cell>
        </row>
        <row r="355">
          <cell r="E355" t="str">
            <v>Ananya Rao</v>
          </cell>
          <cell r="F355" t="str">
            <v>Consumer</v>
          </cell>
          <cell r="H355" t="str">
            <v>Rajasthan</v>
          </cell>
          <cell r="I355" t="str">
            <v>Jaipur</v>
          </cell>
          <cell r="J355" t="str">
            <v>Office Supplies</v>
          </cell>
          <cell r="K355" t="str">
            <v>Art</v>
          </cell>
          <cell r="T355" t="str">
            <v>Paid</v>
          </cell>
          <cell r="U355" t="str">
            <v>Completed</v>
          </cell>
        </row>
        <row r="356">
          <cell r="E356" t="str">
            <v>Kabir Singh</v>
          </cell>
          <cell r="F356" t="str">
            <v>corporate</v>
          </cell>
          <cell r="H356" t="str">
            <v>Punjab</v>
          </cell>
          <cell r="I356" t="str">
            <v>Ludhiana</v>
          </cell>
          <cell r="J356" t="str">
            <v>Furniture</v>
          </cell>
          <cell r="K356" t="str">
            <v>Furnishings</v>
          </cell>
          <cell r="T356" t="str">
            <v>Pending</v>
          </cell>
          <cell r="U356" t="str">
            <v>Cancelled</v>
          </cell>
        </row>
        <row r="357">
          <cell r="E357" t="str">
            <v>Priya Menon</v>
          </cell>
          <cell r="F357" t="str">
            <v>Corporate</v>
          </cell>
          <cell r="H357" t="str">
            <v>Rajasthan</v>
          </cell>
          <cell r="I357" t="str">
            <v>Udaipur</v>
          </cell>
          <cell r="J357" t="str">
            <v>Furniture</v>
          </cell>
          <cell r="K357" t="str">
            <v>Tables</v>
          </cell>
          <cell r="T357" t="str">
            <v>Pending</v>
          </cell>
          <cell r="U357" t="str">
            <v>Cancelled</v>
          </cell>
        </row>
        <row r="358">
          <cell r="E358" t="str">
            <v>Rohan Mehta</v>
          </cell>
          <cell r="F358" t="str">
            <v>Home Office</v>
          </cell>
          <cell r="H358" t="str">
            <v>Telangana</v>
          </cell>
          <cell r="I358" t="str">
            <v>Hyderabad</v>
          </cell>
          <cell r="J358" t="str">
            <v>Furniture</v>
          </cell>
          <cell r="K358" t="str">
            <v>Chairs</v>
          </cell>
          <cell r="T358" t="str">
            <v>Pending</v>
          </cell>
          <cell r="U358" t="str">
            <v>Returned</v>
          </cell>
        </row>
        <row r="359">
          <cell r="E359" t="str">
            <v>Mira Das</v>
          </cell>
          <cell r="F359" t="str">
            <v>Home Office</v>
          </cell>
          <cell r="H359" t="str">
            <v>Andhra Pradesh</v>
          </cell>
          <cell r="I359" t="str">
            <v>Vijayawada</v>
          </cell>
          <cell r="J359" t="str">
            <v>Technology</v>
          </cell>
          <cell r="K359" t="str">
            <v>Machines</v>
          </cell>
          <cell r="T359" t="str">
            <v>Paid</v>
          </cell>
          <cell r="U359" t="str">
            <v>Cancelled</v>
          </cell>
        </row>
        <row r="360">
          <cell r="E360" t="str">
            <v>Vikram Iyer</v>
          </cell>
          <cell r="F360" t="str">
            <v>Home Office</v>
          </cell>
          <cell r="H360" t="str">
            <v>Gujarat</v>
          </cell>
          <cell r="I360" t="str">
            <v>Ahmedabad</v>
          </cell>
          <cell r="J360" t="str">
            <v>Furniture</v>
          </cell>
          <cell r="K360" t="str">
            <v>Bookcases</v>
          </cell>
          <cell r="T360" t="str">
            <v>Pending</v>
          </cell>
          <cell r="U360" t="str">
            <v>Returned</v>
          </cell>
        </row>
        <row r="361">
          <cell r="E361" t="str">
            <v>Isha Nair</v>
          </cell>
          <cell r="F361" t="str">
            <v>Consumer</v>
          </cell>
          <cell r="H361" t="str">
            <v>Tamil Nadu</v>
          </cell>
          <cell r="I361" t="str">
            <v>Chennai</v>
          </cell>
          <cell r="J361" t="str">
            <v>Technology</v>
          </cell>
          <cell r="K361" t="str">
            <v>Phones</v>
          </cell>
          <cell r="T361" t="str">
            <v>Paid</v>
          </cell>
          <cell r="U361" t="str">
            <v>Completed</v>
          </cell>
        </row>
        <row r="362">
          <cell r="E362" t="str">
            <v>Sneha Kapoor</v>
          </cell>
          <cell r="F362" t="str">
            <v>Small Business</v>
          </cell>
          <cell r="H362" t="str">
            <v>Gujarat</v>
          </cell>
          <cell r="I362" t="str">
            <v>Ahmedabad</v>
          </cell>
          <cell r="J362" t="str">
            <v>Furniture</v>
          </cell>
          <cell r="K362" t="str">
            <v>Furnishings</v>
          </cell>
          <cell r="T362" t="str">
            <v>Refunded</v>
          </cell>
          <cell r="U362" t="str">
            <v>Cancelled</v>
          </cell>
        </row>
        <row r="363">
          <cell r="E363" t="str">
            <v>Rohan Mehta</v>
          </cell>
          <cell r="F363" t="str">
            <v>Corporate</v>
          </cell>
          <cell r="H363" t="str">
            <v>Odisha</v>
          </cell>
          <cell r="I363" t="str">
            <v>Bhubaneswar</v>
          </cell>
          <cell r="J363" t="str">
            <v>Furniture</v>
          </cell>
          <cell r="K363" t="str">
            <v>Chairs</v>
          </cell>
          <cell r="T363" t="str">
            <v>Pending</v>
          </cell>
          <cell r="U363" t="str">
            <v>Returned</v>
          </cell>
        </row>
        <row r="364">
          <cell r="E364" t="str">
            <v>Vikram Iyer</v>
          </cell>
          <cell r="F364" t="str">
            <v>Consumer</v>
          </cell>
          <cell r="H364" t="str">
            <v>Goa</v>
          </cell>
          <cell r="I364" t="str">
            <v>Panaji</v>
          </cell>
          <cell r="J364" t="str">
            <v>Technology</v>
          </cell>
          <cell r="K364" t="str">
            <v>Machines</v>
          </cell>
          <cell r="T364" t="str">
            <v>Paid</v>
          </cell>
          <cell r="U364" t="str">
            <v>Completed</v>
          </cell>
        </row>
        <row r="365">
          <cell r="E365" t="str">
            <v>Diya Patel</v>
          </cell>
          <cell r="F365" t="str">
            <v>Corporate</v>
          </cell>
          <cell r="H365" t="str">
            <v>West Bengal</v>
          </cell>
          <cell r="I365" t="str">
            <v>Kolkata</v>
          </cell>
          <cell r="J365" t="str">
            <v>Furniture</v>
          </cell>
          <cell r="K365" t="str">
            <v>Tables</v>
          </cell>
          <cell r="T365" t="str">
            <v>Paid</v>
          </cell>
          <cell r="U365" t="str">
            <v>Completed</v>
          </cell>
        </row>
        <row r="366">
          <cell r="E366" t="str">
            <v>Aarav Sharma</v>
          </cell>
          <cell r="F366" t="str">
            <v>Small Business</v>
          </cell>
          <cell r="H366" t="str">
            <v>Andhra Pradesh</v>
          </cell>
          <cell r="I366" t="str">
            <v>Vijayawada</v>
          </cell>
          <cell r="J366" t="str">
            <v>Furniture</v>
          </cell>
          <cell r="K366" t="str">
            <v>Chairs</v>
          </cell>
          <cell r="T366" t="str">
            <v>Paid</v>
          </cell>
          <cell r="U366" t="str">
            <v>Completed</v>
          </cell>
        </row>
        <row r="367">
          <cell r="E367" t="str">
            <v>Aditi Sen</v>
          </cell>
          <cell r="F367" t="str">
            <v>Corporate</v>
          </cell>
          <cell r="H367" t="str">
            <v>Goa</v>
          </cell>
          <cell r="I367" t="str">
            <v>Panaji</v>
          </cell>
          <cell r="J367" t="str">
            <v>Technology</v>
          </cell>
          <cell r="K367" t="str">
            <v>Accessories</v>
          </cell>
          <cell r="T367" t="str">
            <v>Paid</v>
          </cell>
          <cell r="U367" t="str">
            <v>Completed</v>
          </cell>
        </row>
        <row r="368">
          <cell r="E368" t="str">
            <v>Sneha Kapoor</v>
          </cell>
          <cell r="F368" t="str">
            <v>Corporate</v>
          </cell>
          <cell r="H368" t="str">
            <v>Rajasthan</v>
          </cell>
          <cell r="I368" t="str">
            <v>Jaipur</v>
          </cell>
          <cell r="J368" t="str">
            <v>Furniture</v>
          </cell>
          <cell r="K368" t="str">
            <v>Tables</v>
          </cell>
          <cell r="T368" t="str">
            <v>Paid</v>
          </cell>
          <cell r="U368" t="str">
            <v>Completed</v>
          </cell>
        </row>
        <row r="369">
          <cell r="E369" t="str">
            <v>Rohan Mehta</v>
          </cell>
          <cell r="F369" t="str">
            <v>Consumer</v>
          </cell>
          <cell r="H369" t="str">
            <v>Delhi</v>
          </cell>
          <cell r="I369" t="str">
            <v>New Delhi</v>
          </cell>
          <cell r="J369" t="str">
            <v>Office Supplies</v>
          </cell>
          <cell r="K369" t="str">
            <v>Art</v>
          </cell>
          <cell r="T369" t="str">
            <v>Failed</v>
          </cell>
          <cell r="U369" t="str">
            <v>Cancelled</v>
          </cell>
        </row>
        <row r="370">
          <cell r="E370" t="str">
            <v>Aarav Sharma</v>
          </cell>
          <cell r="F370" t="str">
            <v>Home Office</v>
          </cell>
          <cell r="H370" t="str">
            <v>Rajasthan</v>
          </cell>
          <cell r="I370" t="str">
            <v>Jaipur</v>
          </cell>
          <cell r="J370" t="str">
            <v>Technology</v>
          </cell>
          <cell r="K370" t="str">
            <v>Accessories</v>
          </cell>
          <cell r="T370" t="str">
            <v>Refunded</v>
          </cell>
          <cell r="U370" t="str">
            <v>Returned</v>
          </cell>
        </row>
        <row r="371">
          <cell r="E371" t="str">
            <v>Priya Menon</v>
          </cell>
          <cell r="F371" t="str">
            <v>Consumer</v>
          </cell>
          <cell r="H371" t="str">
            <v>Delhi</v>
          </cell>
          <cell r="I371" t="str">
            <v>New Delhi</v>
          </cell>
          <cell r="J371" t="str">
            <v>Office Supplies</v>
          </cell>
          <cell r="K371" t="str">
            <v>Labels</v>
          </cell>
          <cell r="T371" t="str">
            <v>Paid</v>
          </cell>
          <cell r="U371" t="str">
            <v>Completed</v>
          </cell>
        </row>
        <row r="372">
          <cell r="E372" t="str">
            <v>Ananya Rao</v>
          </cell>
          <cell r="F372" t="str">
            <v>Small Business</v>
          </cell>
          <cell r="H372" t="str">
            <v>Rajasthan</v>
          </cell>
          <cell r="I372" t="str">
            <v>Udaipur</v>
          </cell>
          <cell r="J372" t="str">
            <v>Technology</v>
          </cell>
          <cell r="K372" t="str">
            <v>Copiers</v>
          </cell>
          <cell r="T372" t="str">
            <v>Paid</v>
          </cell>
          <cell r="U372" t="str">
            <v>Completed</v>
          </cell>
        </row>
        <row r="373">
          <cell r="E373" t="str">
            <v>Diya Patel</v>
          </cell>
          <cell r="F373" t="str">
            <v>Home Office</v>
          </cell>
          <cell r="H373" t="str">
            <v>Maharashtra</v>
          </cell>
          <cell r="I373" t="str">
            <v>Mumbai</v>
          </cell>
          <cell r="J373" t="str">
            <v>Office Supplies</v>
          </cell>
          <cell r="K373" t="str">
            <v>Art</v>
          </cell>
          <cell r="T373" t="str">
            <v>Refunded</v>
          </cell>
          <cell r="U373" t="str">
            <v>Cancelled</v>
          </cell>
        </row>
        <row r="374">
          <cell r="E374" t="str">
            <v>Kabir Singh</v>
          </cell>
          <cell r="F374" t="str">
            <v>Consumer</v>
          </cell>
          <cell r="H374" t="str">
            <v>Jharkhand</v>
          </cell>
          <cell r="I374" t="str">
            <v>Ranchi</v>
          </cell>
          <cell r="J374" t="str">
            <v>Furniture</v>
          </cell>
          <cell r="K374" t="str">
            <v>Chairs</v>
          </cell>
          <cell r="T374" t="str">
            <v>Paid</v>
          </cell>
          <cell r="U374" t="str">
            <v>Completed</v>
          </cell>
        </row>
        <row r="375">
          <cell r="E375" t="str">
            <v>Sneha Kapoor</v>
          </cell>
          <cell r="F375" t="str">
            <v>Small Business</v>
          </cell>
          <cell r="H375" t="str">
            <v>Uttar Pradesh</v>
          </cell>
          <cell r="I375" t="str">
            <v>Noida</v>
          </cell>
          <cell r="J375" t="str">
            <v>Office Supplies</v>
          </cell>
          <cell r="K375" t="str">
            <v>Storage</v>
          </cell>
          <cell r="T375" t="str">
            <v>Paid</v>
          </cell>
          <cell r="U375" t="str">
            <v>Completed</v>
          </cell>
        </row>
        <row r="376">
          <cell r="E376" t="str">
            <v>Aditi Sen</v>
          </cell>
          <cell r="F376" t="str">
            <v>Small Business</v>
          </cell>
          <cell r="H376" t="str">
            <v>Uttar Pradesh</v>
          </cell>
          <cell r="I376" t="str">
            <v>Noida</v>
          </cell>
          <cell r="J376" t="str">
            <v>Office Supplies</v>
          </cell>
          <cell r="K376" t="str">
            <v>Labels</v>
          </cell>
          <cell r="T376" t="str">
            <v>Paid</v>
          </cell>
          <cell r="U376" t="str">
            <v>Completed</v>
          </cell>
        </row>
        <row r="377">
          <cell r="E377" t="str">
            <v>Vikram Iyer</v>
          </cell>
          <cell r="F377" t="str">
            <v>Consumer</v>
          </cell>
          <cell r="H377" t="str">
            <v>Delhi</v>
          </cell>
          <cell r="I377" t="str">
            <v>New Delhi</v>
          </cell>
          <cell r="J377" t="str">
            <v>Furniture</v>
          </cell>
          <cell r="K377" t="str">
            <v>Chairs</v>
          </cell>
          <cell r="T377" t="str">
            <v>Paid</v>
          </cell>
          <cell r="U377" t="str">
            <v>Completed</v>
          </cell>
        </row>
        <row r="378">
          <cell r="E378" t="str">
            <v>Isha Nair</v>
          </cell>
          <cell r="F378" t="str">
            <v>Small Business</v>
          </cell>
          <cell r="H378" t="str">
            <v>Bihar</v>
          </cell>
          <cell r="I378" t="str">
            <v>Patna</v>
          </cell>
          <cell r="J378" t="str">
            <v>Furniture</v>
          </cell>
          <cell r="K378" t="str">
            <v>Chairs</v>
          </cell>
          <cell r="T378" t="str">
            <v>Paid</v>
          </cell>
          <cell r="U378" t="str">
            <v>Completed</v>
          </cell>
        </row>
        <row r="379">
          <cell r="E379" t="str">
            <v>Kabir Singh</v>
          </cell>
          <cell r="F379" t="str">
            <v>Small Business</v>
          </cell>
          <cell r="H379" t="str">
            <v>Odisha</v>
          </cell>
          <cell r="I379" t="str">
            <v>Bhubaneswar</v>
          </cell>
          <cell r="J379" t="str">
            <v>Office Supplies</v>
          </cell>
          <cell r="K379" t="str">
            <v>storage</v>
          </cell>
          <cell r="T379" t="str">
            <v>Paid</v>
          </cell>
          <cell r="U379" t="str">
            <v>Completed</v>
          </cell>
        </row>
        <row r="380">
          <cell r="E380" t="str">
            <v>Mira Das</v>
          </cell>
          <cell r="F380" t="str">
            <v>Consumer</v>
          </cell>
          <cell r="H380" t="str">
            <v>Goa</v>
          </cell>
          <cell r="I380" t="str">
            <v>Panaji</v>
          </cell>
          <cell r="J380" t="str">
            <v>Technology</v>
          </cell>
          <cell r="K380" t="str">
            <v>Accessories</v>
          </cell>
          <cell r="T380" t="str">
            <v>Paid</v>
          </cell>
          <cell r="U380" t="str">
            <v>Completed</v>
          </cell>
        </row>
        <row r="381">
          <cell r="E381" t="str">
            <v>Mira Das</v>
          </cell>
          <cell r="F381" t="str">
            <v>Small Business</v>
          </cell>
          <cell r="H381" t="str">
            <v>Kerala</v>
          </cell>
          <cell r="I381" t="str">
            <v>Kochi</v>
          </cell>
          <cell r="J381" t="str">
            <v>Office Supplies</v>
          </cell>
          <cell r="K381" t="str">
            <v>Paper</v>
          </cell>
          <cell r="T381" t="str">
            <v>Paid</v>
          </cell>
          <cell r="U381" t="str">
            <v>Completed</v>
          </cell>
        </row>
        <row r="382">
          <cell r="E382" t="str">
            <v>Vikram Iyer</v>
          </cell>
          <cell r="F382" t="str">
            <v>Consumer</v>
          </cell>
          <cell r="H382" t="str">
            <v>Maharashtra</v>
          </cell>
          <cell r="I382" t="str">
            <v>Mumbai</v>
          </cell>
          <cell r="J382" t="str">
            <v>Furniture</v>
          </cell>
          <cell r="K382" t="str">
            <v>Bookcases</v>
          </cell>
          <cell r="T382" t="str">
            <v>Paid</v>
          </cell>
          <cell r="U382" t="str">
            <v>Returned</v>
          </cell>
        </row>
        <row r="383">
          <cell r="E383" t="str">
            <v>Arjun Bose</v>
          </cell>
          <cell r="F383" t="str">
            <v>HOME OFFICE</v>
          </cell>
          <cell r="H383" t="str">
            <v>Delhi</v>
          </cell>
          <cell r="I383" t="str">
            <v>New Delhi</v>
          </cell>
          <cell r="J383" t="str">
            <v>Office Supplies</v>
          </cell>
          <cell r="K383" t="str">
            <v>Binders</v>
          </cell>
          <cell r="T383" t="str">
            <v>Failed</v>
          </cell>
          <cell r="U383" t="str">
            <v>Cancelled</v>
          </cell>
        </row>
        <row r="384">
          <cell r="E384" t="str">
            <v>Arjun Bose</v>
          </cell>
          <cell r="F384" t="str">
            <v>Small Business</v>
          </cell>
          <cell r="H384" t="str">
            <v>Bihar</v>
          </cell>
          <cell r="I384" t="str">
            <v>Patna</v>
          </cell>
          <cell r="J384" t="str">
            <v>TECHNOLOGY</v>
          </cell>
          <cell r="K384" t="str">
            <v>Phones</v>
          </cell>
          <cell r="T384" t="str">
            <v>Paid</v>
          </cell>
          <cell r="U384" t="str">
            <v>Completed</v>
          </cell>
        </row>
        <row r="385">
          <cell r="E385" t="str">
            <v>Vikram Iyer</v>
          </cell>
          <cell r="F385" t="str">
            <v>Corporate</v>
          </cell>
          <cell r="H385" t="str">
            <v>West Bengal</v>
          </cell>
          <cell r="I385" t="str">
            <v>Kolkata</v>
          </cell>
          <cell r="J385" t="str">
            <v>Office Supplies</v>
          </cell>
          <cell r="K385" t="str">
            <v>Art</v>
          </cell>
          <cell r="T385" t="str">
            <v>Paid</v>
          </cell>
          <cell r="U385" t="str">
            <v>Cancelled</v>
          </cell>
        </row>
        <row r="386">
          <cell r="E386" t="str">
            <v>Rohan Mehta</v>
          </cell>
          <cell r="F386" t="str">
            <v>Consumer</v>
          </cell>
          <cell r="H386" t="str">
            <v>Jharkhand</v>
          </cell>
          <cell r="I386" t="str">
            <v>Ranchi</v>
          </cell>
          <cell r="J386" t="str">
            <v>Technology</v>
          </cell>
          <cell r="K386" t="str">
            <v>Copiers</v>
          </cell>
          <cell r="T386" t="str">
            <v>Paid</v>
          </cell>
          <cell r="U386" t="str">
            <v>Returned</v>
          </cell>
        </row>
        <row r="387">
          <cell r="E387" t="str">
            <v>Arjun Bose</v>
          </cell>
          <cell r="F387" t="str">
            <v>Consumer</v>
          </cell>
          <cell r="H387" t="str">
            <v>Haryana</v>
          </cell>
          <cell r="I387" t="str">
            <v>Gurugram</v>
          </cell>
          <cell r="J387" t="str">
            <v>Office Supplies</v>
          </cell>
          <cell r="K387" t="str">
            <v>Labels</v>
          </cell>
          <cell r="T387" t="str">
            <v>Paid</v>
          </cell>
          <cell r="U387" t="str">
            <v>Completed</v>
          </cell>
        </row>
        <row r="388">
          <cell r="E388" t="str">
            <v>Sneha Kapoor</v>
          </cell>
          <cell r="F388" t="str">
            <v>Consumer</v>
          </cell>
          <cell r="H388" t="str">
            <v>Maharashtra</v>
          </cell>
          <cell r="I388" t="str">
            <v>Mumbai</v>
          </cell>
          <cell r="J388" t="str">
            <v>Furniture</v>
          </cell>
          <cell r="K388" t="str">
            <v>Furnishings</v>
          </cell>
          <cell r="T388" t="str">
            <v>Paid</v>
          </cell>
          <cell r="U388" t="str">
            <v>Completed</v>
          </cell>
        </row>
        <row r="389">
          <cell r="E389" t="str">
            <v>Priya Menon</v>
          </cell>
          <cell r="F389" t="str">
            <v>Small Business</v>
          </cell>
          <cell r="H389" t="str">
            <v>Madhya Pradesh</v>
          </cell>
          <cell r="I389" t="str">
            <v>Indore</v>
          </cell>
          <cell r="J389" t="str">
            <v>Furniture</v>
          </cell>
          <cell r="K389" t="str">
            <v>Chairs</v>
          </cell>
          <cell r="T389" t="str">
            <v>Pending</v>
          </cell>
          <cell r="U389" t="str">
            <v>Cancelled</v>
          </cell>
        </row>
        <row r="390">
          <cell r="E390" t="str">
            <v>Isha Nair</v>
          </cell>
          <cell r="F390" t="str">
            <v>Small Business</v>
          </cell>
          <cell r="H390" t="str">
            <v>Gujarat</v>
          </cell>
          <cell r="I390" t="str">
            <v>Ahmedabad</v>
          </cell>
          <cell r="J390" t="str">
            <v>Furniture</v>
          </cell>
          <cell r="K390" t="str">
            <v>Chairs</v>
          </cell>
          <cell r="T390" t="str">
            <v>Paid</v>
          </cell>
          <cell r="U390" t="str">
            <v>Completed</v>
          </cell>
        </row>
        <row r="391">
          <cell r="E391" t="str">
            <v>Diya Patel</v>
          </cell>
          <cell r="F391" t="str">
            <v>Corporate</v>
          </cell>
          <cell r="H391" t="str">
            <v>Gujarat</v>
          </cell>
          <cell r="I391" t="str">
            <v>Ahmedabad</v>
          </cell>
          <cell r="J391" t="str">
            <v>Technology</v>
          </cell>
          <cell r="K391" t="str">
            <v>Machines</v>
          </cell>
          <cell r="T391" t="str">
            <v>Pending</v>
          </cell>
          <cell r="U391" t="str">
            <v>Cancelled</v>
          </cell>
        </row>
        <row r="392">
          <cell r="E392" t="str">
            <v>Isha Nair</v>
          </cell>
          <cell r="F392" t="str">
            <v>Consumer</v>
          </cell>
          <cell r="H392" t="str">
            <v>Gujarat</v>
          </cell>
          <cell r="I392" t="str">
            <v>Ahmedabad</v>
          </cell>
          <cell r="J392" t="str">
            <v>Furniture</v>
          </cell>
          <cell r="K392" t="str">
            <v>Furnishings</v>
          </cell>
          <cell r="T392" t="str">
            <v>Paid</v>
          </cell>
          <cell r="U392" t="str">
            <v>Completed</v>
          </cell>
        </row>
        <row r="393">
          <cell r="E393" t="str">
            <v>Diya Patel</v>
          </cell>
          <cell r="F393" t="str">
            <v>Consumer</v>
          </cell>
          <cell r="H393" t="str">
            <v>Karnataka</v>
          </cell>
          <cell r="I393" t="str">
            <v>Bengaluru</v>
          </cell>
          <cell r="J393" t="str">
            <v>Office Supplies</v>
          </cell>
          <cell r="K393" t="str">
            <v>Storage</v>
          </cell>
          <cell r="T393" t="str">
            <v>Paid</v>
          </cell>
          <cell r="U393" t="str">
            <v>Completed</v>
          </cell>
        </row>
        <row r="394">
          <cell r="E394" t="str">
            <v>Aditi Sen</v>
          </cell>
          <cell r="F394" t="str">
            <v>Small Business</v>
          </cell>
          <cell r="H394" t="str">
            <v>Kerala</v>
          </cell>
          <cell r="I394" t="str">
            <v>Kochi</v>
          </cell>
          <cell r="J394" t="str">
            <v>Furniture</v>
          </cell>
          <cell r="K394" t="str">
            <v>Furnishings</v>
          </cell>
          <cell r="T394" t="str">
            <v>Paid</v>
          </cell>
          <cell r="U394" t="str">
            <v>Completed</v>
          </cell>
        </row>
        <row r="395">
          <cell r="E395" t="str">
            <v>Mira Das</v>
          </cell>
          <cell r="F395" t="str">
            <v>Corporate</v>
          </cell>
          <cell r="H395" t="str">
            <v>Uttar Pradesh</v>
          </cell>
          <cell r="I395" t="str">
            <v>Noida</v>
          </cell>
          <cell r="J395" t="str">
            <v>Office Supplies</v>
          </cell>
          <cell r="K395" t="str">
            <v>Labels</v>
          </cell>
          <cell r="T395" t="str">
            <v>Paid</v>
          </cell>
          <cell r="U395" t="str">
            <v>Completed</v>
          </cell>
        </row>
        <row r="396">
          <cell r="E396" t="str">
            <v>Kabir Singh</v>
          </cell>
          <cell r="F396" t="str">
            <v>Consumer</v>
          </cell>
          <cell r="H396" t="str">
            <v>Maharashtra</v>
          </cell>
          <cell r="I396" t="str">
            <v>Mumbai</v>
          </cell>
          <cell r="J396" t="str">
            <v>Furniture</v>
          </cell>
          <cell r="K396" t="str">
            <v>Furnishings</v>
          </cell>
          <cell r="T396" t="str">
            <v>Paid</v>
          </cell>
          <cell r="U396" t="str">
            <v>Completed</v>
          </cell>
        </row>
        <row r="397">
          <cell r="E397" t="str">
            <v>Rahul Verma</v>
          </cell>
          <cell r="F397" t="str">
            <v>Home Office</v>
          </cell>
          <cell r="H397" t="str">
            <v>Tamil Nadu</v>
          </cell>
          <cell r="I397" t="str">
            <v>Chennai</v>
          </cell>
          <cell r="J397" t="str">
            <v>Furniture</v>
          </cell>
          <cell r="K397" t="str">
            <v>Tables</v>
          </cell>
          <cell r="T397" t="str">
            <v>Paid</v>
          </cell>
          <cell r="U397" t="str">
            <v>Completed</v>
          </cell>
        </row>
        <row r="398">
          <cell r="E398" t="str">
            <v>Aditi Sen</v>
          </cell>
          <cell r="F398" t="str">
            <v>Small Business</v>
          </cell>
          <cell r="H398" t="str">
            <v>Karnataka</v>
          </cell>
          <cell r="I398" t="str">
            <v>Bengaluru</v>
          </cell>
          <cell r="J398" t="str">
            <v>Technology</v>
          </cell>
          <cell r="K398" t="str">
            <v>Machines</v>
          </cell>
          <cell r="T398" t="str">
            <v>Paid</v>
          </cell>
          <cell r="U398" t="str">
            <v>Completed</v>
          </cell>
        </row>
        <row r="399">
          <cell r="E399" t="str">
            <v>Sneha Kapoor</v>
          </cell>
          <cell r="F399" t="str">
            <v>Small Business</v>
          </cell>
          <cell r="H399" t="str">
            <v>Uttar Pradesh</v>
          </cell>
          <cell r="I399" t="str">
            <v>Noida</v>
          </cell>
          <cell r="J399" t="str">
            <v>Furniture</v>
          </cell>
          <cell r="K399" t="str">
            <v>Tables</v>
          </cell>
          <cell r="T399" t="str">
            <v>Paid</v>
          </cell>
          <cell r="U399" t="str">
            <v>Completed</v>
          </cell>
        </row>
        <row r="400">
          <cell r="E400" t="str">
            <v>Vikram Iyer</v>
          </cell>
          <cell r="F400" t="str">
            <v>Corporate</v>
          </cell>
          <cell r="H400" t="str">
            <v>Punjab</v>
          </cell>
          <cell r="I400" t="str">
            <v>Ludhiana</v>
          </cell>
          <cell r="J400" t="str">
            <v>Technology</v>
          </cell>
          <cell r="K400" t="str">
            <v>Machines</v>
          </cell>
          <cell r="T400" t="str">
            <v>Paid</v>
          </cell>
          <cell r="U400" t="str">
            <v>Completed</v>
          </cell>
        </row>
        <row r="401">
          <cell r="E401" t="str">
            <v>Diya Patel</v>
          </cell>
          <cell r="F401" t="str">
            <v>Small Business</v>
          </cell>
          <cell r="H401" t="str">
            <v>Andhra Pradesh</v>
          </cell>
          <cell r="I401" t="str">
            <v>Vijayawada</v>
          </cell>
          <cell r="J401" t="str">
            <v>Office Supplies</v>
          </cell>
          <cell r="K401" t="str">
            <v>Paper</v>
          </cell>
          <cell r="T401" t="str">
            <v>Paid</v>
          </cell>
          <cell r="U401" t="str">
            <v>Completed</v>
          </cell>
        </row>
        <row r="402">
          <cell r="E402" t="str">
            <v>Sneha Kapoor</v>
          </cell>
          <cell r="F402" t="str">
            <v>Small Business</v>
          </cell>
          <cell r="H402" t="str">
            <v>Uttar Pradesh</v>
          </cell>
          <cell r="I402" t="str">
            <v>Noida</v>
          </cell>
          <cell r="J402" t="str">
            <v>Office Supplies</v>
          </cell>
          <cell r="K402" t="str">
            <v>Paper</v>
          </cell>
          <cell r="T402" t="str">
            <v>Paid</v>
          </cell>
          <cell r="U402" t="str">
            <v>Completed</v>
          </cell>
        </row>
        <row r="403">
          <cell r="E403" t="str">
            <v>Arjun Bose</v>
          </cell>
          <cell r="F403" t="str">
            <v>Small Business</v>
          </cell>
          <cell r="H403" t="str">
            <v>Jharkhand</v>
          </cell>
          <cell r="I403" t="str">
            <v>Ranchi</v>
          </cell>
          <cell r="J403" t="str">
            <v>Furniture</v>
          </cell>
          <cell r="K403" t="str">
            <v>Tables</v>
          </cell>
          <cell r="T403" t="str">
            <v>Paid</v>
          </cell>
          <cell r="U403" t="str">
            <v>Completed</v>
          </cell>
        </row>
        <row r="404">
          <cell r="E404" t="str">
            <v>Priya Menon</v>
          </cell>
          <cell r="F404" t="str">
            <v>Small Business</v>
          </cell>
          <cell r="H404" t="str">
            <v>Karnataka</v>
          </cell>
          <cell r="I404" t="str">
            <v>Bengaluru</v>
          </cell>
          <cell r="J404" t="str">
            <v>Furniture</v>
          </cell>
          <cell r="K404" t="str">
            <v>Tables</v>
          </cell>
          <cell r="T404" t="str">
            <v>Paid</v>
          </cell>
          <cell r="U404" t="str">
            <v>Completed</v>
          </cell>
        </row>
        <row r="405">
          <cell r="E405" t="str">
            <v>Arjun Bose</v>
          </cell>
          <cell r="F405" t="str">
            <v>Small Business</v>
          </cell>
          <cell r="H405" t="str">
            <v>Kerala</v>
          </cell>
          <cell r="I405" t="str">
            <v>Kochi</v>
          </cell>
          <cell r="J405" t="str">
            <v>Office Supplies</v>
          </cell>
          <cell r="K405" t="str">
            <v>PAPER</v>
          </cell>
          <cell r="T405" t="str">
            <v>Paid</v>
          </cell>
          <cell r="U405" t="str">
            <v>Returned</v>
          </cell>
        </row>
        <row r="406">
          <cell r="E406" t="str">
            <v>Aditi Sen</v>
          </cell>
          <cell r="F406" t="str">
            <v>Corporate</v>
          </cell>
          <cell r="H406" t="str">
            <v>Rajasthan</v>
          </cell>
          <cell r="I406" t="str">
            <v>Udaipur</v>
          </cell>
          <cell r="J406" t="str">
            <v>Furniture</v>
          </cell>
          <cell r="K406" t="str">
            <v>Chairs</v>
          </cell>
          <cell r="T406" t="str">
            <v>Paid</v>
          </cell>
          <cell r="U406" t="str">
            <v>Completed</v>
          </cell>
        </row>
        <row r="407">
          <cell r="E407" t="str">
            <v>Aditi Sen</v>
          </cell>
          <cell r="F407" t="str">
            <v>Home Office</v>
          </cell>
          <cell r="H407" t="str">
            <v>Gujarat</v>
          </cell>
          <cell r="I407" t="str">
            <v>Ahmedabad</v>
          </cell>
          <cell r="J407" t="str">
            <v>Furniture</v>
          </cell>
          <cell r="K407" t="str">
            <v>Bookcases</v>
          </cell>
          <cell r="T407" t="str">
            <v>Paid</v>
          </cell>
          <cell r="U407" t="str">
            <v>Completed</v>
          </cell>
        </row>
        <row r="408">
          <cell r="E408" t="str">
            <v>Kabir Singh</v>
          </cell>
          <cell r="F408" t="str">
            <v>Small Business</v>
          </cell>
          <cell r="H408" t="str">
            <v>Goa</v>
          </cell>
          <cell r="I408" t="str">
            <v>Panaji</v>
          </cell>
          <cell r="J408" t="str">
            <v>Furniture</v>
          </cell>
          <cell r="K408" t="str">
            <v>Furnishings</v>
          </cell>
          <cell r="T408" t="str">
            <v>Pending</v>
          </cell>
          <cell r="U408" t="str">
            <v>Returned</v>
          </cell>
        </row>
        <row r="409">
          <cell r="E409" t="str">
            <v>Rahul Verma</v>
          </cell>
          <cell r="F409" t="str">
            <v>Corporate</v>
          </cell>
          <cell r="H409" t="str">
            <v>Goa</v>
          </cell>
          <cell r="I409" t="str">
            <v>Panaji</v>
          </cell>
          <cell r="J409" t="str">
            <v>Office Supplies</v>
          </cell>
          <cell r="K409" t="str">
            <v>Labels</v>
          </cell>
          <cell r="T409" t="str">
            <v>Paid</v>
          </cell>
          <cell r="U409" t="str">
            <v>Completed</v>
          </cell>
        </row>
        <row r="410">
          <cell r="E410" t="str">
            <v>Sneha Kapoor</v>
          </cell>
          <cell r="F410" t="str">
            <v>Consumer</v>
          </cell>
          <cell r="H410" t="str">
            <v>Maharashtra</v>
          </cell>
          <cell r="I410" t="str">
            <v>Mumbai</v>
          </cell>
          <cell r="J410" t="str">
            <v>Furniture</v>
          </cell>
          <cell r="K410" t="str">
            <v>Chairs</v>
          </cell>
          <cell r="T410" t="str">
            <v>Failed</v>
          </cell>
          <cell r="U410" t="str">
            <v>Returned</v>
          </cell>
        </row>
        <row r="411">
          <cell r="E411" t="str">
            <v>Karan Malhotra</v>
          </cell>
          <cell r="F411" t="str">
            <v>Consumer</v>
          </cell>
          <cell r="H411" t="str">
            <v>Assam</v>
          </cell>
          <cell r="I411" t="str">
            <v>Guwahati</v>
          </cell>
          <cell r="J411" t="str">
            <v>Technology</v>
          </cell>
          <cell r="K411" t="str">
            <v>Accessories</v>
          </cell>
          <cell r="T411" t="str">
            <v>Refunded</v>
          </cell>
          <cell r="U411" t="str">
            <v>Returned</v>
          </cell>
        </row>
        <row r="412">
          <cell r="E412" t="str">
            <v>Diya Patel</v>
          </cell>
          <cell r="F412" t="str">
            <v>Consumer</v>
          </cell>
          <cell r="H412" t="str">
            <v>Goa</v>
          </cell>
          <cell r="I412" t="str">
            <v>Panaji</v>
          </cell>
          <cell r="J412" t="str">
            <v>Furniture</v>
          </cell>
          <cell r="K412" t="str">
            <v>Tables</v>
          </cell>
          <cell r="T412" t="str">
            <v>Paid</v>
          </cell>
          <cell r="U412" t="str">
            <v>Completed</v>
          </cell>
        </row>
        <row r="413">
          <cell r="E413" t="str">
            <v>Arjun Bose</v>
          </cell>
          <cell r="F413" t="str">
            <v>Home Office</v>
          </cell>
          <cell r="H413" t="str">
            <v>Rajasthan</v>
          </cell>
          <cell r="I413" t="str">
            <v>Udaipur</v>
          </cell>
          <cell r="J413" t="str">
            <v>Furniture</v>
          </cell>
          <cell r="K413" t="str">
            <v>Tables</v>
          </cell>
          <cell r="T413" t="str">
            <v>Failed</v>
          </cell>
          <cell r="U413" t="str">
            <v>Returned</v>
          </cell>
        </row>
        <row r="414">
          <cell r="E414" t="str">
            <v>Isha Nair</v>
          </cell>
          <cell r="F414" t="str">
            <v>Corporate</v>
          </cell>
          <cell r="H414" t="str">
            <v>Karnataka</v>
          </cell>
          <cell r="I414" t="str">
            <v>Bengaluru</v>
          </cell>
          <cell r="J414" t="str">
            <v>Furniture</v>
          </cell>
          <cell r="K414" t="str">
            <v>Chairs</v>
          </cell>
          <cell r="T414" t="str">
            <v>Paid</v>
          </cell>
          <cell r="U414" t="str">
            <v>Completed</v>
          </cell>
        </row>
        <row r="415">
          <cell r="E415" t="str">
            <v>Neha Gupta</v>
          </cell>
          <cell r="F415" t="str">
            <v>Home Office</v>
          </cell>
          <cell r="H415" t="str">
            <v>Madhya Pradesh</v>
          </cell>
          <cell r="I415" t="str">
            <v>Indore</v>
          </cell>
          <cell r="J415" t="str">
            <v>Technology</v>
          </cell>
          <cell r="K415" t="str">
            <v>Accessories</v>
          </cell>
          <cell r="T415" t="str">
            <v>Pending</v>
          </cell>
          <cell r="U415" t="str">
            <v>Cancelled</v>
          </cell>
        </row>
        <row r="416">
          <cell r="E416" t="str">
            <v>Arjun Bose</v>
          </cell>
          <cell r="F416" t="str">
            <v>Home Office</v>
          </cell>
          <cell r="H416" t="str">
            <v>Assam</v>
          </cell>
          <cell r="I416" t="str">
            <v>Guwahati</v>
          </cell>
          <cell r="J416" t="str">
            <v>Office Supplies</v>
          </cell>
          <cell r="K416" t="str">
            <v>Storage</v>
          </cell>
          <cell r="T416" t="str">
            <v>Paid</v>
          </cell>
          <cell r="U416" t="str">
            <v>Completed</v>
          </cell>
        </row>
        <row r="417">
          <cell r="E417" t="str">
            <v>Aarav Sharma</v>
          </cell>
          <cell r="F417" t="str">
            <v>Corporate</v>
          </cell>
          <cell r="H417" t="str">
            <v>Karnataka</v>
          </cell>
          <cell r="I417" t="str">
            <v>Bengaluru</v>
          </cell>
          <cell r="J417" t="str">
            <v>Office Supplies</v>
          </cell>
          <cell r="K417" t="str">
            <v>Storage</v>
          </cell>
          <cell r="T417" t="str">
            <v>Paid</v>
          </cell>
          <cell r="U417" t="str">
            <v>Returned</v>
          </cell>
        </row>
        <row r="418">
          <cell r="E418" t="str">
            <v>Neha Gupta</v>
          </cell>
          <cell r="F418" t="str">
            <v>Consumer</v>
          </cell>
          <cell r="H418" t="str">
            <v>Telangana</v>
          </cell>
          <cell r="I418" t="str">
            <v>Hyderabad</v>
          </cell>
          <cell r="J418" t="str">
            <v>Furniture</v>
          </cell>
          <cell r="K418" t="str">
            <v>Furnishings</v>
          </cell>
          <cell r="T418" t="str">
            <v>Paid</v>
          </cell>
          <cell r="U418" t="str">
            <v>Completed</v>
          </cell>
        </row>
        <row r="419">
          <cell r="E419" t="str">
            <v>Mira Das</v>
          </cell>
          <cell r="F419" t="str">
            <v>Consumer</v>
          </cell>
          <cell r="H419" t="str">
            <v>Gujarat</v>
          </cell>
          <cell r="I419" t="str">
            <v>Ahmedabad</v>
          </cell>
          <cell r="J419" t="str">
            <v>Office Supplies</v>
          </cell>
          <cell r="K419" t="str">
            <v>Art</v>
          </cell>
          <cell r="T419" t="str">
            <v>Paid</v>
          </cell>
          <cell r="U419" t="str">
            <v>Completed</v>
          </cell>
        </row>
        <row r="420">
          <cell r="E420" t="str">
            <v>Sneha Kapoor</v>
          </cell>
          <cell r="F420" t="str">
            <v>Corporate</v>
          </cell>
          <cell r="H420" t="str">
            <v>Odisha</v>
          </cell>
          <cell r="I420" t="str">
            <v>Bhubaneswar</v>
          </cell>
          <cell r="J420" t="str">
            <v>Technology</v>
          </cell>
          <cell r="K420" t="str">
            <v>Copiers</v>
          </cell>
          <cell r="T420" t="str">
            <v>Failed</v>
          </cell>
          <cell r="U420" t="str">
            <v>Cancelled</v>
          </cell>
        </row>
        <row r="421">
          <cell r="E421" t="str">
            <v>Sneha Kapoor</v>
          </cell>
          <cell r="F421" t="str">
            <v>Home Office</v>
          </cell>
          <cell r="H421" t="str">
            <v>Haryana</v>
          </cell>
          <cell r="I421" t="str">
            <v>Gurugram</v>
          </cell>
          <cell r="J421" t="str">
            <v>Technology</v>
          </cell>
          <cell r="K421" t="str">
            <v>Phones</v>
          </cell>
          <cell r="T421" t="str">
            <v>Paid</v>
          </cell>
          <cell r="U421" t="str">
            <v>Completed</v>
          </cell>
        </row>
        <row r="422">
          <cell r="E422" t="str">
            <v>Isha Nair</v>
          </cell>
          <cell r="F422" t="str">
            <v>Corporate</v>
          </cell>
          <cell r="H422" t="str">
            <v>Tamil Nadu</v>
          </cell>
          <cell r="I422" t="str">
            <v>Chennai</v>
          </cell>
          <cell r="J422" t="str">
            <v>Technology</v>
          </cell>
          <cell r="K422" t="str">
            <v>Machines</v>
          </cell>
          <cell r="T422" t="str">
            <v>Pending</v>
          </cell>
          <cell r="U422" t="str">
            <v>Cancelled</v>
          </cell>
        </row>
        <row r="423">
          <cell r="E423" t="str">
            <v>Rohan Mehta</v>
          </cell>
          <cell r="F423" t="str">
            <v>Small Business</v>
          </cell>
          <cell r="H423" t="str">
            <v>Delhi</v>
          </cell>
          <cell r="I423" t="str">
            <v>New Delhi</v>
          </cell>
          <cell r="J423" t="str">
            <v>Office Supplies</v>
          </cell>
          <cell r="K423" t="str">
            <v>Binders</v>
          </cell>
          <cell r="T423" t="str">
            <v>Pending</v>
          </cell>
          <cell r="U423" t="str">
            <v>Returned</v>
          </cell>
        </row>
        <row r="424">
          <cell r="E424" t="str">
            <v>Kabir Singh</v>
          </cell>
          <cell r="F424" t="str">
            <v>Consumer</v>
          </cell>
          <cell r="H424" t="str">
            <v>Madhya Pradesh</v>
          </cell>
          <cell r="I424" t="str">
            <v>Indore</v>
          </cell>
          <cell r="J424" t="str">
            <v>Technology</v>
          </cell>
          <cell r="K424" t="str">
            <v>Copiers</v>
          </cell>
          <cell r="T424" t="str">
            <v>Paid</v>
          </cell>
          <cell r="U424" t="str">
            <v>Completed</v>
          </cell>
        </row>
        <row r="425">
          <cell r="E425" t="str">
            <v>Diya Patel</v>
          </cell>
          <cell r="F425" t="str">
            <v>Consumer</v>
          </cell>
          <cell r="H425" t="str">
            <v>Kerala</v>
          </cell>
          <cell r="I425" t="str">
            <v>Kochi</v>
          </cell>
          <cell r="J425" t="str">
            <v>Technology</v>
          </cell>
          <cell r="K425" t="str">
            <v>Accessories</v>
          </cell>
          <cell r="T425" t="str">
            <v>Paid</v>
          </cell>
          <cell r="U425" t="str">
            <v>Completed</v>
          </cell>
        </row>
        <row r="426">
          <cell r="E426" t="str">
            <v>Neha Gupta</v>
          </cell>
          <cell r="F426" t="str">
            <v>Corporate</v>
          </cell>
          <cell r="H426" t="str">
            <v>Punjab</v>
          </cell>
          <cell r="I426" t="str">
            <v>Ludhiana</v>
          </cell>
          <cell r="J426" t="str">
            <v>Technology</v>
          </cell>
          <cell r="K426" t="str">
            <v>Phones</v>
          </cell>
          <cell r="T426" t="str">
            <v>Paid</v>
          </cell>
          <cell r="U426" t="str">
            <v>Completed</v>
          </cell>
        </row>
        <row r="427">
          <cell r="E427" t="str">
            <v>Isha Nair</v>
          </cell>
          <cell r="F427" t="str">
            <v>Home Office</v>
          </cell>
          <cell r="H427" t="str">
            <v>Delhi</v>
          </cell>
          <cell r="I427" t="str">
            <v>New Delhi</v>
          </cell>
          <cell r="J427" t="str">
            <v>Office Supplies</v>
          </cell>
          <cell r="K427" t="str">
            <v>Labels</v>
          </cell>
          <cell r="T427" t="str">
            <v>Refunded</v>
          </cell>
          <cell r="U427" t="str">
            <v>Cancelled</v>
          </cell>
        </row>
        <row r="428">
          <cell r="E428" t="str">
            <v>Aditi Sen</v>
          </cell>
          <cell r="F428" t="str">
            <v>Consumer</v>
          </cell>
          <cell r="H428" t="str">
            <v>Haryana</v>
          </cell>
          <cell r="I428" t="str">
            <v>Gurugram</v>
          </cell>
          <cell r="J428" t="str">
            <v>Technology</v>
          </cell>
          <cell r="K428" t="str">
            <v>Copiers</v>
          </cell>
          <cell r="T428" t="str">
            <v>Paid</v>
          </cell>
          <cell r="U428" t="str">
            <v>Completed</v>
          </cell>
        </row>
        <row r="429">
          <cell r="E429" t="str">
            <v>Isha Nair</v>
          </cell>
          <cell r="F429" t="str">
            <v>Corporate</v>
          </cell>
          <cell r="H429" t="str">
            <v>Jharkhand</v>
          </cell>
          <cell r="I429" t="str">
            <v>Ranchi</v>
          </cell>
          <cell r="J429" t="str">
            <v>Technology</v>
          </cell>
          <cell r="K429" t="str">
            <v>Accessories</v>
          </cell>
          <cell r="T429" t="str">
            <v>Paid</v>
          </cell>
          <cell r="U429" t="str">
            <v>Completed</v>
          </cell>
        </row>
        <row r="430">
          <cell r="E430" t="str">
            <v>Karan Malhotra</v>
          </cell>
          <cell r="F430" t="str">
            <v>Small Business</v>
          </cell>
          <cell r="H430" t="str">
            <v>West Bengal</v>
          </cell>
          <cell r="I430" t="str">
            <v>Kolkata</v>
          </cell>
          <cell r="J430" t="str">
            <v>Technology</v>
          </cell>
          <cell r="K430" t="str">
            <v>Phones</v>
          </cell>
          <cell r="T430" t="str">
            <v>Pending</v>
          </cell>
          <cell r="U430" t="str">
            <v>Cancelled</v>
          </cell>
        </row>
        <row r="431">
          <cell r="E431" t="str">
            <v>Neha Gupta</v>
          </cell>
          <cell r="F431" t="str">
            <v>Home Office</v>
          </cell>
          <cell r="H431" t="str">
            <v>Rajasthan</v>
          </cell>
          <cell r="I431" t="str">
            <v>Jaipur</v>
          </cell>
          <cell r="J431" t="str">
            <v>Technology</v>
          </cell>
          <cell r="K431" t="str">
            <v>Copiers</v>
          </cell>
          <cell r="T431" t="str">
            <v>Paid</v>
          </cell>
          <cell r="U431" t="str">
            <v>Completed</v>
          </cell>
        </row>
        <row r="432">
          <cell r="E432" t="str">
            <v>Neha Gupta</v>
          </cell>
          <cell r="F432" t="str">
            <v>Small Business</v>
          </cell>
          <cell r="H432" t="str">
            <v>Haryana</v>
          </cell>
          <cell r="I432" t="str">
            <v>Gurugram</v>
          </cell>
          <cell r="J432" t="str">
            <v>Office Supplies</v>
          </cell>
          <cell r="K432" t="str">
            <v>Paper</v>
          </cell>
          <cell r="T432" t="str">
            <v>Paid</v>
          </cell>
          <cell r="U432" t="str">
            <v>Completed</v>
          </cell>
        </row>
        <row r="433">
          <cell r="E433" t="str">
            <v>Karan Malhotra</v>
          </cell>
          <cell r="F433" t="str">
            <v>Home Office</v>
          </cell>
          <cell r="H433" t="str">
            <v>Goa</v>
          </cell>
          <cell r="I433" t="str">
            <v>Panaji</v>
          </cell>
          <cell r="J433" t="str">
            <v>Technology</v>
          </cell>
          <cell r="K433" t="str">
            <v>Machines</v>
          </cell>
          <cell r="T433" t="str">
            <v>Paid</v>
          </cell>
          <cell r="U433" t="str">
            <v>Completed</v>
          </cell>
        </row>
        <row r="434">
          <cell r="E434" t="str">
            <v>Priya Menon</v>
          </cell>
          <cell r="F434" t="str">
            <v>Small Business</v>
          </cell>
          <cell r="H434" t="str">
            <v>Maharashtra</v>
          </cell>
          <cell r="I434" t="str">
            <v>Mumbai</v>
          </cell>
          <cell r="J434" t="str">
            <v>Furniture</v>
          </cell>
          <cell r="K434" t="str">
            <v>Bookcases</v>
          </cell>
          <cell r="T434" t="str">
            <v>Paid</v>
          </cell>
          <cell r="U434" t="str">
            <v>Completed</v>
          </cell>
        </row>
        <row r="435">
          <cell r="E435" t="str">
            <v>Priya Menon</v>
          </cell>
          <cell r="F435" t="str">
            <v>Corporate</v>
          </cell>
          <cell r="H435" t="str">
            <v>Kerala</v>
          </cell>
          <cell r="I435" t="str">
            <v>Kochi</v>
          </cell>
          <cell r="J435" t="str">
            <v>Office Supplies</v>
          </cell>
          <cell r="K435" t="str">
            <v>Art</v>
          </cell>
          <cell r="T435" t="str">
            <v>Refunded</v>
          </cell>
          <cell r="U435" t="str">
            <v>Returned</v>
          </cell>
        </row>
        <row r="436">
          <cell r="E436" t="str">
            <v>Mira Das</v>
          </cell>
          <cell r="F436" t="str">
            <v>Home Office</v>
          </cell>
          <cell r="H436" t="str">
            <v>Uttar Pradesh</v>
          </cell>
          <cell r="I436" t="str">
            <v>Noida</v>
          </cell>
          <cell r="J436" t="str">
            <v>Technology</v>
          </cell>
          <cell r="K436" t="str">
            <v>Accessories</v>
          </cell>
          <cell r="T436" t="str">
            <v>Paid</v>
          </cell>
          <cell r="U436" t="str">
            <v>Completed</v>
          </cell>
        </row>
        <row r="437">
          <cell r="E437" t="str">
            <v>Kabir Singh</v>
          </cell>
          <cell r="F437" t="str">
            <v>Home Office</v>
          </cell>
          <cell r="H437" t="str">
            <v>Delhi</v>
          </cell>
          <cell r="I437" t="str">
            <v>New Delhi</v>
          </cell>
          <cell r="J437" t="str">
            <v>Technology</v>
          </cell>
          <cell r="K437" t="str">
            <v>Machines</v>
          </cell>
          <cell r="T437" t="str">
            <v>Paid</v>
          </cell>
          <cell r="U437" t="str">
            <v>Cancelled</v>
          </cell>
        </row>
        <row r="438">
          <cell r="E438" t="str">
            <v>Neha Gupta</v>
          </cell>
          <cell r="F438" t="str">
            <v>Consumer</v>
          </cell>
          <cell r="H438" t="str">
            <v>Kerala</v>
          </cell>
          <cell r="I438" t="str">
            <v>Kochi</v>
          </cell>
          <cell r="J438" t="str">
            <v>Furniture</v>
          </cell>
          <cell r="K438" t="str">
            <v>Furnishings</v>
          </cell>
          <cell r="T438" t="str">
            <v>Paid</v>
          </cell>
          <cell r="U438" t="str">
            <v>Returned</v>
          </cell>
        </row>
        <row r="439">
          <cell r="E439" t="str">
            <v>Aditi Sen</v>
          </cell>
          <cell r="F439" t="str">
            <v>Small Business</v>
          </cell>
          <cell r="H439" t="str">
            <v>Kerala</v>
          </cell>
          <cell r="I439" t="str">
            <v>Kochi</v>
          </cell>
          <cell r="J439" t="str">
            <v>Technology</v>
          </cell>
          <cell r="K439" t="str">
            <v>Accessories</v>
          </cell>
          <cell r="T439" t="str">
            <v>Failed</v>
          </cell>
          <cell r="U439" t="str">
            <v>Returned</v>
          </cell>
        </row>
        <row r="440">
          <cell r="E440" t="str">
            <v>Neha Gupta</v>
          </cell>
          <cell r="F440" t="str">
            <v>Corporate</v>
          </cell>
          <cell r="H440" t="str">
            <v>Jharkhand</v>
          </cell>
          <cell r="I440" t="str">
            <v>Ranchi</v>
          </cell>
          <cell r="J440" t="str">
            <v>Technology</v>
          </cell>
          <cell r="K440" t="str">
            <v>Phones</v>
          </cell>
          <cell r="T440" t="str">
            <v>Paid</v>
          </cell>
          <cell r="U440" t="str">
            <v>Completed</v>
          </cell>
        </row>
        <row r="441">
          <cell r="E441" t="str">
            <v>Aarav Sharma</v>
          </cell>
          <cell r="F441" t="str">
            <v>Home Office</v>
          </cell>
          <cell r="H441" t="str">
            <v>Goa</v>
          </cell>
          <cell r="I441" t="str">
            <v>Panaji</v>
          </cell>
          <cell r="J441" t="str">
            <v>Office Supplies</v>
          </cell>
          <cell r="K441" t="str">
            <v>Storage</v>
          </cell>
          <cell r="T441" t="str">
            <v>Refunded</v>
          </cell>
          <cell r="U441" t="str">
            <v>Returned</v>
          </cell>
        </row>
        <row r="442">
          <cell r="E442" t="str">
            <v>Vikram Iyer</v>
          </cell>
          <cell r="F442" t="str">
            <v>Corporate</v>
          </cell>
          <cell r="H442" t="str">
            <v>Odisha</v>
          </cell>
          <cell r="I442" t="str">
            <v>Bhubaneswar</v>
          </cell>
          <cell r="J442" t="str">
            <v>Technology</v>
          </cell>
          <cell r="K442" t="str">
            <v>Machines</v>
          </cell>
          <cell r="T442" t="str">
            <v>Paid</v>
          </cell>
          <cell r="U442" t="str">
            <v>Completed</v>
          </cell>
        </row>
        <row r="443">
          <cell r="E443" t="str">
            <v>Karan Malhotra</v>
          </cell>
          <cell r="F443" t="str">
            <v>Consumer</v>
          </cell>
          <cell r="H443" t="str">
            <v>Bihar</v>
          </cell>
          <cell r="I443" t="str">
            <v>Patna</v>
          </cell>
          <cell r="J443" t="str">
            <v>Furniture</v>
          </cell>
          <cell r="K443" t="str">
            <v>Bookcases</v>
          </cell>
          <cell r="T443" t="str">
            <v>Paid</v>
          </cell>
          <cell r="U443" t="str">
            <v>Cancelled</v>
          </cell>
        </row>
        <row r="444">
          <cell r="E444" t="str">
            <v>Aarav Sharma</v>
          </cell>
          <cell r="F444" t="str">
            <v>Consumer</v>
          </cell>
          <cell r="H444" t="str">
            <v>Jharkhand</v>
          </cell>
          <cell r="I444" t="str">
            <v>Ranchi</v>
          </cell>
          <cell r="J444" t="str">
            <v>Furniture</v>
          </cell>
          <cell r="K444" t="str">
            <v>Tables</v>
          </cell>
          <cell r="T444" t="str">
            <v>Paid</v>
          </cell>
          <cell r="U444" t="str">
            <v>Completed</v>
          </cell>
        </row>
        <row r="445">
          <cell r="E445" t="str">
            <v>Rohan Mehta</v>
          </cell>
          <cell r="F445" t="str">
            <v>Home Office</v>
          </cell>
          <cell r="H445" t="str">
            <v>Odisha</v>
          </cell>
          <cell r="I445" t="str">
            <v>Bhubaneswar</v>
          </cell>
          <cell r="J445" t="str">
            <v>Furniture</v>
          </cell>
          <cell r="K445" t="str">
            <v>Furnishings</v>
          </cell>
          <cell r="T445" t="str">
            <v>Paid</v>
          </cell>
          <cell r="U445" t="str">
            <v>Completed</v>
          </cell>
        </row>
        <row r="446">
          <cell r="E446" t="str">
            <v>Ananya Rao</v>
          </cell>
          <cell r="F446" t="str">
            <v>Consumer</v>
          </cell>
          <cell r="H446" t="str">
            <v>Assam</v>
          </cell>
          <cell r="I446" t="str">
            <v>Guwahati</v>
          </cell>
          <cell r="J446" t="str">
            <v>Technology</v>
          </cell>
          <cell r="K446" t="str">
            <v>Accessories</v>
          </cell>
          <cell r="T446" t="str">
            <v>Paid</v>
          </cell>
          <cell r="U446" t="str">
            <v>Completed</v>
          </cell>
        </row>
        <row r="447">
          <cell r="E447" t="str">
            <v>Arjun Bose</v>
          </cell>
          <cell r="F447" t="str">
            <v>Consumer</v>
          </cell>
          <cell r="H447" t="str">
            <v>Assam</v>
          </cell>
          <cell r="I447" t="str">
            <v>Guwahati</v>
          </cell>
          <cell r="J447" t="str">
            <v>Furniture</v>
          </cell>
          <cell r="K447" t="str">
            <v>Bookcases</v>
          </cell>
          <cell r="T447" t="str">
            <v>Paid</v>
          </cell>
          <cell r="U447" t="str">
            <v>Completed</v>
          </cell>
        </row>
        <row r="448">
          <cell r="E448" t="str">
            <v>Sneha Kapoor</v>
          </cell>
          <cell r="F448" t="str">
            <v>Home Office</v>
          </cell>
          <cell r="H448" t="str">
            <v>Andhra Pradesh</v>
          </cell>
          <cell r="I448" t="str">
            <v>Vijayawada</v>
          </cell>
          <cell r="J448" t="str">
            <v>Office Supplies</v>
          </cell>
          <cell r="K448" t="str">
            <v>Storage</v>
          </cell>
          <cell r="T448" t="str">
            <v>Paid</v>
          </cell>
          <cell r="U448" t="str">
            <v>Completed</v>
          </cell>
        </row>
        <row r="449">
          <cell r="E449" t="str">
            <v>Rohan Mehta</v>
          </cell>
          <cell r="F449" t="str">
            <v>Home Office</v>
          </cell>
          <cell r="H449" t="str">
            <v>Telangana</v>
          </cell>
          <cell r="I449" t="str">
            <v>Hyderabad</v>
          </cell>
          <cell r="J449" t="str">
            <v>Furniture</v>
          </cell>
          <cell r="K449" t="str">
            <v>Bookcases</v>
          </cell>
          <cell r="T449" t="str">
            <v>Pending</v>
          </cell>
          <cell r="U449" t="str">
            <v>Returned</v>
          </cell>
        </row>
        <row r="450">
          <cell r="E450" t="str">
            <v>Mira Das</v>
          </cell>
          <cell r="F450" t="str">
            <v>Small Business</v>
          </cell>
          <cell r="H450" t="str">
            <v>Andhra Pradesh</v>
          </cell>
          <cell r="I450" t="str">
            <v>Vijayawada</v>
          </cell>
          <cell r="J450" t="str">
            <v>Furniture</v>
          </cell>
          <cell r="K450" t="str">
            <v>Chairs</v>
          </cell>
          <cell r="T450" t="str">
            <v>Paid</v>
          </cell>
          <cell r="U450" t="str">
            <v>Completed</v>
          </cell>
        </row>
        <row r="451">
          <cell r="E451" t="str">
            <v>Aditi Sen</v>
          </cell>
          <cell r="F451" t="str">
            <v>Corporate</v>
          </cell>
          <cell r="H451" t="str">
            <v>Assam</v>
          </cell>
          <cell r="I451" t="str">
            <v>Guwahati</v>
          </cell>
          <cell r="J451" t="str">
            <v>Technology</v>
          </cell>
          <cell r="K451" t="str">
            <v>Machines</v>
          </cell>
          <cell r="T451" t="str">
            <v>Paid</v>
          </cell>
          <cell r="U451" t="str">
            <v>Completed</v>
          </cell>
        </row>
        <row r="452">
          <cell r="E452" t="str">
            <v>Ananya Rao</v>
          </cell>
          <cell r="F452" t="str">
            <v>Corporate</v>
          </cell>
          <cell r="H452" t="str">
            <v>Delhi</v>
          </cell>
          <cell r="I452" t="str">
            <v>New Delhi</v>
          </cell>
          <cell r="J452" t="str">
            <v>Furniture</v>
          </cell>
          <cell r="K452" t="str">
            <v>Chairs</v>
          </cell>
          <cell r="T452" t="str">
            <v>Paid</v>
          </cell>
          <cell r="U452" t="str">
            <v>Completed</v>
          </cell>
        </row>
        <row r="453">
          <cell r="E453" t="str">
            <v>Rohan Mehta</v>
          </cell>
          <cell r="F453" t="str">
            <v>Small Business</v>
          </cell>
          <cell r="H453" t="str">
            <v>Haryana</v>
          </cell>
          <cell r="I453" t="str">
            <v>Gurugram</v>
          </cell>
          <cell r="J453" t="str">
            <v>Office Supplies</v>
          </cell>
          <cell r="K453" t="str">
            <v>Paper</v>
          </cell>
          <cell r="T453" t="str">
            <v>Paid</v>
          </cell>
          <cell r="U453" t="str">
            <v>Cancelled</v>
          </cell>
        </row>
        <row r="454">
          <cell r="E454" t="str">
            <v>Diya Patel</v>
          </cell>
          <cell r="F454" t="str">
            <v>Home Office</v>
          </cell>
          <cell r="H454" t="str">
            <v>Jharkhand</v>
          </cell>
          <cell r="I454" t="str">
            <v>Ranchi</v>
          </cell>
          <cell r="J454" t="str">
            <v>Technology</v>
          </cell>
          <cell r="K454" t="str">
            <v>Accessories</v>
          </cell>
          <cell r="T454" t="str">
            <v>Paid</v>
          </cell>
          <cell r="U454" t="str">
            <v>Completed</v>
          </cell>
        </row>
        <row r="455">
          <cell r="E455" t="str">
            <v>Rohan Mehta</v>
          </cell>
          <cell r="F455" t="str">
            <v>Small Business</v>
          </cell>
          <cell r="H455" t="str">
            <v>Madhya Pradesh</v>
          </cell>
          <cell r="I455" t="str">
            <v>Indore</v>
          </cell>
          <cell r="J455" t="str">
            <v>Office Supplies</v>
          </cell>
          <cell r="K455" t="str">
            <v>Labels</v>
          </cell>
          <cell r="T455" t="str">
            <v>Paid</v>
          </cell>
          <cell r="U455" t="str">
            <v>Completed</v>
          </cell>
        </row>
        <row r="456">
          <cell r="E456" t="str">
            <v>Vikram Iyer</v>
          </cell>
          <cell r="F456" t="str">
            <v>Small Business</v>
          </cell>
          <cell r="H456" t="str">
            <v>Rajasthan</v>
          </cell>
          <cell r="I456" t="str">
            <v>Jaipur</v>
          </cell>
          <cell r="J456" t="str">
            <v>Furniture</v>
          </cell>
          <cell r="K456" t="str">
            <v>Furnishings</v>
          </cell>
          <cell r="T456" t="str">
            <v>Paid</v>
          </cell>
          <cell r="U456" t="str">
            <v>Completed</v>
          </cell>
        </row>
        <row r="457">
          <cell r="E457" t="str">
            <v>Neha Gupta</v>
          </cell>
          <cell r="F457" t="str">
            <v>Small Business</v>
          </cell>
          <cell r="H457" t="str">
            <v>Telangana</v>
          </cell>
          <cell r="I457" t="str">
            <v>Hyderabad</v>
          </cell>
          <cell r="J457" t="str">
            <v>Office Supplies</v>
          </cell>
          <cell r="K457" t="str">
            <v>Art</v>
          </cell>
          <cell r="T457" t="str">
            <v>Paid</v>
          </cell>
          <cell r="U457" t="str">
            <v>Completed</v>
          </cell>
        </row>
        <row r="458">
          <cell r="E458" t="str">
            <v>Neha Gupta</v>
          </cell>
          <cell r="F458" t="str">
            <v>Corporate</v>
          </cell>
          <cell r="H458" t="str">
            <v>Uttar Pradesh</v>
          </cell>
          <cell r="I458" t="str">
            <v>Noida</v>
          </cell>
          <cell r="J458" t="str">
            <v>Technology</v>
          </cell>
          <cell r="K458" t="str">
            <v>Accessories</v>
          </cell>
          <cell r="T458" t="str">
            <v>Paid</v>
          </cell>
          <cell r="U458" t="str">
            <v>Returned</v>
          </cell>
        </row>
        <row r="459">
          <cell r="E459" t="str">
            <v>Mira Das</v>
          </cell>
          <cell r="F459" t="str">
            <v>Small Business</v>
          </cell>
          <cell r="H459" t="str">
            <v>Goa</v>
          </cell>
          <cell r="I459" t="str">
            <v>Panaji</v>
          </cell>
          <cell r="J459" t="str">
            <v>Furniture</v>
          </cell>
          <cell r="K459" t="str">
            <v>Tables</v>
          </cell>
          <cell r="T459" t="str">
            <v>Paid</v>
          </cell>
          <cell r="U459" t="str">
            <v>Completed</v>
          </cell>
        </row>
        <row r="460">
          <cell r="E460" t="str">
            <v>Karan Malhotra</v>
          </cell>
          <cell r="F460" t="str">
            <v>Corporate</v>
          </cell>
          <cell r="H460" t="str">
            <v>Rajasthan</v>
          </cell>
          <cell r="I460" t="str">
            <v>Jaipur</v>
          </cell>
          <cell r="J460" t="str">
            <v>Technology</v>
          </cell>
          <cell r="K460" t="str">
            <v>Phones</v>
          </cell>
          <cell r="T460" t="str">
            <v>Paid</v>
          </cell>
          <cell r="U460" t="str">
            <v>Completed</v>
          </cell>
        </row>
        <row r="461">
          <cell r="E461" t="str">
            <v>Ananya Rao</v>
          </cell>
          <cell r="F461" t="str">
            <v>Home Office</v>
          </cell>
          <cell r="H461" t="str">
            <v>Goa</v>
          </cell>
          <cell r="I461" t="str">
            <v>Panaji</v>
          </cell>
          <cell r="J461" t="str">
            <v>Office Supplies</v>
          </cell>
          <cell r="K461" t="str">
            <v>Paper</v>
          </cell>
          <cell r="T461" t="str">
            <v>Paid</v>
          </cell>
          <cell r="U461" t="str">
            <v>Completed</v>
          </cell>
        </row>
        <row r="462">
          <cell r="E462" t="str">
            <v>Aarav Sharma</v>
          </cell>
          <cell r="F462" t="str">
            <v>Corporate</v>
          </cell>
          <cell r="H462" t="str">
            <v>Rajasthan</v>
          </cell>
          <cell r="I462" t="str">
            <v>Jaipur</v>
          </cell>
          <cell r="J462" t="str">
            <v>Technology</v>
          </cell>
          <cell r="K462" t="str">
            <v>Copiers</v>
          </cell>
          <cell r="T462" t="str">
            <v>Paid</v>
          </cell>
          <cell r="U462" t="str">
            <v>Completed</v>
          </cell>
        </row>
        <row r="463">
          <cell r="E463" t="str">
            <v>Neha Gupta</v>
          </cell>
          <cell r="F463" t="str">
            <v>Corporate</v>
          </cell>
          <cell r="H463" t="str">
            <v>Andhra Pradesh</v>
          </cell>
          <cell r="I463" t="str">
            <v>Vijayawada</v>
          </cell>
          <cell r="J463" t="str">
            <v>Office Supplies</v>
          </cell>
          <cell r="K463" t="str">
            <v>Paper</v>
          </cell>
          <cell r="T463" t="str">
            <v>Paid</v>
          </cell>
          <cell r="U463" t="str">
            <v>Completed</v>
          </cell>
        </row>
        <row r="464">
          <cell r="E464" t="str">
            <v>Aarav Sharma</v>
          </cell>
          <cell r="F464" t="str">
            <v>Home Office</v>
          </cell>
          <cell r="H464" t="str">
            <v>Delhi</v>
          </cell>
          <cell r="I464" t="str">
            <v>New Delhi</v>
          </cell>
          <cell r="J464" t="str">
            <v>Office Supplies</v>
          </cell>
          <cell r="K464" t="str">
            <v>Binders</v>
          </cell>
          <cell r="T464" t="str">
            <v>Paid</v>
          </cell>
          <cell r="U464" t="str">
            <v>Completed</v>
          </cell>
        </row>
        <row r="465">
          <cell r="E465" t="str">
            <v>Arjun Bose</v>
          </cell>
          <cell r="F465" t="str">
            <v>Corporate</v>
          </cell>
          <cell r="H465" t="str">
            <v>Madhya Pradesh</v>
          </cell>
          <cell r="I465" t="str">
            <v>Indore</v>
          </cell>
          <cell r="J465" t="str">
            <v>Technology</v>
          </cell>
          <cell r="K465" t="str">
            <v>Phones</v>
          </cell>
          <cell r="T465" t="str">
            <v>Paid</v>
          </cell>
          <cell r="U465" t="str">
            <v>Completed</v>
          </cell>
        </row>
        <row r="466">
          <cell r="E466" t="str">
            <v>Arjun Bose</v>
          </cell>
          <cell r="F466" t="str">
            <v>Corporate</v>
          </cell>
          <cell r="H466" t="str">
            <v>Bihar</v>
          </cell>
          <cell r="I466" t="str">
            <v>Patna</v>
          </cell>
          <cell r="J466" t="str">
            <v>Office Supplies</v>
          </cell>
          <cell r="K466" t="str">
            <v>Paper</v>
          </cell>
          <cell r="T466" t="str">
            <v>Pending</v>
          </cell>
          <cell r="U466" t="str">
            <v>Cancelled</v>
          </cell>
        </row>
        <row r="467">
          <cell r="E467" t="str">
            <v>Aarav Sharma</v>
          </cell>
          <cell r="F467" t="str">
            <v>Small Business</v>
          </cell>
          <cell r="H467" t="str">
            <v>Madhya Pradesh</v>
          </cell>
          <cell r="I467" t="str">
            <v>Indore</v>
          </cell>
          <cell r="J467" t="str">
            <v>Office Supplies</v>
          </cell>
          <cell r="K467" t="str">
            <v>Labels</v>
          </cell>
          <cell r="T467" t="str">
            <v>Paid</v>
          </cell>
          <cell r="U467" t="str">
            <v>Completed</v>
          </cell>
        </row>
        <row r="468">
          <cell r="E468" t="str">
            <v>Mira Das</v>
          </cell>
          <cell r="F468" t="str">
            <v>Small Business</v>
          </cell>
          <cell r="H468" t="str">
            <v>Bihar</v>
          </cell>
          <cell r="I468" t="str">
            <v>Patna</v>
          </cell>
          <cell r="J468" t="str">
            <v>Technology</v>
          </cell>
          <cell r="K468" t="str">
            <v>Accessories</v>
          </cell>
          <cell r="T468" t="str">
            <v>Paid</v>
          </cell>
          <cell r="U468" t="str">
            <v>Completed</v>
          </cell>
        </row>
        <row r="469">
          <cell r="E469" t="str">
            <v>Aditi Sen</v>
          </cell>
          <cell r="F469" t="str">
            <v>Corporate</v>
          </cell>
          <cell r="H469" t="str">
            <v>Odisha</v>
          </cell>
          <cell r="I469" t="str">
            <v>Bhubaneswar</v>
          </cell>
          <cell r="J469" t="str">
            <v>Technology</v>
          </cell>
          <cell r="K469" t="str">
            <v>Copiers</v>
          </cell>
          <cell r="T469" t="str">
            <v>Refunded</v>
          </cell>
          <cell r="U469" t="str">
            <v>Cancelled</v>
          </cell>
        </row>
        <row r="470">
          <cell r="E470" t="str">
            <v>Aarav Sharma</v>
          </cell>
          <cell r="F470" t="str">
            <v>Home Office</v>
          </cell>
          <cell r="H470" t="str">
            <v>West Bengal</v>
          </cell>
          <cell r="I470" t="str">
            <v>Kolkata</v>
          </cell>
          <cell r="J470" t="str">
            <v>Office Supplies</v>
          </cell>
          <cell r="K470" t="str">
            <v>Binders</v>
          </cell>
          <cell r="T470" t="str">
            <v>Paid</v>
          </cell>
          <cell r="U470" t="str">
            <v>Completed</v>
          </cell>
        </row>
        <row r="471">
          <cell r="E471" t="str">
            <v>Aditi Sen</v>
          </cell>
          <cell r="F471" t="str">
            <v>Corporate</v>
          </cell>
          <cell r="H471" t="str">
            <v>Goa</v>
          </cell>
          <cell r="I471" t="str">
            <v>Panaji</v>
          </cell>
          <cell r="J471" t="str">
            <v>Technology</v>
          </cell>
          <cell r="K471" t="str">
            <v>Copiers</v>
          </cell>
          <cell r="T471" t="str">
            <v>Paid</v>
          </cell>
          <cell r="U471" t="str">
            <v>Completed</v>
          </cell>
        </row>
        <row r="472">
          <cell r="E472" t="str">
            <v>Aditi Sen</v>
          </cell>
          <cell r="F472" t="str">
            <v>Consumer</v>
          </cell>
          <cell r="H472" t="str">
            <v>Rajasthan</v>
          </cell>
          <cell r="I472" t="str">
            <v>Jaipur</v>
          </cell>
          <cell r="J472" t="str">
            <v>Furniture</v>
          </cell>
          <cell r="K472" t="str">
            <v>Tables</v>
          </cell>
          <cell r="T472" t="str">
            <v>Paid</v>
          </cell>
          <cell r="U472" t="str">
            <v>Completed</v>
          </cell>
        </row>
        <row r="473">
          <cell r="E473" t="str">
            <v>Kabir Singh</v>
          </cell>
          <cell r="F473" t="str">
            <v>Consumer</v>
          </cell>
          <cell r="H473" t="str">
            <v>Telangana</v>
          </cell>
          <cell r="I473" t="str">
            <v>Hyderabad</v>
          </cell>
          <cell r="J473" t="str">
            <v>Office Supplies</v>
          </cell>
          <cell r="K473" t="str">
            <v>Binders</v>
          </cell>
          <cell r="T473" t="str">
            <v>Paid</v>
          </cell>
          <cell r="U473" t="str">
            <v>Completed</v>
          </cell>
        </row>
        <row r="474">
          <cell r="E474" t="str">
            <v>Rohan Mehta</v>
          </cell>
          <cell r="F474" t="str">
            <v>Corporate</v>
          </cell>
          <cell r="H474" t="str">
            <v>Odisha</v>
          </cell>
          <cell r="I474" t="str">
            <v>Bhubaneswar</v>
          </cell>
          <cell r="J474" t="str">
            <v>Office Supplies</v>
          </cell>
          <cell r="K474" t="str">
            <v>Storage</v>
          </cell>
          <cell r="T474" t="str">
            <v>Paid</v>
          </cell>
          <cell r="U474" t="str">
            <v>Completed</v>
          </cell>
        </row>
        <row r="475">
          <cell r="E475" t="str">
            <v>Priya Menon</v>
          </cell>
          <cell r="F475" t="str">
            <v>Consumer</v>
          </cell>
          <cell r="H475" t="str">
            <v>Goa</v>
          </cell>
          <cell r="I475" t="str">
            <v>Panaji</v>
          </cell>
          <cell r="J475" t="str">
            <v>Technology</v>
          </cell>
          <cell r="K475" t="str">
            <v>Copiers</v>
          </cell>
          <cell r="T475" t="str">
            <v>Paid</v>
          </cell>
          <cell r="U475" t="str">
            <v>Completed</v>
          </cell>
        </row>
        <row r="476">
          <cell r="E476" t="str">
            <v>Diya Patel</v>
          </cell>
          <cell r="F476" t="str">
            <v>Corporate</v>
          </cell>
          <cell r="H476" t="str">
            <v>Punjab</v>
          </cell>
          <cell r="I476" t="str">
            <v>Ludhiana</v>
          </cell>
          <cell r="J476" t="str">
            <v>Furniture</v>
          </cell>
          <cell r="K476" t="str">
            <v>Furnishings</v>
          </cell>
          <cell r="T476" t="str">
            <v>Paid</v>
          </cell>
          <cell r="U476" t="str">
            <v>Completed</v>
          </cell>
        </row>
        <row r="477">
          <cell r="E477" t="str">
            <v>Vikram Iyer</v>
          </cell>
          <cell r="F477" t="str">
            <v>Consumer</v>
          </cell>
          <cell r="H477" t="str">
            <v>West Bengal</v>
          </cell>
          <cell r="I477" t="str">
            <v>Kolkata</v>
          </cell>
          <cell r="J477" t="str">
            <v>Furniture</v>
          </cell>
          <cell r="K477" t="str">
            <v>Chairs</v>
          </cell>
          <cell r="T477" t="str">
            <v>Pending</v>
          </cell>
          <cell r="U477" t="str">
            <v>Returned</v>
          </cell>
        </row>
        <row r="478">
          <cell r="E478" t="str">
            <v>Sneha Kapoor</v>
          </cell>
          <cell r="F478" t="str">
            <v>Small Business</v>
          </cell>
          <cell r="H478" t="str">
            <v>Rajasthan</v>
          </cell>
          <cell r="I478" t="str">
            <v>Jaipur</v>
          </cell>
          <cell r="J478" t="str">
            <v>Office Supplies</v>
          </cell>
          <cell r="K478" t="str">
            <v>Storage</v>
          </cell>
          <cell r="T478" t="str">
            <v>Paid</v>
          </cell>
          <cell r="U478" t="str">
            <v>Completed</v>
          </cell>
        </row>
        <row r="479">
          <cell r="E479" t="str">
            <v>Vikram Iyer</v>
          </cell>
          <cell r="F479" t="str">
            <v>Corporate</v>
          </cell>
          <cell r="H479" t="str">
            <v>Gujarat</v>
          </cell>
          <cell r="I479" t="str">
            <v>Ahmedabad</v>
          </cell>
          <cell r="J479" t="str">
            <v>Furniture</v>
          </cell>
          <cell r="K479" t="str">
            <v>Chairs</v>
          </cell>
          <cell r="T479" t="str">
            <v>Paid</v>
          </cell>
          <cell r="U479" t="str">
            <v>Cancelled</v>
          </cell>
        </row>
        <row r="480">
          <cell r="E480" t="str">
            <v>Mira Das</v>
          </cell>
          <cell r="F480" t="str">
            <v>Home Office</v>
          </cell>
          <cell r="H480" t="str">
            <v>Uttar Pradesh</v>
          </cell>
          <cell r="I480" t="str">
            <v>Noida</v>
          </cell>
          <cell r="J480" t="str">
            <v>Technology</v>
          </cell>
          <cell r="K480" t="str">
            <v>Machines</v>
          </cell>
          <cell r="T480" t="str">
            <v>Refunded</v>
          </cell>
          <cell r="U480" t="str">
            <v>Returned</v>
          </cell>
        </row>
        <row r="481">
          <cell r="E481" t="str">
            <v>Arjun Bose</v>
          </cell>
          <cell r="F481" t="str">
            <v>Corporate</v>
          </cell>
          <cell r="H481" t="str">
            <v>Odisha</v>
          </cell>
          <cell r="I481" t="str">
            <v>Bhubaneswar</v>
          </cell>
          <cell r="J481" t="str">
            <v>Furniture</v>
          </cell>
          <cell r="K481" t="str">
            <v>Chairs</v>
          </cell>
          <cell r="T481" t="str">
            <v>Paid</v>
          </cell>
          <cell r="U481" t="str">
            <v>Completed</v>
          </cell>
        </row>
        <row r="482">
          <cell r="E482" t="str">
            <v>Neha Gupta</v>
          </cell>
          <cell r="F482" t="str">
            <v>Small Business</v>
          </cell>
          <cell r="H482" t="str">
            <v>Tamil Nadu</v>
          </cell>
          <cell r="I482" t="str">
            <v>Chennai</v>
          </cell>
          <cell r="J482" t="str">
            <v>Office Supplies</v>
          </cell>
          <cell r="K482" t="str">
            <v>Storage</v>
          </cell>
          <cell r="T482" t="str">
            <v>Paid</v>
          </cell>
          <cell r="U482" t="str">
            <v>Completed</v>
          </cell>
        </row>
        <row r="483">
          <cell r="E483" t="str">
            <v>Isha Nair</v>
          </cell>
          <cell r="F483" t="str">
            <v>Consumer</v>
          </cell>
          <cell r="H483" t="str">
            <v>Uttar Pradesh</v>
          </cell>
          <cell r="I483" t="str">
            <v>Noida</v>
          </cell>
          <cell r="J483" t="str">
            <v>Technology</v>
          </cell>
          <cell r="K483" t="str">
            <v>Machines</v>
          </cell>
          <cell r="T483" t="str">
            <v>Paid</v>
          </cell>
          <cell r="U483" t="str">
            <v>Completed</v>
          </cell>
        </row>
        <row r="484">
          <cell r="E484" t="str">
            <v>Priya Menon</v>
          </cell>
          <cell r="F484" t="str">
            <v>Consumer</v>
          </cell>
          <cell r="H484" t="str">
            <v>Karnataka</v>
          </cell>
          <cell r="I484" t="str">
            <v>Bengaluru</v>
          </cell>
          <cell r="J484" t="str">
            <v>Technology</v>
          </cell>
          <cell r="K484" t="str">
            <v>Accessories</v>
          </cell>
          <cell r="T484" t="str">
            <v>Paid</v>
          </cell>
          <cell r="U484" t="str">
            <v>Completed</v>
          </cell>
        </row>
        <row r="485">
          <cell r="E485" t="str">
            <v>Mira Das</v>
          </cell>
          <cell r="F485" t="str">
            <v>Corporate</v>
          </cell>
          <cell r="H485" t="str">
            <v>Bihar</v>
          </cell>
          <cell r="I485" t="str">
            <v>Patna</v>
          </cell>
          <cell r="J485" t="str">
            <v>Technology</v>
          </cell>
          <cell r="K485" t="str">
            <v>Copiers</v>
          </cell>
          <cell r="T485" t="str">
            <v>Paid</v>
          </cell>
          <cell r="U485" t="str">
            <v>Completed</v>
          </cell>
        </row>
        <row r="486">
          <cell r="E486" t="str">
            <v>Mira Das</v>
          </cell>
          <cell r="F486" t="str">
            <v>Small Business</v>
          </cell>
          <cell r="H486" t="str">
            <v>Andhra Pradesh</v>
          </cell>
          <cell r="I486" t="str">
            <v>Vijayawada</v>
          </cell>
          <cell r="J486" t="str">
            <v>Furniture</v>
          </cell>
          <cell r="K486" t="str">
            <v>Furnishings</v>
          </cell>
          <cell r="T486" t="str">
            <v>Paid</v>
          </cell>
          <cell r="U486" t="str">
            <v>Completed</v>
          </cell>
        </row>
        <row r="487">
          <cell r="E487" t="str">
            <v>Rahul Verma</v>
          </cell>
          <cell r="F487" t="str">
            <v>Corporate</v>
          </cell>
          <cell r="H487" t="str">
            <v>Goa</v>
          </cell>
          <cell r="I487" t="str">
            <v>Panaji</v>
          </cell>
          <cell r="J487" t="str">
            <v>Furniture</v>
          </cell>
          <cell r="K487" t="str">
            <v>Bookcases</v>
          </cell>
          <cell r="T487" t="str">
            <v>Paid</v>
          </cell>
          <cell r="U487" t="str">
            <v>Completed</v>
          </cell>
        </row>
        <row r="488">
          <cell r="E488" t="str">
            <v>Rahul Verma</v>
          </cell>
          <cell r="F488" t="str">
            <v>Corporate</v>
          </cell>
          <cell r="H488" t="str">
            <v>Goa</v>
          </cell>
          <cell r="I488" t="str">
            <v>Panaji</v>
          </cell>
          <cell r="J488" t="str">
            <v>Furniture</v>
          </cell>
          <cell r="K488" t="str">
            <v>Tables</v>
          </cell>
          <cell r="T488" t="str">
            <v>Paid</v>
          </cell>
          <cell r="U488" t="str">
            <v>Completed</v>
          </cell>
        </row>
        <row r="489">
          <cell r="E489" t="str">
            <v>Rahul Verma</v>
          </cell>
          <cell r="F489" t="str">
            <v>Corporate</v>
          </cell>
          <cell r="H489" t="str">
            <v>Telangana</v>
          </cell>
          <cell r="I489" t="str">
            <v>Hyderabad</v>
          </cell>
          <cell r="J489" t="str">
            <v>Furniture</v>
          </cell>
          <cell r="K489" t="str">
            <v>Furnishings</v>
          </cell>
          <cell r="T489" t="str">
            <v>Refunded</v>
          </cell>
          <cell r="U489" t="str">
            <v>Returned</v>
          </cell>
        </row>
        <row r="490">
          <cell r="E490" t="str">
            <v>Aditi Sen</v>
          </cell>
          <cell r="F490" t="str">
            <v>Small Business</v>
          </cell>
          <cell r="H490" t="str">
            <v>Rajasthan</v>
          </cell>
          <cell r="I490" t="str">
            <v>Jaipur</v>
          </cell>
          <cell r="J490" t="str">
            <v>Furniture</v>
          </cell>
          <cell r="K490" t="str">
            <v>Tables</v>
          </cell>
          <cell r="T490" t="str">
            <v>Paid</v>
          </cell>
          <cell r="U490" t="str">
            <v>Completed</v>
          </cell>
        </row>
        <row r="491">
          <cell r="E491" t="str">
            <v>Arjun Bose</v>
          </cell>
          <cell r="F491" t="str">
            <v>Home Office</v>
          </cell>
          <cell r="H491" t="str">
            <v>West Bengal</v>
          </cell>
          <cell r="I491" t="str">
            <v>Kolkata</v>
          </cell>
          <cell r="J491" t="str">
            <v>Technology</v>
          </cell>
          <cell r="K491" t="str">
            <v>Accessories</v>
          </cell>
          <cell r="T491" t="str">
            <v>Paid</v>
          </cell>
          <cell r="U491" t="str">
            <v>Completed</v>
          </cell>
        </row>
        <row r="492">
          <cell r="E492" t="str">
            <v>Aditi Sen</v>
          </cell>
          <cell r="F492" t="str">
            <v>Consumer</v>
          </cell>
          <cell r="H492" t="str">
            <v>Rajasthan</v>
          </cell>
          <cell r="I492" t="str">
            <v>Udaipur</v>
          </cell>
          <cell r="J492" t="str">
            <v>Office Supplies</v>
          </cell>
          <cell r="K492" t="str">
            <v>Binders</v>
          </cell>
          <cell r="T492" t="str">
            <v>Paid</v>
          </cell>
          <cell r="U492" t="str">
            <v>Completed</v>
          </cell>
        </row>
        <row r="493">
          <cell r="E493" t="str">
            <v>Mira Das</v>
          </cell>
          <cell r="F493" t="str">
            <v>Corporate</v>
          </cell>
          <cell r="H493" t="str">
            <v>Kerala</v>
          </cell>
          <cell r="I493" t="str">
            <v>Kochi</v>
          </cell>
          <cell r="J493" t="str">
            <v>Technology</v>
          </cell>
          <cell r="K493" t="str">
            <v>Accessories</v>
          </cell>
          <cell r="T493" t="str">
            <v>Paid</v>
          </cell>
          <cell r="U493" t="str">
            <v>Completed</v>
          </cell>
        </row>
        <row r="494">
          <cell r="E494" t="str">
            <v>Ananya Rao</v>
          </cell>
          <cell r="F494" t="str">
            <v>Corporate</v>
          </cell>
          <cell r="H494" t="str">
            <v>Andhra Pradesh</v>
          </cell>
          <cell r="I494" t="str">
            <v>Vijayawada</v>
          </cell>
          <cell r="J494" t="str">
            <v>Office Supplies</v>
          </cell>
          <cell r="K494" t="str">
            <v>Storage</v>
          </cell>
          <cell r="T494" t="str">
            <v>Paid</v>
          </cell>
          <cell r="U494" t="str">
            <v>Completed</v>
          </cell>
        </row>
        <row r="495">
          <cell r="E495" t="str">
            <v>Kabir Singh</v>
          </cell>
          <cell r="F495" t="str">
            <v>Corporate</v>
          </cell>
          <cell r="H495" t="str">
            <v>Odisha</v>
          </cell>
          <cell r="I495" t="str">
            <v>Bhubaneswar</v>
          </cell>
          <cell r="J495" t="str">
            <v>Office Supplies</v>
          </cell>
          <cell r="K495" t="str">
            <v>Paper</v>
          </cell>
          <cell r="T495" t="str">
            <v>Paid</v>
          </cell>
          <cell r="U495" t="str">
            <v>COMPLETED</v>
          </cell>
        </row>
        <row r="496">
          <cell r="E496" t="str">
            <v>Isha Nair</v>
          </cell>
          <cell r="F496" t="str">
            <v>Consumer</v>
          </cell>
          <cell r="H496" t="str">
            <v>Madhya Pradesh</v>
          </cell>
          <cell r="I496" t="str">
            <v>Indore</v>
          </cell>
          <cell r="J496" t="str">
            <v>Technology</v>
          </cell>
          <cell r="K496" t="str">
            <v>Phones</v>
          </cell>
          <cell r="T496" t="str">
            <v>Failed</v>
          </cell>
          <cell r="U496" t="str">
            <v>Cancelled</v>
          </cell>
        </row>
        <row r="497">
          <cell r="E497" t="str">
            <v>Mira Das</v>
          </cell>
          <cell r="F497" t="str">
            <v>Small Business</v>
          </cell>
          <cell r="H497" t="str">
            <v>Assam</v>
          </cell>
          <cell r="I497" t="str">
            <v>Guwahati</v>
          </cell>
          <cell r="J497" t="str">
            <v>Technology</v>
          </cell>
          <cell r="K497" t="str">
            <v>Phones</v>
          </cell>
          <cell r="T497" t="str">
            <v>Refunded</v>
          </cell>
          <cell r="U497" t="str">
            <v>Returned</v>
          </cell>
        </row>
        <row r="498">
          <cell r="E498" t="str">
            <v>Kabir Singh</v>
          </cell>
          <cell r="F498" t="str">
            <v>Small Business</v>
          </cell>
          <cell r="H498" t="str">
            <v>Jharkhand</v>
          </cell>
          <cell r="I498" t="str">
            <v>Ranchi</v>
          </cell>
          <cell r="J498" t="str">
            <v>Furniture</v>
          </cell>
          <cell r="K498" t="str">
            <v>Chairs</v>
          </cell>
          <cell r="T498" t="str">
            <v>Paid</v>
          </cell>
          <cell r="U498" t="str">
            <v>Completed</v>
          </cell>
        </row>
        <row r="499">
          <cell r="E499" t="str">
            <v>Sneha Kapoor</v>
          </cell>
          <cell r="F499" t="str">
            <v>Small Business</v>
          </cell>
          <cell r="H499" t="str">
            <v>Uttar Pradesh</v>
          </cell>
          <cell r="I499" t="str">
            <v>Noida</v>
          </cell>
          <cell r="J499" t="str">
            <v>Technology</v>
          </cell>
          <cell r="K499" t="str">
            <v>Accessories</v>
          </cell>
          <cell r="T499" t="str">
            <v>Paid</v>
          </cell>
          <cell r="U499" t="str">
            <v>Cancelled</v>
          </cell>
        </row>
        <row r="500">
          <cell r="E500" t="str">
            <v>Karan Malhotra</v>
          </cell>
          <cell r="F500" t="str">
            <v>Consumer</v>
          </cell>
          <cell r="H500" t="str">
            <v>Punjab</v>
          </cell>
          <cell r="I500" t="str">
            <v>Ludhiana</v>
          </cell>
          <cell r="J500" t="str">
            <v>Furniture</v>
          </cell>
          <cell r="K500" t="str">
            <v>Chairs</v>
          </cell>
          <cell r="T500" t="str">
            <v>Refunded</v>
          </cell>
          <cell r="U500" t="str">
            <v>cancelled</v>
          </cell>
        </row>
        <row r="501">
          <cell r="E501" t="str">
            <v>Rahul Verma</v>
          </cell>
          <cell r="F501" t="str">
            <v>Home Office</v>
          </cell>
          <cell r="H501" t="str">
            <v>Uttar Pradesh</v>
          </cell>
          <cell r="I501" t="str">
            <v>Noida</v>
          </cell>
          <cell r="J501" t="str">
            <v>Furniture</v>
          </cell>
          <cell r="K501" t="str">
            <v>Chairs</v>
          </cell>
          <cell r="T501" t="str">
            <v>Paid</v>
          </cell>
          <cell r="U501" t="str">
            <v>Cancelled</v>
          </cell>
        </row>
        <row r="502">
          <cell r="E502" t="str">
            <v>Sneha Kapoor</v>
          </cell>
          <cell r="F502" t="str">
            <v>Consumer</v>
          </cell>
          <cell r="H502" t="str">
            <v>Kerala</v>
          </cell>
          <cell r="I502" t="str">
            <v>Kochi</v>
          </cell>
          <cell r="J502" t="str">
            <v>Technology</v>
          </cell>
          <cell r="K502" t="str">
            <v>Phones</v>
          </cell>
          <cell r="T502" t="str">
            <v>Paid</v>
          </cell>
          <cell r="U502" t="str">
            <v>Completed</v>
          </cell>
        </row>
        <row r="503">
          <cell r="E503" t="str">
            <v>Neha Gupta</v>
          </cell>
          <cell r="F503" t="str">
            <v>Consumer</v>
          </cell>
          <cell r="H503" t="str">
            <v>Jharkhand</v>
          </cell>
          <cell r="I503" t="str">
            <v>Ranchi</v>
          </cell>
          <cell r="J503" t="str">
            <v>Office Supplies</v>
          </cell>
          <cell r="K503" t="str">
            <v>Art</v>
          </cell>
          <cell r="T503" t="str">
            <v>Paid</v>
          </cell>
          <cell r="U503" t="str">
            <v>Completed</v>
          </cell>
        </row>
        <row r="504">
          <cell r="E504" t="str">
            <v>Priya Menon</v>
          </cell>
          <cell r="F504" t="str">
            <v>Small Business</v>
          </cell>
          <cell r="H504" t="str">
            <v>Odisha</v>
          </cell>
          <cell r="I504" t="str">
            <v>Bhubaneswar</v>
          </cell>
          <cell r="J504" t="str">
            <v>Technology</v>
          </cell>
          <cell r="K504" t="str">
            <v>Copiers</v>
          </cell>
          <cell r="T504" t="str">
            <v>Paid</v>
          </cell>
          <cell r="U504" t="str">
            <v>Completed</v>
          </cell>
        </row>
        <row r="505">
          <cell r="E505" t="str">
            <v>Aarav Sharma</v>
          </cell>
          <cell r="F505" t="str">
            <v>Consumer</v>
          </cell>
          <cell r="H505" t="str">
            <v>Tamil Nadu</v>
          </cell>
          <cell r="I505" t="str">
            <v>Chennai</v>
          </cell>
          <cell r="J505" t="str">
            <v>Technology</v>
          </cell>
          <cell r="K505" t="str">
            <v>Phones</v>
          </cell>
          <cell r="T505" t="str">
            <v>Paid</v>
          </cell>
          <cell r="U505" t="str">
            <v>Completed</v>
          </cell>
        </row>
        <row r="506">
          <cell r="E506" t="str">
            <v>Arjun Bose</v>
          </cell>
          <cell r="F506" t="str">
            <v>Corporate</v>
          </cell>
          <cell r="H506" t="str">
            <v>Gujarat</v>
          </cell>
          <cell r="I506" t="str">
            <v>Ahmedabad</v>
          </cell>
          <cell r="J506" t="str">
            <v>Office Supplies</v>
          </cell>
          <cell r="K506" t="str">
            <v>Art</v>
          </cell>
          <cell r="T506" t="str">
            <v>Paid</v>
          </cell>
          <cell r="U506" t="str">
            <v>Completed</v>
          </cell>
        </row>
        <row r="507">
          <cell r="E507" t="str">
            <v>Neha Gupta</v>
          </cell>
          <cell r="F507" t="str">
            <v>Corporate</v>
          </cell>
          <cell r="H507" t="str">
            <v>Madhya Pradesh</v>
          </cell>
          <cell r="I507" t="str">
            <v>Indore</v>
          </cell>
          <cell r="J507" t="str">
            <v>Office Supplies</v>
          </cell>
          <cell r="K507" t="str">
            <v>Art</v>
          </cell>
          <cell r="T507" t="str">
            <v>Paid</v>
          </cell>
          <cell r="U507" t="str">
            <v>Cancelled</v>
          </cell>
        </row>
        <row r="508">
          <cell r="E508" t="str">
            <v>Aarav Sharma</v>
          </cell>
          <cell r="F508" t="str">
            <v>Small Business</v>
          </cell>
          <cell r="H508" t="str">
            <v>Punjab</v>
          </cell>
          <cell r="I508" t="str">
            <v>Ludhiana</v>
          </cell>
          <cell r="J508" t="str">
            <v>Furniture</v>
          </cell>
          <cell r="K508" t="str">
            <v>Furnishings</v>
          </cell>
          <cell r="T508" t="str">
            <v>Refunded</v>
          </cell>
          <cell r="U508" t="str">
            <v>Returned</v>
          </cell>
        </row>
        <row r="509">
          <cell r="E509" t="str">
            <v>Isha Nair</v>
          </cell>
          <cell r="F509" t="str">
            <v>Small Business</v>
          </cell>
          <cell r="H509" t="str">
            <v>Haryana</v>
          </cell>
          <cell r="I509" t="str">
            <v>Gurugram</v>
          </cell>
          <cell r="J509" t="str">
            <v>Office Supplies</v>
          </cell>
          <cell r="K509" t="str">
            <v>Binders</v>
          </cell>
          <cell r="T509" t="str">
            <v>Paid</v>
          </cell>
          <cell r="U509" t="str">
            <v>Completed</v>
          </cell>
        </row>
        <row r="510">
          <cell r="E510" t="str">
            <v>Isha Nair</v>
          </cell>
          <cell r="F510" t="str">
            <v>Small Business</v>
          </cell>
          <cell r="H510" t="str">
            <v>Haryana</v>
          </cell>
          <cell r="I510" t="str">
            <v>Gurugram</v>
          </cell>
          <cell r="J510" t="str">
            <v>Technology</v>
          </cell>
          <cell r="K510" t="str">
            <v>Machines</v>
          </cell>
          <cell r="T510" t="str">
            <v>Paid</v>
          </cell>
          <cell r="U510" t="str">
            <v>Completed</v>
          </cell>
        </row>
        <row r="511">
          <cell r="E511" t="str">
            <v>Neha Gupta</v>
          </cell>
          <cell r="F511" t="str">
            <v>Consumer</v>
          </cell>
          <cell r="H511" t="str">
            <v>Gujarat</v>
          </cell>
          <cell r="I511" t="str">
            <v>Ahmedabad</v>
          </cell>
          <cell r="J511" t="str">
            <v>Technology</v>
          </cell>
          <cell r="K511" t="str">
            <v>Machines</v>
          </cell>
          <cell r="T511" t="str">
            <v>Paid</v>
          </cell>
          <cell r="U511" t="str">
            <v>Completed</v>
          </cell>
        </row>
        <row r="512">
          <cell r="E512" t="str">
            <v>Aarav  Sharma</v>
          </cell>
          <cell r="F512" t="str">
            <v>Consumer</v>
          </cell>
          <cell r="H512" t="str">
            <v>Karnataka</v>
          </cell>
          <cell r="I512" t="str">
            <v>Bengaluru</v>
          </cell>
          <cell r="J512" t="str">
            <v>Office Supplies</v>
          </cell>
          <cell r="K512" t="str">
            <v>Storage</v>
          </cell>
          <cell r="T512" t="str">
            <v>Paid</v>
          </cell>
          <cell r="U512" t="str">
            <v>Completed</v>
          </cell>
        </row>
        <row r="513">
          <cell r="E513" t="str">
            <v>Sneha Kapoor</v>
          </cell>
          <cell r="F513" t="str">
            <v>Consumer</v>
          </cell>
          <cell r="H513" t="str">
            <v>Madhya Pradesh</v>
          </cell>
          <cell r="I513" t="str">
            <v>Indore</v>
          </cell>
          <cell r="J513" t="str">
            <v>Furniture</v>
          </cell>
          <cell r="K513" t="str">
            <v>Bookcases</v>
          </cell>
          <cell r="T513" t="str">
            <v>Paid</v>
          </cell>
          <cell r="U513" t="str">
            <v>Completed</v>
          </cell>
        </row>
        <row r="514">
          <cell r="E514" t="str">
            <v>Isha Nair</v>
          </cell>
          <cell r="F514" t="str">
            <v>Corporate</v>
          </cell>
          <cell r="H514" t="str">
            <v>Kerala</v>
          </cell>
          <cell r="I514" t="str">
            <v>Kochi</v>
          </cell>
          <cell r="J514" t="str">
            <v>Office Supplies</v>
          </cell>
          <cell r="K514" t="str">
            <v>Labels</v>
          </cell>
          <cell r="T514" t="str">
            <v>Paid</v>
          </cell>
          <cell r="U514" t="str">
            <v>Completed</v>
          </cell>
        </row>
        <row r="515">
          <cell r="E515" t="str">
            <v>Aarav Sharma</v>
          </cell>
          <cell r="F515" t="str">
            <v>Corporate</v>
          </cell>
          <cell r="H515" t="str">
            <v>Kerala</v>
          </cell>
          <cell r="I515" t="str">
            <v>Kochi</v>
          </cell>
          <cell r="J515" t="str">
            <v>Technology</v>
          </cell>
          <cell r="K515" t="str">
            <v>Accessories</v>
          </cell>
          <cell r="T515" t="str">
            <v>Paid</v>
          </cell>
          <cell r="U515" t="str">
            <v>Completed</v>
          </cell>
        </row>
        <row r="516">
          <cell r="E516" t="str">
            <v>Karan Malhotra</v>
          </cell>
          <cell r="F516" t="str">
            <v>Home Office</v>
          </cell>
          <cell r="H516" t="str">
            <v>Kerala</v>
          </cell>
          <cell r="I516" t="str">
            <v>Kochi</v>
          </cell>
          <cell r="J516" t="str">
            <v>Technology</v>
          </cell>
          <cell r="K516" t="str">
            <v>Accessories</v>
          </cell>
          <cell r="T516" t="str">
            <v>Paid</v>
          </cell>
          <cell r="U516" t="str">
            <v>Completed</v>
          </cell>
        </row>
        <row r="517">
          <cell r="E517" t="str">
            <v>Rahul Verma</v>
          </cell>
          <cell r="F517" t="str">
            <v>Corporate</v>
          </cell>
          <cell r="H517" t="str">
            <v>Delhi</v>
          </cell>
          <cell r="I517" t="str">
            <v>New Delhi</v>
          </cell>
          <cell r="J517" t="str">
            <v>Office Supplies</v>
          </cell>
          <cell r="K517" t="str">
            <v>Paper</v>
          </cell>
          <cell r="T517" t="str">
            <v>Paid</v>
          </cell>
          <cell r="U517" t="str">
            <v>Completed</v>
          </cell>
        </row>
        <row r="518">
          <cell r="E518" t="str">
            <v>Kabir Singh</v>
          </cell>
          <cell r="F518" t="str">
            <v>Home Office</v>
          </cell>
          <cell r="H518" t="str">
            <v>Delhi</v>
          </cell>
          <cell r="I518" t="str">
            <v>New Delhi</v>
          </cell>
          <cell r="J518" t="str">
            <v>Technology</v>
          </cell>
          <cell r="K518" t="str">
            <v>Copiers</v>
          </cell>
          <cell r="T518" t="str">
            <v>Failed</v>
          </cell>
          <cell r="U518" t="str">
            <v>Returned</v>
          </cell>
        </row>
        <row r="519">
          <cell r="E519" t="str">
            <v>Rahul Verma</v>
          </cell>
          <cell r="F519" t="str">
            <v>Consumer</v>
          </cell>
          <cell r="H519" t="str">
            <v>Odisha</v>
          </cell>
          <cell r="I519" t="str">
            <v>Bhubaneswar</v>
          </cell>
          <cell r="J519" t="str">
            <v>Furniture</v>
          </cell>
          <cell r="K519" t="str">
            <v>Furnishings</v>
          </cell>
          <cell r="T519" t="str">
            <v>Refunded</v>
          </cell>
          <cell r="U519" t="str">
            <v>Returned</v>
          </cell>
        </row>
        <row r="520">
          <cell r="E520" t="str">
            <v>Diya Patel</v>
          </cell>
          <cell r="F520" t="str">
            <v>Corporate</v>
          </cell>
          <cell r="H520" t="str">
            <v>Odisha</v>
          </cell>
          <cell r="I520" t="str">
            <v>Bhubaneswar</v>
          </cell>
          <cell r="J520" t="str">
            <v>Furniture</v>
          </cell>
          <cell r="K520" t="str">
            <v>Tables</v>
          </cell>
          <cell r="T520" t="str">
            <v>Paid</v>
          </cell>
          <cell r="U520" t="str">
            <v>Cancelled</v>
          </cell>
        </row>
        <row r="521">
          <cell r="E521" t="str">
            <v>Priya Menon</v>
          </cell>
          <cell r="F521" t="str">
            <v>Consumer</v>
          </cell>
          <cell r="H521" t="str">
            <v>Uttar Pradesh</v>
          </cell>
          <cell r="I521" t="str">
            <v>Noida</v>
          </cell>
          <cell r="J521" t="str">
            <v>Furniture</v>
          </cell>
          <cell r="K521" t="str">
            <v>Tables</v>
          </cell>
          <cell r="T521" t="str">
            <v>Pending</v>
          </cell>
          <cell r="U521" t="str">
            <v>Cancelled</v>
          </cell>
        </row>
        <row r="522">
          <cell r="E522" t="str">
            <v>Aarav Sharma</v>
          </cell>
          <cell r="F522" t="str">
            <v>Home Office</v>
          </cell>
          <cell r="H522" t="str">
            <v>Karnataka</v>
          </cell>
          <cell r="I522" t="str">
            <v>Bengaluru</v>
          </cell>
          <cell r="J522" t="str">
            <v>Technology</v>
          </cell>
          <cell r="K522" t="str">
            <v>Machines</v>
          </cell>
          <cell r="T522" t="str">
            <v>Paid</v>
          </cell>
          <cell r="U522" t="str">
            <v>Completed</v>
          </cell>
        </row>
        <row r="523">
          <cell r="E523" t="str">
            <v>Diya Patel</v>
          </cell>
          <cell r="F523" t="str">
            <v>Consumer</v>
          </cell>
          <cell r="H523" t="str">
            <v>Punjab</v>
          </cell>
          <cell r="I523" t="str">
            <v>Ludhiana</v>
          </cell>
          <cell r="J523" t="str">
            <v>Office Supplies</v>
          </cell>
          <cell r="K523" t="str">
            <v>Labels</v>
          </cell>
          <cell r="T523" t="str">
            <v>Paid</v>
          </cell>
          <cell r="U523" t="str">
            <v>Completed</v>
          </cell>
        </row>
        <row r="524">
          <cell r="E524" t="str">
            <v>Neha Gupta</v>
          </cell>
          <cell r="F524" t="str">
            <v>Small Business</v>
          </cell>
          <cell r="H524" t="str">
            <v>Jharkhand</v>
          </cell>
          <cell r="I524" t="str">
            <v>Ranchi</v>
          </cell>
          <cell r="J524" t="str">
            <v>Technology</v>
          </cell>
          <cell r="K524" t="str">
            <v>Phones</v>
          </cell>
          <cell r="T524" t="str">
            <v>Paid</v>
          </cell>
          <cell r="U524" t="str">
            <v>Completed</v>
          </cell>
        </row>
        <row r="525">
          <cell r="E525" t="str">
            <v>Kabir Singh</v>
          </cell>
          <cell r="F525" t="str">
            <v>Home Office</v>
          </cell>
          <cell r="H525" t="str">
            <v>Goa</v>
          </cell>
          <cell r="I525" t="str">
            <v>Panaji</v>
          </cell>
          <cell r="J525" t="str">
            <v>Office Supplies</v>
          </cell>
          <cell r="K525" t="str">
            <v>Paper</v>
          </cell>
          <cell r="T525" t="str">
            <v>Paid</v>
          </cell>
          <cell r="U525" t="str">
            <v>Returned</v>
          </cell>
        </row>
        <row r="526">
          <cell r="E526" t="str">
            <v>Ananya Rao</v>
          </cell>
          <cell r="F526" t="str">
            <v>Corporate</v>
          </cell>
          <cell r="H526" t="str">
            <v>Gujarat</v>
          </cell>
          <cell r="I526" t="str">
            <v>Ahmedabad</v>
          </cell>
          <cell r="J526" t="str">
            <v>Furniture</v>
          </cell>
          <cell r="K526" t="str">
            <v>Chairs</v>
          </cell>
          <cell r="T526" t="str">
            <v>Paid</v>
          </cell>
          <cell r="U526" t="str">
            <v>Completed</v>
          </cell>
        </row>
        <row r="527">
          <cell r="E527" t="str">
            <v>Priya Menon</v>
          </cell>
          <cell r="F527" t="str">
            <v>Home Office</v>
          </cell>
          <cell r="H527" t="str">
            <v>West Bengal</v>
          </cell>
          <cell r="I527" t="str">
            <v>Kolkata</v>
          </cell>
          <cell r="J527" t="str">
            <v>Furniture</v>
          </cell>
          <cell r="K527" t="str">
            <v>Chairs</v>
          </cell>
          <cell r="T527" t="str">
            <v>Paid</v>
          </cell>
          <cell r="U527" t="str">
            <v>Completed</v>
          </cell>
        </row>
        <row r="528">
          <cell r="E528" t="str">
            <v>Priya Menon</v>
          </cell>
          <cell r="F528" t="str">
            <v>Consumer</v>
          </cell>
          <cell r="H528" t="str">
            <v>Odisha</v>
          </cell>
          <cell r="I528" t="str">
            <v>Bhubaneswar</v>
          </cell>
          <cell r="J528" t="str">
            <v>Furniture</v>
          </cell>
          <cell r="K528" t="str">
            <v>Tables</v>
          </cell>
          <cell r="T528" t="str">
            <v>Paid</v>
          </cell>
          <cell r="U528" t="str">
            <v>Completed</v>
          </cell>
        </row>
        <row r="529">
          <cell r="E529" t="str">
            <v>Aditi Sen</v>
          </cell>
          <cell r="F529" t="str">
            <v>Home Office</v>
          </cell>
          <cell r="H529" t="str">
            <v>Haryana</v>
          </cell>
          <cell r="I529" t="str">
            <v>Gurugram</v>
          </cell>
          <cell r="J529" t="str">
            <v>Office Supplies</v>
          </cell>
          <cell r="K529" t="str">
            <v>Paper</v>
          </cell>
          <cell r="T529" t="str">
            <v>Paid</v>
          </cell>
          <cell r="U529" t="str">
            <v>Completed</v>
          </cell>
        </row>
        <row r="530">
          <cell r="E530" t="str">
            <v>Diya Patel</v>
          </cell>
          <cell r="F530" t="str">
            <v>Consumer</v>
          </cell>
          <cell r="H530" t="str">
            <v>Tamil Nadu</v>
          </cell>
          <cell r="I530" t="str">
            <v>Chennai</v>
          </cell>
          <cell r="J530" t="str">
            <v>Office Supplies</v>
          </cell>
          <cell r="K530" t="str">
            <v>Binders</v>
          </cell>
          <cell r="T530" t="str">
            <v>Pending</v>
          </cell>
          <cell r="U530" t="str">
            <v>Returned</v>
          </cell>
        </row>
        <row r="531">
          <cell r="E531" t="str">
            <v>Karan Malhotra</v>
          </cell>
          <cell r="F531" t="str">
            <v>Consumer</v>
          </cell>
          <cell r="H531" t="str">
            <v>Jharkhand</v>
          </cell>
          <cell r="I531" t="str">
            <v>Ranchi</v>
          </cell>
          <cell r="J531" t="str">
            <v>Furniture</v>
          </cell>
          <cell r="K531" t="str">
            <v>Bookcases</v>
          </cell>
          <cell r="T531" t="str">
            <v>Paid</v>
          </cell>
          <cell r="U531" t="str">
            <v>Completed</v>
          </cell>
        </row>
        <row r="532">
          <cell r="E532" t="str">
            <v>Rahul Verma</v>
          </cell>
          <cell r="F532" t="str">
            <v>Home Office</v>
          </cell>
          <cell r="H532" t="str">
            <v>Tamil Nadu</v>
          </cell>
          <cell r="I532" t="str">
            <v>Chennai</v>
          </cell>
          <cell r="J532" t="str">
            <v>Office Supplies</v>
          </cell>
          <cell r="K532" t="str">
            <v>Binders</v>
          </cell>
          <cell r="T532" t="str">
            <v>Paid</v>
          </cell>
          <cell r="U532" t="str">
            <v>Completed</v>
          </cell>
        </row>
        <row r="533">
          <cell r="E533" t="str">
            <v>Diya Patel</v>
          </cell>
          <cell r="F533" t="str">
            <v>Small Business</v>
          </cell>
          <cell r="H533" t="str">
            <v>Maharashtra</v>
          </cell>
          <cell r="I533" t="str">
            <v>Mumbai</v>
          </cell>
          <cell r="J533" t="str">
            <v>Office Supplies</v>
          </cell>
          <cell r="K533" t="str">
            <v>Storage</v>
          </cell>
          <cell r="T533" t="str">
            <v>Paid</v>
          </cell>
          <cell r="U533" t="str">
            <v>Completed</v>
          </cell>
        </row>
        <row r="534">
          <cell r="E534" t="str">
            <v>Priya Menon</v>
          </cell>
          <cell r="F534" t="str">
            <v>Corporate</v>
          </cell>
          <cell r="H534" t="str">
            <v>Assam</v>
          </cell>
          <cell r="I534" t="str">
            <v>Guwahati</v>
          </cell>
          <cell r="J534" t="str">
            <v>Furniture</v>
          </cell>
          <cell r="K534" t="str">
            <v>Tables</v>
          </cell>
          <cell r="T534" t="str">
            <v>Failed</v>
          </cell>
          <cell r="U534" t="str">
            <v>Cancelled</v>
          </cell>
        </row>
        <row r="535">
          <cell r="E535" t="str">
            <v>Isha Nair</v>
          </cell>
          <cell r="F535" t="str">
            <v>Home Office</v>
          </cell>
          <cell r="H535" t="str">
            <v>Rajasthan</v>
          </cell>
          <cell r="I535" t="str">
            <v>Jaipur</v>
          </cell>
          <cell r="J535" t="str">
            <v>Furniture</v>
          </cell>
          <cell r="K535" t="str">
            <v>Tables</v>
          </cell>
          <cell r="T535" t="str">
            <v>Paid</v>
          </cell>
          <cell r="U535" t="str">
            <v>Completed</v>
          </cell>
        </row>
        <row r="536">
          <cell r="E536" t="str">
            <v>Rohan Mehta</v>
          </cell>
          <cell r="F536" t="str">
            <v>Home Office</v>
          </cell>
          <cell r="H536" t="str">
            <v>Bihar</v>
          </cell>
          <cell r="I536" t="str">
            <v>Patna</v>
          </cell>
          <cell r="J536" t="str">
            <v>Technology</v>
          </cell>
          <cell r="K536" t="str">
            <v>Accessories</v>
          </cell>
          <cell r="T536" t="str">
            <v>Pending</v>
          </cell>
          <cell r="U536" t="str">
            <v>Returned</v>
          </cell>
        </row>
        <row r="537">
          <cell r="E537" t="str">
            <v>Diya Patel</v>
          </cell>
          <cell r="F537" t="str">
            <v>Small Business</v>
          </cell>
          <cell r="H537" t="str">
            <v>Maharashtra</v>
          </cell>
          <cell r="I537" t="str">
            <v>Mumbai</v>
          </cell>
          <cell r="J537" t="str">
            <v>Technology</v>
          </cell>
          <cell r="K537" t="str">
            <v>Copiers</v>
          </cell>
          <cell r="T537" t="str">
            <v>Paid</v>
          </cell>
          <cell r="U537" t="str">
            <v>Completed</v>
          </cell>
        </row>
        <row r="538">
          <cell r="E538" t="str">
            <v>Ananya Rao</v>
          </cell>
          <cell r="F538" t="str">
            <v>Small Business</v>
          </cell>
          <cell r="H538" t="str">
            <v>Rajasthan</v>
          </cell>
          <cell r="I538" t="str">
            <v>Udaipur</v>
          </cell>
          <cell r="J538" t="str">
            <v>Furniture</v>
          </cell>
          <cell r="K538" t="str">
            <v>Chairs</v>
          </cell>
          <cell r="T538" t="str">
            <v>Failed</v>
          </cell>
          <cell r="U538" t="str">
            <v>Cancelled</v>
          </cell>
        </row>
        <row r="539">
          <cell r="E539" t="str">
            <v>Ananya Rao</v>
          </cell>
          <cell r="F539" t="str">
            <v>Small Business</v>
          </cell>
          <cell r="H539" t="str">
            <v>Haryana</v>
          </cell>
          <cell r="I539" t="str">
            <v>Gurugram</v>
          </cell>
          <cell r="J539" t="str">
            <v>Office Supplies</v>
          </cell>
          <cell r="K539" t="str">
            <v>Art</v>
          </cell>
          <cell r="T539" t="str">
            <v>Failed</v>
          </cell>
          <cell r="U539" t="str">
            <v>Cancelled</v>
          </cell>
        </row>
        <row r="540">
          <cell r="E540" t="str">
            <v>Diya Patel</v>
          </cell>
          <cell r="F540" t="str">
            <v>Small Business</v>
          </cell>
          <cell r="H540" t="str">
            <v>Jharkhand</v>
          </cell>
          <cell r="I540" t="str">
            <v>Ranchi</v>
          </cell>
          <cell r="J540" t="str">
            <v>Furniture</v>
          </cell>
          <cell r="K540" t="str">
            <v>Tables</v>
          </cell>
          <cell r="T540" t="str">
            <v>Paid</v>
          </cell>
          <cell r="U540" t="str">
            <v>Completed</v>
          </cell>
        </row>
        <row r="541">
          <cell r="E541" t="str">
            <v>mira das</v>
          </cell>
          <cell r="F541" t="str">
            <v>Small Business</v>
          </cell>
          <cell r="H541" t="str">
            <v>Tamil Nadu</v>
          </cell>
          <cell r="I541" t="str">
            <v>Chennai</v>
          </cell>
          <cell r="J541" t="str">
            <v>Furniture</v>
          </cell>
          <cell r="K541" t="str">
            <v>Chairs</v>
          </cell>
          <cell r="T541" t="str">
            <v>Paid</v>
          </cell>
          <cell r="U541" t="str">
            <v>Cancelled</v>
          </cell>
        </row>
        <row r="542">
          <cell r="E542" t="str">
            <v>Kabir Singh</v>
          </cell>
          <cell r="F542" t="str">
            <v>Consumer</v>
          </cell>
          <cell r="H542" t="str">
            <v>Gujarat</v>
          </cell>
          <cell r="I542" t="str">
            <v>Ahmedabad</v>
          </cell>
          <cell r="J542" t="str">
            <v>Furniture</v>
          </cell>
          <cell r="K542" t="str">
            <v>Furnishings</v>
          </cell>
          <cell r="T542" t="str">
            <v>Paid</v>
          </cell>
          <cell r="U542" t="str">
            <v>Completed</v>
          </cell>
        </row>
        <row r="543">
          <cell r="E543" t="str">
            <v>Sneha Kapoor</v>
          </cell>
          <cell r="F543" t="str">
            <v>Consumer</v>
          </cell>
          <cell r="H543" t="str">
            <v>Maharashtra</v>
          </cell>
          <cell r="I543" t="str">
            <v>Mumbai</v>
          </cell>
          <cell r="J543" t="str">
            <v>Technology</v>
          </cell>
          <cell r="K543" t="str">
            <v>Copiers</v>
          </cell>
          <cell r="T543" t="str">
            <v>Paid</v>
          </cell>
          <cell r="U543" t="str">
            <v>Returned</v>
          </cell>
        </row>
        <row r="544">
          <cell r="E544" t="str">
            <v>Rahul Verma</v>
          </cell>
          <cell r="F544" t="str">
            <v>Home Office</v>
          </cell>
          <cell r="H544" t="str">
            <v>Kerala</v>
          </cell>
          <cell r="I544" t="str">
            <v>Kochi</v>
          </cell>
          <cell r="J544" t="str">
            <v>Furniture</v>
          </cell>
          <cell r="K544" t="str">
            <v>Bookcases</v>
          </cell>
          <cell r="T544" t="str">
            <v>Paid</v>
          </cell>
          <cell r="U544" t="str">
            <v>CANCELLED</v>
          </cell>
        </row>
        <row r="545">
          <cell r="E545" t="str">
            <v>Mira Das</v>
          </cell>
          <cell r="F545" t="str">
            <v>Consumer</v>
          </cell>
          <cell r="H545" t="str">
            <v>Bihar</v>
          </cell>
          <cell r="I545" t="str">
            <v>Patna</v>
          </cell>
          <cell r="J545" t="str">
            <v>Technology</v>
          </cell>
          <cell r="K545" t="str">
            <v>Copiers</v>
          </cell>
          <cell r="T545" t="str">
            <v>Paid</v>
          </cell>
          <cell r="U545" t="str">
            <v>Completed</v>
          </cell>
        </row>
        <row r="546">
          <cell r="E546" t="str">
            <v>Ananya Rao</v>
          </cell>
          <cell r="F546" t="str">
            <v>Consumer</v>
          </cell>
          <cell r="H546" t="str">
            <v>Kerala</v>
          </cell>
          <cell r="I546" t="str">
            <v>Kochi</v>
          </cell>
          <cell r="J546" t="str">
            <v>Office Supplies</v>
          </cell>
          <cell r="K546" t="str">
            <v>Art</v>
          </cell>
          <cell r="T546" t="str">
            <v>Paid</v>
          </cell>
          <cell r="U546" t="str">
            <v>Cancelled</v>
          </cell>
        </row>
        <row r="547">
          <cell r="E547" t="str">
            <v>Kabir Singh</v>
          </cell>
          <cell r="F547" t="str">
            <v>Small Business</v>
          </cell>
          <cell r="H547" t="str">
            <v>Jharkhand</v>
          </cell>
          <cell r="I547" t="str">
            <v>Ranchi</v>
          </cell>
          <cell r="J547" t="str">
            <v>Office Supplies</v>
          </cell>
          <cell r="K547" t="str">
            <v>Storage</v>
          </cell>
          <cell r="T547" t="str">
            <v>Paid</v>
          </cell>
          <cell r="U547" t="str">
            <v>Completed</v>
          </cell>
        </row>
        <row r="548">
          <cell r="E548" t="str">
            <v>Arjun Bose</v>
          </cell>
          <cell r="F548" t="str">
            <v>Corporate</v>
          </cell>
          <cell r="H548" t="str">
            <v>Gujarat</v>
          </cell>
          <cell r="I548" t="str">
            <v>Ahmedabad</v>
          </cell>
          <cell r="J548" t="str">
            <v>office supplies</v>
          </cell>
          <cell r="K548" t="str">
            <v>Paper</v>
          </cell>
          <cell r="T548" t="str">
            <v>Paid</v>
          </cell>
          <cell r="U548" t="str">
            <v>Completed</v>
          </cell>
        </row>
        <row r="549">
          <cell r="E549" t="str">
            <v>Neha Gupta</v>
          </cell>
          <cell r="F549" t="str">
            <v>Small Business</v>
          </cell>
          <cell r="H549" t="str">
            <v>Uttar Pradesh</v>
          </cell>
          <cell r="I549" t="str">
            <v>Noida</v>
          </cell>
          <cell r="J549" t="str">
            <v>Technology</v>
          </cell>
          <cell r="K549" t="str">
            <v>Copiers</v>
          </cell>
          <cell r="T549" t="str">
            <v>Paid</v>
          </cell>
          <cell r="U549" t="str">
            <v>Completed</v>
          </cell>
        </row>
        <row r="550">
          <cell r="E550" t="str">
            <v>Rohan Mehta</v>
          </cell>
          <cell r="F550" t="str">
            <v>Corporate</v>
          </cell>
          <cell r="H550" t="str">
            <v>Bihar</v>
          </cell>
          <cell r="I550" t="str">
            <v>Patna</v>
          </cell>
          <cell r="J550" t="str">
            <v>Furniture</v>
          </cell>
          <cell r="K550" t="str">
            <v>Bookcases</v>
          </cell>
          <cell r="T550" t="str">
            <v>Pending</v>
          </cell>
          <cell r="U550" t="str">
            <v>Cancelled</v>
          </cell>
        </row>
        <row r="551">
          <cell r="E551" t="str">
            <v>Mira Das</v>
          </cell>
          <cell r="F551" t="str">
            <v>Corporate</v>
          </cell>
          <cell r="H551" t="str">
            <v>Telangana</v>
          </cell>
          <cell r="I551" t="str">
            <v>Hyderabad</v>
          </cell>
          <cell r="J551" t="str">
            <v>Office Supplies</v>
          </cell>
          <cell r="K551" t="str">
            <v>Art</v>
          </cell>
          <cell r="T551" t="str">
            <v>Paid</v>
          </cell>
          <cell r="U551" t="str">
            <v>Completed</v>
          </cell>
        </row>
        <row r="552">
          <cell r="E552" t="str">
            <v>Mira Das</v>
          </cell>
          <cell r="F552" t="str">
            <v>Home Office</v>
          </cell>
          <cell r="H552" t="str">
            <v>Odisha</v>
          </cell>
          <cell r="I552" t="str">
            <v>Bhubaneswar</v>
          </cell>
          <cell r="J552" t="str">
            <v>Technology</v>
          </cell>
          <cell r="K552" t="str">
            <v>Accessories</v>
          </cell>
          <cell r="T552" t="str">
            <v>Paid</v>
          </cell>
          <cell r="U552" t="str">
            <v>Completed</v>
          </cell>
        </row>
        <row r="553">
          <cell r="E553" t="str">
            <v>Sneha Kapoor</v>
          </cell>
          <cell r="F553" t="str">
            <v>Consumer</v>
          </cell>
          <cell r="H553" t="str">
            <v>Jharkhand</v>
          </cell>
          <cell r="I553" t="str">
            <v>Ranchi</v>
          </cell>
          <cell r="J553" t="str">
            <v>Furniture</v>
          </cell>
          <cell r="K553" t="str">
            <v>Chairs</v>
          </cell>
          <cell r="T553" t="str">
            <v>Paid</v>
          </cell>
          <cell r="U553" t="str">
            <v>Completed</v>
          </cell>
        </row>
        <row r="554">
          <cell r="E554" t="str">
            <v>Ananya Rao</v>
          </cell>
          <cell r="F554" t="str">
            <v>Corporate</v>
          </cell>
          <cell r="H554" t="str">
            <v>West Bengal</v>
          </cell>
          <cell r="I554" t="str">
            <v>Kolkata</v>
          </cell>
          <cell r="J554" t="str">
            <v>Technology</v>
          </cell>
          <cell r="K554" t="str">
            <v>Copiers</v>
          </cell>
          <cell r="T554" t="str">
            <v>Paid</v>
          </cell>
          <cell r="U554" t="str">
            <v>Completed</v>
          </cell>
        </row>
        <row r="555">
          <cell r="E555" t="str">
            <v>Aarav Sharma</v>
          </cell>
          <cell r="F555" t="str">
            <v>Small Business</v>
          </cell>
          <cell r="H555" t="str">
            <v>Gujarat</v>
          </cell>
          <cell r="I555" t="str">
            <v>Ahmedabad</v>
          </cell>
          <cell r="J555" t="str">
            <v>Office Supplies</v>
          </cell>
          <cell r="K555" t="str">
            <v>Storage</v>
          </cell>
          <cell r="T555" t="str">
            <v>Paid</v>
          </cell>
          <cell r="U555" t="str">
            <v>Completed</v>
          </cell>
        </row>
        <row r="556">
          <cell r="E556" t="str">
            <v>Arjun Bose</v>
          </cell>
          <cell r="F556" t="str">
            <v>Consumer</v>
          </cell>
          <cell r="H556" t="str">
            <v>Jharkhand</v>
          </cell>
          <cell r="I556" t="str">
            <v>Ranchi</v>
          </cell>
          <cell r="J556" t="str">
            <v>Furniture</v>
          </cell>
          <cell r="K556" t="str">
            <v>Furnishings</v>
          </cell>
          <cell r="T556" t="str">
            <v>Paid</v>
          </cell>
          <cell r="U556" t="str">
            <v>Completed</v>
          </cell>
        </row>
        <row r="557">
          <cell r="E557" t="str">
            <v>Ananya Rao</v>
          </cell>
          <cell r="F557" t="str">
            <v>Small Business</v>
          </cell>
          <cell r="H557" t="str">
            <v>Telangana</v>
          </cell>
          <cell r="I557" t="str">
            <v>Hyderabad</v>
          </cell>
          <cell r="J557" t="str">
            <v>Office Supplies</v>
          </cell>
          <cell r="K557" t="str">
            <v>Storage</v>
          </cell>
          <cell r="T557" t="str">
            <v>Paid</v>
          </cell>
          <cell r="U557" t="str">
            <v>Completed</v>
          </cell>
        </row>
        <row r="558">
          <cell r="E558" t="str">
            <v>Neha Gupta</v>
          </cell>
          <cell r="F558" t="str">
            <v>Consumer</v>
          </cell>
          <cell r="H558" t="str">
            <v>Haryana</v>
          </cell>
          <cell r="I558" t="str">
            <v>Gurugram</v>
          </cell>
          <cell r="J558" t="str">
            <v>Furniture</v>
          </cell>
          <cell r="K558" t="str">
            <v>Tables</v>
          </cell>
          <cell r="T558" t="str">
            <v>Paid</v>
          </cell>
          <cell r="U558" t="str">
            <v>Returned</v>
          </cell>
        </row>
        <row r="559">
          <cell r="E559" t="str">
            <v>Vikram Iyer</v>
          </cell>
          <cell r="F559" t="str">
            <v>Home Office</v>
          </cell>
          <cell r="H559" t="str">
            <v>Haryana</v>
          </cell>
          <cell r="I559" t="str">
            <v>Gurugram</v>
          </cell>
          <cell r="J559" t="str">
            <v>Technology</v>
          </cell>
          <cell r="K559" t="str">
            <v>Phones</v>
          </cell>
          <cell r="T559" t="str">
            <v>Paid</v>
          </cell>
          <cell r="U559" t="str">
            <v>Cancelled</v>
          </cell>
        </row>
        <row r="560">
          <cell r="E560" t="str">
            <v>Aditi Sen</v>
          </cell>
          <cell r="F560" t="str">
            <v>Corporate</v>
          </cell>
          <cell r="H560" t="str">
            <v>Punjab</v>
          </cell>
          <cell r="I560" t="str">
            <v>Ludhiana</v>
          </cell>
          <cell r="J560" t="str">
            <v>Technology</v>
          </cell>
          <cell r="K560" t="str">
            <v>Machines</v>
          </cell>
          <cell r="T560" t="str">
            <v>Paid</v>
          </cell>
          <cell r="U560" t="str">
            <v>Completed</v>
          </cell>
        </row>
        <row r="561">
          <cell r="E561" t="str">
            <v>Diya Patel</v>
          </cell>
          <cell r="F561" t="str">
            <v>Corporate</v>
          </cell>
          <cell r="H561" t="str">
            <v>Bihar</v>
          </cell>
          <cell r="I561" t="str">
            <v>Patna</v>
          </cell>
          <cell r="J561" t="str">
            <v>Technology</v>
          </cell>
          <cell r="K561" t="str">
            <v>Copiers</v>
          </cell>
          <cell r="T561" t="str">
            <v>Paid</v>
          </cell>
          <cell r="U561" t="str">
            <v>Returned</v>
          </cell>
        </row>
        <row r="562">
          <cell r="E562" t="str">
            <v>Arjun Bose</v>
          </cell>
          <cell r="F562" t="str">
            <v>Consumer</v>
          </cell>
          <cell r="H562" t="str">
            <v>Goa</v>
          </cell>
          <cell r="I562" t="str">
            <v>Panaji</v>
          </cell>
          <cell r="J562" t="str">
            <v>Office Supplies</v>
          </cell>
          <cell r="K562" t="str">
            <v>Storage</v>
          </cell>
          <cell r="T562" t="str">
            <v>Paid</v>
          </cell>
          <cell r="U562" t="str">
            <v>Cancelled</v>
          </cell>
        </row>
        <row r="563">
          <cell r="E563" t="str">
            <v>Aditi Sen</v>
          </cell>
          <cell r="F563" t="str">
            <v>Consumer</v>
          </cell>
          <cell r="H563" t="str">
            <v>Punjab</v>
          </cell>
          <cell r="I563" t="str">
            <v>Ludhiana</v>
          </cell>
          <cell r="J563" t="str">
            <v>Technology</v>
          </cell>
          <cell r="K563" t="str">
            <v>Copiers</v>
          </cell>
          <cell r="T563" t="str">
            <v>Pending</v>
          </cell>
          <cell r="U563" t="str">
            <v>Returned</v>
          </cell>
        </row>
        <row r="564">
          <cell r="E564" t="str">
            <v>Karan Malhotra</v>
          </cell>
          <cell r="F564" t="str">
            <v>Consumer</v>
          </cell>
          <cell r="H564" t="str">
            <v>Punjab</v>
          </cell>
          <cell r="I564" t="str">
            <v>Ludhiana</v>
          </cell>
          <cell r="J564" t="str">
            <v>Office Supplies</v>
          </cell>
          <cell r="K564" t="str">
            <v>Binders</v>
          </cell>
          <cell r="T564" t="str">
            <v>Failed</v>
          </cell>
          <cell r="U564" t="str">
            <v>Returned</v>
          </cell>
        </row>
        <row r="565">
          <cell r="E565" t="str">
            <v>Arjun Bose</v>
          </cell>
          <cell r="F565" t="str">
            <v>Corporate</v>
          </cell>
          <cell r="H565" t="str">
            <v>Goa</v>
          </cell>
          <cell r="I565" t="str">
            <v>Panaji</v>
          </cell>
          <cell r="J565" t="str">
            <v>Furniture</v>
          </cell>
          <cell r="K565" t="str">
            <v>Tables</v>
          </cell>
          <cell r="T565" t="str">
            <v>Pending</v>
          </cell>
          <cell r="U565" t="str">
            <v>Cancelled</v>
          </cell>
        </row>
        <row r="566">
          <cell r="E566" t="str">
            <v>Sneha Kapoor</v>
          </cell>
          <cell r="F566" t="str">
            <v>Corporate</v>
          </cell>
          <cell r="H566" t="str">
            <v>Andhra Pradesh</v>
          </cell>
          <cell r="I566" t="str">
            <v>Vijayawada</v>
          </cell>
          <cell r="J566" t="str">
            <v>Furniture</v>
          </cell>
          <cell r="K566" t="str">
            <v>Tables</v>
          </cell>
          <cell r="T566" t="str">
            <v>Paid</v>
          </cell>
          <cell r="U566" t="str">
            <v>Completed</v>
          </cell>
        </row>
        <row r="567">
          <cell r="E567" t="str">
            <v>Mira Das</v>
          </cell>
          <cell r="F567" t="str">
            <v>Corporate</v>
          </cell>
          <cell r="H567" t="str">
            <v>Delhi</v>
          </cell>
          <cell r="I567" t="str">
            <v>New Delhi</v>
          </cell>
          <cell r="J567" t="str">
            <v>Technology</v>
          </cell>
          <cell r="K567" t="str">
            <v>Phones</v>
          </cell>
          <cell r="T567" t="str">
            <v>Refunded</v>
          </cell>
          <cell r="U567" t="str">
            <v>Cancelled</v>
          </cell>
        </row>
        <row r="568">
          <cell r="E568" t="str">
            <v>Sneha Kapoor</v>
          </cell>
          <cell r="F568" t="str">
            <v>Small Business</v>
          </cell>
          <cell r="H568" t="str">
            <v>Maharashtra</v>
          </cell>
          <cell r="I568" t="str">
            <v>Mumbai</v>
          </cell>
          <cell r="J568" t="str">
            <v>Office Supplies</v>
          </cell>
          <cell r="K568" t="str">
            <v>Paper</v>
          </cell>
          <cell r="T568" t="str">
            <v>Failed</v>
          </cell>
          <cell r="U568" t="str">
            <v>Returned</v>
          </cell>
        </row>
        <row r="569">
          <cell r="E569" t="str">
            <v>Arjun Bose</v>
          </cell>
          <cell r="F569" t="str">
            <v>Home Office</v>
          </cell>
          <cell r="H569" t="str">
            <v>Uttar Pradesh</v>
          </cell>
          <cell r="I569" t="str">
            <v>Noida</v>
          </cell>
          <cell r="J569" t="str">
            <v>Furniture</v>
          </cell>
          <cell r="K569" t="str">
            <v>Furnishings</v>
          </cell>
          <cell r="T569" t="str">
            <v>Paid</v>
          </cell>
          <cell r="U569" t="str">
            <v>Completed</v>
          </cell>
        </row>
        <row r="570">
          <cell r="E570" t="str">
            <v>Kabir Singh</v>
          </cell>
          <cell r="F570" t="str">
            <v>Corporate</v>
          </cell>
          <cell r="H570" t="str">
            <v>Punjab</v>
          </cell>
          <cell r="I570" t="str">
            <v>Ludhiana</v>
          </cell>
          <cell r="J570" t="str">
            <v>Technology</v>
          </cell>
          <cell r="K570" t="str">
            <v>Machines</v>
          </cell>
          <cell r="T570" t="str">
            <v>Paid</v>
          </cell>
          <cell r="U570" t="str">
            <v>Completed</v>
          </cell>
        </row>
        <row r="571">
          <cell r="E571" t="str">
            <v>Rahul Verma</v>
          </cell>
          <cell r="F571" t="str">
            <v>Home Office</v>
          </cell>
          <cell r="H571" t="str">
            <v>Maharashtra</v>
          </cell>
          <cell r="I571" t="str">
            <v>Mumbai</v>
          </cell>
          <cell r="J571" t="str">
            <v>Furniture</v>
          </cell>
          <cell r="K571" t="str">
            <v>Furnishings</v>
          </cell>
          <cell r="T571" t="str">
            <v>Refunded</v>
          </cell>
          <cell r="U571" t="str">
            <v>Returned</v>
          </cell>
        </row>
        <row r="572">
          <cell r="E572" t="str">
            <v>Arjun Bose</v>
          </cell>
          <cell r="F572" t="str">
            <v>Consumer</v>
          </cell>
          <cell r="H572" t="str">
            <v>Jharkhand</v>
          </cell>
          <cell r="I572" t="str">
            <v>Ranchi</v>
          </cell>
          <cell r="J572" t="str">
            <v>Furniture</v>
          </cell>
          <cell r="K572" t="str">
            <v>Furnishings</v>
          </cell>
          <cell r="T572" t="str">
            <v>Failed</v>
          </cell>
          <cell r="U572" t="str">
            <v>Returned</v>
          </cell>
        </row>
        <row r="573">
          <cell r="E573" t="str">
            <v>Priya Menon</v>
          </cell>
          <cell r="F573" t="str">
            <v>Small Business</v>
          </cell>
          <cell r="H573" t="str">
            <v>Uttar Pradesh</v>
          </cell>
          <cell r="I573" t="str">
            <v>Noida</v>
          </cell>
          <cell r="J573" t="str">
            <v>Technology</v>
          </cell>
          <cell r="K573" t="str">
            <v>Phones</v>
          </cell>
          <cell r="T573" t="str">
            <v>Failed</v>
          </cell>
          <cell r="U573" t="str">
            <v>Returned</v>
          </cell>
        </row>
        <row r="574">
          <cell r="E574" t="str">
            <v>Diya Patel</v>
          </cell>
          <cell r="F574" t="str">
            <v>Corporate</v>
          </cell>
          <cell r="H574" t="str">
            <v>Delhi</v>
          </cell>
          <cell r="I574" t="str">
            <v>New Delhi</v>
          </cell>
          <cell r="J574" t="str">
            <v>Technology</v>
          </cell>
          <cell r="K574" t="str">
            <v>Phones</v>
          </cell>
          <cell r="T574" t="str">
            <v>Paid</v>
          </cell>
          <cell r="U574" t="str">
            <v>Completed</v>
          </cell>
        </row>
        <row r="575">
          <cell r="E575" t="str">
            <v>Isha Nair</v>
          </cell>
          <cell r="F575" t="str">
            <v>Consumer</v>
          </cell>
          <cell r="H575" t="str">
            <v>Andhra Pradesh</v>
          </cell>
          <cell r="I575" t="str">
            <v>Vijayawada</v>
          </cell>
          <cell r="J575" t="str">
            <v>Technology</v>
          </cell>
          <cell r="K575" t="str">
            <v>Phones</v>
          </cell>
          <cell r="T575" t="str">
            <v>Paid</v>
          </cell>
          <cell r="U575" t="str">
            <v>Completed</v>
          </cell>
        </row>
        <row r="576">
          <cell r="E576" t="str">
            <v>Diya Patel</v>
          </cell>
          <cell r="F576" t="str">
            <v>Home Office</v>
          </cell>
          <cell r="H576" t="str">
            <v>Punjab</v>
          </cell>
          <cell r="I576" t="str">
            <v>Ludhiana</v>
          </cell>
          <cell r="J576" t="str">
            <v>Technology</v>
          </cell>
          <cell r="K576" t="str">
            <v>Machines</v>
          </cell>
          <cell r="T576" t="str">
            <v>Paid</v>
          </cell>
          <cell r="U576" t="str">
            <v>Completed</v>
          </cell>
        </row>
        <row r="577">
          <cell r="E577" t="str">
            <v>Sneha Kapoor</v>
          </cell>
          <cell r="F577" t="str">
            <v>Home Office</v>
          </cell>
          <cell r="H577" t="str">
            <v>Kerala</v>
          </cell>
          <cell r="I577" t="str">
            <v>Kochi</v>
          </cell>
          <cell r="J577" t="str">
            <v>Furniture</v>
          </cell>
          <cell r="K577" t="str">
            <v>Furnishings</v>
          </cell>
          <cell r="T577" t="str">
            <v>Failed</v>
          </cell>
          <cell r="U577" t="str">
            <v>Returned</v>
          </cell>
        </row>
        <row r="578">
          <cell r="E578" t="str">
            <v>Rohan Mehta</v>
          </cell>
          <cell r="F578" t="str">
            <v>Home Office</v>
          </cell>
          <cell r="H578" t="str">
            <v>Bihar</v>
          </cell>
          <cell r="I578" t="str">
            <v>Patna</v>
          </cell>
          <cell r="J578" t="str">
            <v>Office Supplies</v>
          </cell>
          <cell r="K578" t="str">
            <v>Binders</v>
          </cell>
          <cell r="T578" t="str">
            <v>Refunded</v>
          </cell>
          <cell r="U578" t="str">
            <v>Returned</v>
          </cell>
        </row>
        <row r="579">
          <cell r="E579" t="str">
            <v>Priya Menon</v>
          </cell>
          <cell r="F579" t="str">
            <v>Corporate</v>
          </cell>
          <cell r="H579" t="str">
            <v>Madhya Pradesh</v>
          </cell>
          <cell r="I579" t="str">
            <v>Indore</v>
          </cell>
          <cell r="J579" t="str">
            <v>Furniture</v>
          </cell>
          <cell r="K579" t="str">
            <v>Furnishings</v>
          </cell>
          <cell r="T579" t="str">
            <v>Paid</v>
          </cell>
          <cell r="U579" t="str">
            <v>Completed</v>
          </cell>
        </row>
        <row r="580">
          <cell r="E580" t="str">
            <v>Neha Gupta</v>
          </cell>
          <cell r="F580" t="str">
            <v>Small Business</v>
          </cell>
          <cell r="H580" t="str">
            <v>Gujarat</v>
          </cell>
          <cell r="I580" t="str">
            <v>Ahmedabad</v>
          </cell>
          <cell r="J580" t="str">
            <v>Technology</v>
          </cell>
          <cell r="K580" t="str">
            <v>Copiers</v>
          </cell>
          <cell r="T580" t="str">
            <v>Paid</v>
          </cell>
          <cell r="U580" t="str">
            <v>Completed</v>
          </cell>
        </row>
        <row r="581">
          <cell r="E581" t="str">
            <v>Aarav Sharma</v>
          </cell>
          <cell r="F581" t="str">
            <v>Small Business</v>
          </cell>
          <cell r="H581" t="str">
            <v>Tamil Nadu</v>
          </cell>
          <cell r="I581" t="str">
            <v>Chennai</v>
          </cell>
          <cell r="J581" t="str">
            <v>Office Supplies</v>
          </cell>
          <cell r="K581" t="str">
            <v>Storage</v>
          </cell>
          <cell r="T581" t="str">
            <v>Paid</v>
          </cell>
          <cell r="U581" t="str">
            <v>Completed</v>
          </cell>
        </row>
        <row r="582">
          <cell r="E582" t="str">
            <v>Kabir Singh</v>
          </cell>
          <cell r="F582" t="str">
            <v>Consumer</v>
          </cell>
          <cell r="H582" t="str">
            <v>Kerala</v>
          </cell>
          <cell r="I582" t="str">
            <v>Kochi</v>
          </cell>
          <cell r="J582" t="str">
            <v>Furniture</v>
          </cell>
          <cell r="K582" t="str">
            <v>Chairs</v>
          </cell>
          <cell r="T582" t="str">
            <v>Failed</v>
          </cell>
          <cell r="U582" t="str">
            <v>Returned</v>
          </cell>
        </row>
        <row r="583">
          <cell r="E583" t="str">
            <v>Neha Gupta</v>
          </cell>
          <cell r="F583" t="str">
            <v>Consumer</v>
          </cell>
          <cell r="H583" t="str">
            <v>Delhi</v>
          </cell>
          <cell r="I583" t="str">
            <v>New Delhi</v>
          </cell>
          <cell r="J583" t="str">
            <v>Office Supplies</v>
          </cell>
          <cell r="K583" t="str">
            <v>Art</v>
          </cell>
          <cell r="T583" t="str">
            <v>Refunded</v>
          </cell>
          <cell r="U583" t="str">
            <v>Returned</v>
          </cell>
        </row>
        <row r="584">
          <cell r="E584" t="str">
            <v>Ananya Rao</v>
          </cell>
          <cell r="F584" t="str">
            <v>Consumer</v>
          </cell>
          <cell r="H584" t="str">
            <v>Odisha</v>
          </cell>
          <cell r="I584" t="str">
            <v>Bhubaneswar</v>
          </cell>
          <cell r="J584" t="str">
            <v>Office Supplies</v>
          </cell>
          <cell r="K584" t="str">
            <v>Art</v>
          </cell>
          <cell r="T584" t="str">
            <v>Pending</v>
          </cell>
          <cell r="U584" t="str">
            <v>Returned</v>
          </cell>
        </row>
        <row r="585">
          <cell r="E585" t="str">
            <v>Rohan Mehta</v>
          </cell>
          <cell r="F585" t="str">
            <v>Small Business</v>
          </cell>
          <cell r="H585" t="str">
            <v>West Bengal</v>
          </cell>
          <cell r="I585" t="str">
            <v>Kolkata</v>
          </cell>
          <cell r="J585" t="str">
            <v>Office Supplies</v>
          </cell>
          <cell r="K585" t="str">
            <v>Storage</v>
          </cell>
          <cell r="T585" t="str">
            <v>Failed</v>
          </cell>
          <cell r="U585" t="str">
            <v>Returned</v>
          </cell>
        </row>
        <row r="586">
          <cell r="E586" t="str">
            <v>Vikram Iyer</v>
          </cell>
          <cell r="F586" t="str">
            <v>Consumer</v>
          </cell>
          <cell r="H586" t="str">
            <v>Bihar</v>
          </cell>
          <cell r="I586" t="str">
            <v>Patna</v>
          </cell>
          <cell r="J586" t="str">
            <v>Office Supplies</v>
          </cell>
          <cell r="K586" t="str">
            <v>Art</v>
          </cell>
          <cell r="T586" t="str">
            <v>Pending</v>
          </cell>
          <cell r="U586" t="str">
            <v>Returned</v>
          </cell>
        </row>
        <row r="587">
          <cell r="E587" t="str">
            <v>Diya Patel</v>
          </cell>
          <cell r="F587" t="str">
            <v>Small Business</v>
          </cell>
          <cell r="H587" t="str">
            <v>Maharashtra</v>
          </cell>
          <cell r="I587" t="str">
            <v>Mumbai</v>
          </cell>
          <cell r="J587" t="str">
            <v>Technology</v>
          </cell>
          <cell r="K587" t="str">
            <v>Phones</v>
          </cell>
          <cell r="T587" t="str">
            <v>Paid</v>
          </cell>
          <cell r="U587" t="str">
            <v>Completed</v>
          </cell>
        </row>
        <row r="588">
          <cell r="E588" t="str">
            <v>Mira Das</v>
          </cell>
          <cell r="F588" t="str">
            <v>Home Office</v>
          </cell>
          <cell r="H588" t="str">
            <v>Punjab</v>
          </cell>
          <cell r="I588" t="str">
            <v>Ludhiana</v>
          </cell>
          <cell r="J588" t="str">
            <v>Office Supplies</v>
          </cell>
          <cell r="K588" t="str">
            <v>Binders</v>
          </cell>
          <cell r="T588" t="str">
            <v>Paid</v>
          </cell>
          <cell r="U588" t="str">
            <v>Completed</v>
          </cell>
        </row>
        <row r="589">
          <cell r="E589" t="str">
            <v>Kabir Singh</v>
          </cell>
          <cell r="F589" t="str">
            <v>Home Office</v>
          </cell>
          <cell r="H589" t="str">
            <v>Madhya Pradesh</v>
          </cell>
          <cell r="I589" t="str">
            <v>Indore</v>
          </cell>
          <cell r="J589" t="str">
            <v>Technology</v>
          </cell>
          <cell r="K589" t="str">
            <v>Accessories</v>
          </cell>
          <cell r="T589" t="str">
            <v>Refunded</v>
          </cell>
          <cell r="U589" t="str">
            <v>Cancelled</v>
          </cell>
        </row>
        <row r="590">
          <cell r="E590" t="str">
            <v>Aarav Sharma</v>
          </cell>
          <cell r="F590" t="str">
            <v>Home Office</v>
          </cell>
          <cell r="H590" t="str">
            <v>Karnataka</v>
          </cell>
          <cell r="I590" t="str">
            <v>Bengaluru</v>
          </cell>
          <cell r="J590" t="str">
            <v>Technology</v>
          </cell>
          <cell r="K590" t="str">
            <v>Accessories</v>
          </cell>
          <cell r="T590" t="str">
            <v>Refunded</v>
          </cell>
          <cell r="U590" t="str">
            <v>Cancelled</v>
          </cell>
        </row>
        <row r="591">
          <cell r="E591" t="str">
            <v>Rohan Mehta</v>
          </cell>
          <cell r="F591" t="str">
            <v>Corporate</v>
          </cell>
          <cell r="H591" t="str">
            <v>Uttar Pradesh</v>
          </cell>
          <cell r="I591" t="str">
            <v>Noida</v>
          </cell>
          <cell r="J591" t="str">
            <v>Technology</v>
          </cell>
          <cell r="K591" t="str">
            <v>Phones</v>
          </cell>
          <cell r="T591" t="str">
            <v>Paid</v>
          </cell>
          <cell r="U591" t="str">
            <v>Completed</v>
          </cell>
        </row>
        <row r="592">
          <cell r="E592" t="str">
            <v>Aarav Sharma</v>
          </cell>
          <cell r="F592" t="str">
            <v>Home Office</v>
          </cell>
          <cell r="H592" t="str">
            <v>Delhi</v>
          </cell>
          <cell r="I592" t="str">
            <v>New Delhi</v>
          </cell>
          <cell r="J592" t="str">
            <v>Furniture</v>
          </cell>
          <cell r="K592" t="str">
            <v>Chairs</v>
          </cell>
          <cell r="T592" t="str">
            <v>Pending</v>
          </cell>
          <cell r="U592" t="str">
            <v>Cancelled</v>
          </cell>
        </row>
        <row r="593">
          <cell r="E593" t="str">
            <v>Sneha Kapoor</v>
          </cell>
          <cell r="F593" t="str">
            <v>Consumer</v>
          </cell>
          <cell r="H593" t="str">
            <v>Karnataka</v>
          </cell>
          <cell r="I593" t="str">
            <v>Bengaluru</v>
          </cell>
          <cell r="J593" t="str">
            <v>Technology</v>
          </cell>
          <cell r="K593" t="str">
            <v>Copiers</v>
          </cell>
          <cell r="T593" t="str">
            <v>Failed</v>
          </cell>
          <cell r="U593" t="str">
            <v>Returned</v>
          </cell>
        </row>
        <row r="594">
          <cell r="E594" t="str">
            <v>Mira Das</v>
          </cell>
          <cell r="F594" t="str">
            <v>Consumer</v>
          </cell>
          <cell r="H594" t="str">
            <v>West Bengal</v>
          </cell>
          <cell r="I594" t="str">
            <v>Kolkata</v>
          </cell>
          <cell r="J594" t="str">
            <v>Technology</v>
          </cell>
          <cell r="K594" t="str">
            <v>Accessories</v>
          </cell>
          <cell r="T594" t="str">
            <v>Paid</v>
          </cell>
          <cell r="U594" t="str">
            <v>Completed</v>
          </cell>
        </row>
        <row r="595">
          <cell r="E595" t="str">
            <v>Arjun Bose</v>
          </cell>
          <cell r="F595" t="str">
            <v>Home Office</v>
          </cell>
          <cell r="H595" t="str">
            <v>Uttar Pradesh</v>
          </cell>
          <cell r="I595" t="str">
            <v>Noida</v>
          </cell>
          <cell r="J595" t="str">
            <v>Furniture</v>
          </cell>
          <cell r="K595" t="str">
            <v>Tables</v>
          </cell>
          <cell r="T595" t="str">
            <v>Paid</v>
          </cell>
          <cell r="U595" t="str">
            <v>Completed</v>
          </cell>
        </row>
        <row r="596">
          <cell r="E596" t="str">
            <v>Karan Malhotra</v>
          </cell>
          <cell r="F596" t="str">
            <v>Small Business</v>
          </cell>
          <cell r="H596" t="str">
            <v>West Bengal</v>
          </cell>
          <cell r="I596" t="str">
            <v>Kolkata</v>
          </cell>
          <cell r="J596" t="str">
            <v>Furniture</v>
          </cell>
          <cell r="K596" t="str">
            <v>Chairs</v>
          </cell>
          <cell r="T596" t="str">
            <v>Paid</v>
          </cell>
          <cell r="U596" t="str">
            <v>Completed</v>
          </cell>
        </row>
        <row r="597">
          <cell r="E597" t="str">
            <v>Mira Das</v>
          </cell>
          <cell r="F597" t="str">
            <v>Corporate</v>
          </cell>
          <cell r="H597" t="str">
            <v>Uttar Pradesh</v>
          </cell>
          <cell r="I597" t="str">
            <v>Noida</v>
          </cell>
          <cell r="J597" t="str">
            <v>Technology</v>
          </cell>
          <cell r="K597" t="str">
            <v>Phones</v>
          </cell>
          <cell r="T597" t="str">
            <v>Paid</v>
          </cell>
          <cell r="U597" t="str">
            <v>Completed</v>
          </cell>
        </row>
        <row r="598">
          <cell r="E598" t="str">
            <v>Aditi Sen</v>
          </cell>
          <cell r="F598" t="str">
            <v>Consumer</v>
          </cell>
          <cell r="H598" t="str">
            <v>Kerala</v>
          </cell>
          <cell r="I598" t="str">
            <v>Kochi</v>
          </cell>
          <cell r="J598" t="str">
            <v>Furniture</v>
          </cell>
          <cell r="K598" t="str">
            <v>Chairs</v>
          </cell>
          <cell r="T598" t="str">
            <v>Paid</v>
          </cell>
          <cell r="U598" t="str">
            <v>Completed</v>
          </cell>
        </row>
        <row r="599">
          <cell r="E599" t="str">
            <v>Aditi Sen</v>
          </cell>
          <cell r="F599" t="str">
            <v>Consumer</v>
          </cell>
          <cell r="H599" t="str">
            <v>Telangana</v>
          </cell>
          <cell r="I599" t="str">
            <v>Hyderabad</v>
          </cell>
          <cell r="J599" t="str">
            <v>Technology</v>
          </cell>
          <cell r="K599" t="str">
            <v>Copiers</v>
          </cell>
          <cell r="T599" t="str">
            <v>Paid</v>
          </cell>
          <cell r="U599" t="str">
            <v>Completed</v>
          </cell>
        </row>
        <row r="600">
          <cell r="E600" t="str">
            <v>Ananya Rao</v>
          </cell>
          <cell r="F600" t="str">
            <v>Corporate</v>
          </cell>
          <cell r="H600" t="str">
            <v>West Bengal</v>
          </cell>
          <cell r="I600" t="str">
            <v>Kolkata</v>
          </cell>
          <cell r="J600" t="str">
            <v>Technology</v>
          </cell>
          <cell r="K600" t="str">
            <v>Copiers</v>
          </cell>
          <cell r="T600" t="str">
            <v>Paid</v>
          </cell>
          <cell r="U600" t="str">
            <v>Completed</v>
          </cell>
        </row>
        <row r="601">
          <cell r="E601" t="str">
            <v>Arjun Bose</v>
          </cell>
          <cell r="F601" t="str">
            <v>Consumer</v>
          </cell>
          <cell r="H601" t="str">
            <v>Punjab</v>
          </cell>
          <cell r="I601" t="str">
            <v>Ludhiana</v>
          </cell>
          <cell r="J601" t="str">
            <v>Technology</v>
          </cell>
          <cell r="K601" t="str">
            <v>Phones</v>
          </cell>
          <cell r="T601" t="str">
            <v>Paid</v>
          </cell>
          <cell r="U601" t="str">
            <v>Completed</v>
          </cell>
        </row>
        <row r="602">
          <cell r="E602" t="str">
            <v>Ananya Rao</v>
          </cell>
          <cell r="F602" t="str">
            <v>Corporate</v>
          </cell>
          <cell r="H602" t="str">
            <v>Madhya Pradesh</v>
          </cell>
          <cell r="I602" t="str">
            <v>Indore</v>
          </cell>
          <cell r="J602" t="str">
            <v>Office Supplies</v>
          </cell>
          <cell r="K602" t="str">
            <v>Storage</v>
          </cell>
          <cell r="T602" t="str">
            <v>Paid</v>
          </cell>
          <cell r="U602" t="str">
            <v>Completed</v>
          </cell>
        </row>
        <row r="603">
          <cell r="E603" t="str">
            <v>Ananya Rao</v>
          </cell>
          <cell r="F603" t="str">
            <v>Home Office</v>
          </cell>
          <cell r="H603" t="str">
            <v>West Bengal</v>
          </cell>
          <cell r="I603" t="str">
            <v>Kolkata</v>
          </cell>
          <cell r="J603" t="str">
            <v>Office Supplies</v>
          </cell>
          <cell r="K603" t="str">
            <v>Paper</v>
          </cell>
          <cell r="T603" t="str">
            <v>Paid</v>
          </cell>
          <cell r="U603" t="str">
            <v>Completed</v>
          </cell>
        </row>
        <row r="604">
          <cell r="E604" t="str">
            <v>Aarav Sharma</v>
          </cell>
          <cell r="F604" t="str">
            <v>Consumer</v>
          </cell>
          <cell r="H604" t="str">
            <v>Jharkhand</v>
          </cell>
          <cell r="I604" t="str">
            <v>Ranchi</v>
          </cell>
          <cell r="J604" t="str">
            <v>Technology</v>
          </cell>
          <cell r="K604" t="str">
            <v>Copiers</v>
          </cell>
          <cell r="T604" t="str">
            <v>Paid</v>
          </cell>
          <cell r="U604" t="str">
            <v>Completed</v>
          </cell>
        </row>
        <row r="605">
          <cell r="E605" t="str">
            <v>Vikram Iyer</v>
          </cell>
          <cell r="F605" t="str">
            <v>Corporate</v>
          </cell>
          <cell r="H605" t="str">
            <v>Bihar</v>
          </cell>
          <cell r="I605" t="str">
            <v>Patna</v>
          </cell>
          <cell r="J605" t="str">
            <v>Technology</v>
          </cell>
          <cell r="K605" t="str">
            <v>Accessories</v>
          </cell>
          <cell r="T605" t="str">
            <v>Pending</v>
          </cell>
          <cell r="U605" t="str">
            <v>Cancelled</v>
          </cell>
        </row>
        <row r="606">
          <cell r="E606" t="str">
            <v>Ananya Rao</v>
          </cell>
          <cell r="F606" t="str">
            <v>Consumer</v>
          </cell>
          <cell r="H606" t="str">
            <v>Madhya Pradesh</v>
          </cell>
          <cell r="I606" t="str">
            <v>Indore</v>
          </cell>
          <cell r="J606" t="str">
            <v>Office Supplies</v>
          </cell>
          <cell r="K606" t="str">
            <v>Binders</v>
          </cell>
          <cell r="T606" t="str">
            <v>Paid</v>
          </cell>
          <cell r="U606" t="str">
            <v>Completed</v>
          </cell>
        </row>
        <row r="607">
          <cell r="E607" t="str">
            <v>Kabir Singh</v>
          </cell>
          <cell r="F607" t="str">
            <v>Corporate</v>
          </cell>
          <cell r="H607" t="str">
            <v>Goa</v>
          </cell>
          <cell r="I607" t="str">
            <v>Panaji</v>
          </cell>
          <cell r="J607" t="str">
            <v>Furniture</v>
          </cell>
          <cell r="K607" t="str">
            <v>Furnishings</v>
          </cell>
          <cell r="T607" t="str">
            <v>Paid</v>
          </cell>
          <cell r="U607" t="str">
            <v>Cancelled</v>
          </cell>
        </row>
        <row r="608">
          <cell r="E608" t="str">
            <v>Rahul Verma</v>
          </cell>
          <cell r="F608" t="str">
            <v>Home Office</v>
          </cell>
          <cell r="H608" t="str">
            <v>Madhya Pradesh</v>
          </cell>
          <cell r="I608" t="str">
            <v>Indore</v>
          </cell>
          <cell r="J608" t="str">
            <v>Technology</v>
          </cell>
          <cell r="K608" t="str">
            <v>Copiers</v>
          </cell>
          <cell r="T608" t="str">
            <v>Paid</v>
          </cell>
          <cell r="U608" t="str">
            <v>Completed</v>
          </cell>
        </row>
        <row r="609">
          <cell r="E609" t="str">
            <v>Sneha Kapoor</v>
          </cell>
          <cell r="F609" t="str">
            <v>Home Office</v>
          </cell>
          <cell r="H609" t="str">
            <v>Bihar</v>
          </cell>
          <cell r="I609" t="str">
            <v>Patna</v>
          </cell>
          <cell r="J609" t="str">
            <v>Office Supplies</v>
          </cell>
          <cell r="K609" t="str">
            <v>Storage</v>
          </cell>
          <cell r="T609" t="str">
            <v>Paid</v>
          </cell>
          <cell r="U609" t="str">
            <v>Completed</v>
          </cell>
        </row>
        <row r="610">
          <cell r="E610" t="str">
            <v>Karan Malhotra</v>
          </cell>
          <cell r="F610" t="str">
            <v>Home Office</v>
          </cell>
          <cell r="H610" t="str">
            <v>Goa</v>
          </cell>
          <cell r="I610" t="str">
            <v>Panaji</v>
          </cell>
          <cell r="J610" t="str">
            <v>Furniture</v>
          </cell>
          <cell r="K610" t="str">
            <v>Furnishings</v>
          </cell>
          <cell r="T610" t="str">
            <v>Paid</v>
          </cell>
          <cell r="U610" t="str">
            <v>Completed</v>
          </cell>
        </row>
        <row r="611">
          <cell r="E611" t="str">
            <v>Sneha Kapoor</v>
          </cell>
          <cell r="F611" t="str">
            <v>Home Office</v>
          </cell>
          <cell r="H611" t="str">
            <v>Karnataka</v>
          </cell>
          <cell r="I611" t="str">
            <v>Bengaluru</v>
          </cell>
          <cell r="J611" t="str">
            <v>Furniture</v>
          </cell>
          <cell r="K611" t="str">
            <v>Chairs</v>
          </cell>
          <cell r="T611" t="str">
            <v>Paid</v>
          </cell>
          <cell r="U611" t="str">
            <v>Completed</v>
          </cell>
        </row>
        <row r="612">
          <cell r="E612" t="str">
            <v>Karan Malhotra</v>
          </cell>
          <cell r="F612" t="str">
            <v>Home Office</v>
          </cell>
          <cell r="H612" t="str">
            <v>Madhya Pradesh</v>
          </cell>
          <cell r="I612" t="str">
            <v>Indore</v>
          </cell>
          <cell r="J612" t="str">
            <v>Furniture</v>
          </cell>
          <cell r="K612" t="str">
            <v>Chairs</v>
          </cell>
          <cell r="T612" t="str">
            <v>Paid</v>
          </cell>
          <cell r="U612" t="str">
            <v>Completed</v>
          </cell>
        </row>
        <row r="613">
          <cell r="E613" t="str">
            <v>Ananya Rao</v>
          </cell>
          <cell r="F613" t="str">
            <v>Small Business</v>
          </cell>
          <cell r="H613" t="str">
            <v>Rajasthan</v>
          </cell>
          <cell r="I613" t="str">
            <v>Jaipur</v>
          </cell>
          <cell r="J613" t="str">
            <v>Office Supplies</v>
          </cell>
          <cell r="K613" t="str">
            <v>Binders</v>
          </cell>
          <cell r="T613" t="str">
            <v>Paid</v>
          </cell>
          <cell r="U613" t="str">
            <v>Completed</v>
          </cell>
        </row>
        <row r="614">
          <cell r="E614" t="str">
            <v>Aditi Sen</v>
          </cell>
          <cell r="F614" t="str">
            <v>Consumer</v>
          </cell>
          <cell r="H614" t="str">
            <v>Odisha</v>
          </cell>
          <cell r="I614" t="str">
            <v>Bhubaneswar</v>
          </cell>
          <cell r="J614" t="str">
            <v>Technology</v>
          </cell>
          <cell r="K614" t="str">
            <v>Phones</v>
          </cell>
          <cell r="T614" t="str">
            <v>Paid</v>
          </cell>
          <cell r="U614" t="str">
            <v>Completed</v>
          </cell>
        </row>
        <row r="615">
          <cell r="E615" t="str">
            <v>Diya Patel</v>
          </cell>
          <cell r="F615" t="str">
            <v>Home Office</v>
          </cell>
          <cell r="H615" t="str">
            <v>Gujarat</v>
          </cell>
          <cell r="I615" t="str">
            <v>Ahmedabad</v>
          </cell>
          <cell r="J615" t="str">
            <v>Technology</v>
          </cell>
          <cell r="K615" t="str">
            <v>Machines</v>
          </cell>
          <cell r="T615" t="str">
            <v>Paid</v>
          </cell>
          <cell r="U615" t="str">
            <v>Completed</v>
          </cell>
        </row>
        <row r="616">
          <cell r="E616" t="str">
            <v>Ananya Rao</v>
          </cell>
          <cell r="F616" t="str">
            <v>Home Office</v>
          </cell>
          <cell r="H616" t="str">
            <v>Telangana</v>
          </cell>
          <cell r="I616" t="str">
            <v>Hyderabad</v>
          </cell>
          <cell r="J616" t="str">
            <v>Furniture</v>
          </cell>
          <cell r="K616" t="str">
            <v>Chairs</v>
          </cell>
          <cell r="T616" t="str">
            <v>Refunded</v>
          </cell>
          <cell r="U616" t="str">
            <v>Cancelled</v>
          </cell>
        </row>
        <row r="617">
          <cell r="E617" t="str">
            <v>Rahul Verma</v>
          </cell>
          <cell r="F617" t="str">
            <v>Corporate</v>
          </cell>
          <cell r="H617" t="str">
            <v>Kerala</v>
          </cell>
          <cell r="I617" t="str">
            <v>Kochi</v>
          </cell>
          <cell r="J617" t="str">
            <v>Office Supplies</v>
          </cell>
          <cell r="K617" t="str">
            <v>Art</v>
          </cell>
          <cell r="T617" t="str">
            <v>Paid</v>
          </cell>
          <cell r="U617" t="str">
            <v>Completed</v>
          </cell>
        </row>
        <row r="618">
          <cell r="E618" t="str">
            <v>Kabir Singh</v>
          </cell>
          <cell r="F618" t="str">
            <v>Consumer</v>
          </cell>
          <cell r="H618" t="str">
            <v>Telangana</v>
          </cell>
          <cell r="I618" t="str">
            <v>Hyderabad</v>
          </cell>
          <cell r="J618" t="str">
            <v>Office Supplies</v>
          </cell>
          <cell r="K618" t="str">
            <v>Paper</v>
          </cell>
          <cell r="T618" t="str">
            <v>Paid</v>
          </cell>
          <cell r="U618" t="str">
            <v>Completed</v>
          </cell>
        </row>
        <row r="619">
          <cell r="E619" t="str">
            <v>Mira Das</v>
          </cell>
          <cell r="F619" t="str">
            <v>Home Office</v>
          </cell>
          <cell r="H619" t="str">
            <v>Telangana</v>
          </cell>
          <cell r="I619" t="str">
            <v>Hyderabad</v>
          </cell>
          <cell r="J619" t="str">
            <v>Technology</v>
          </cell>
          <cell r="K619" t="str">
            <v>Phones</v>
          </cell>
          <cell r="T619" t="str">
            <v>Paid</v>
          </cell>
          <cell r="U619" t="str">
            <v>Completed</v>
          </cell>
        </row>
        <row r="620">
          <cell r="E620" t="str">
            <v>Kabir Singh</v>
          </cell>
          <cell r="F620" t="str">
            <v>Corporate</v>
          </cell>
          <cell r="H620" t="str">
            <v>Rajasthan</v>
          </cell>
          <cell r="I620" t="str">
            <v>Jaipur</v>
          </cell>
          <cell r="J620" t="str">
            <v>Furniture</v>
          </cell>
          <cell r="K620" t="str">
            <v>Tables</v>
          </cell>
          <cell r="T620" t="str">
            <v>Failed</v>
          </cell>
          <cell r="U620" t="str">
            <v>Cancelled</v>
          </cell>
        </row>
        <row r="621">
          <cell r="E621" t="str">
            <v>Priya Menon</v>
          </cell>
          <cell r="F621" t="str">
            <v>Corporate</v>
          </cell>
          <cell r="H621" t="str">
            <v>Tamil Nadu</v>
          </cell>
          <cell r="I621" t="str">
            <v>Chennai</v>
          </cell>
          <cell r="J621" t="str">
            <v>Office Supplies</v>
          </cell>
          <cell r="K621" t="str">
            <v>Binders</v>
          </cell>
          <cell r="T621" t="str">
            <v>Refunded</v>
          </cell>
          <cell r="U621" t="str">
            <v>Returned</v>
          </cell>
        </row>
        <row r="622">
          <cell r="E622" t="str">
            <v>Vikram Iyer</v>
          </cell>
          <cell r="F622" t="str">
            <v>Consumer</v>
          </cell>
          <cell r="H622" t="str">
            <v>Uttar Pradesh</v>
          </cell>
          <cell r="I622" t="str">
            <v>Noida</v>
          </cell>
          <cell r="J622" t="str">
            <v>Technology</v>
          </cell>
          <cell r="K622" t="str">
            <v>Machines</v>
          </cell>
          <cell r="T622" t="str">
            <v>Paid</v>
          </cell>
          <cell r="U622" t="str">
            <v>Completed</v>
          </cell>
        </row>
        <row r="623">
          <cell r="E623" t="str">
            <v>Aditi Sen</v>
          </cell>
          <cell r="F623" t="str">
            <v>Consumer</v>
          </cell>
          <cell r="H623" t="str">
            <v>Maharashtra</v>
          </cell>
          <cell r="I623" t="str">
            <v>Mumbai</v>
          </cell>
          <cell r="J623" t="str">
            <v>Furniture</v>
          </cell>
          <cell r="K623" t="str">
            <v>Chairs</v>
          </cell>
          <cell r="T623" t="str">
            <v>Paid</v>
          </cell>
          <cell r="U623" t="str">
            <v>Completed</v>
          </cell>
        </row>
        <row r="624">
          <cell r="E624" t="str">
            <v>Vikram Iyer</v>
          </cell>
          <cell r="F624" t="str">
            <v>Consumer</v>
          </cell>
          <cell r="H624" t="str">
            <v>Bihar</v>
          </cell>
          <cell r="I624" t="str">
            <v>Patna</v>
          </cell>
          <cell r="J624" t="str">
            <v>Office Supplies</v>
          </cell>
          <cell r="K624" t="str">
            <v>Storage</v>
          </cell>
          <cell r="T624" t="str">
            <v>Paid</v>
          </cell>
          <cell r="U624" t="str">
            <v>Completed</v>
          </cell>
        </row>
        <row r="625">
          <cell r="E625" t="str">
            <v>Vikram Iyer</v>
          </cell>
          <cell r="F625" t="str">
            <v>Home Office</v>
          </cell>
          <cell r="H625" t="str">
            <v>Punjab</v>
          </cell>
          <cell r="I625" t="str">
            <v>Ludhiana</v>
          </cell>
          <cell r="J625" t="str">
            <v>Office Supplies</v>
          </cell>
          <cell r="K625" t="str">
            <v>Storage</v>
          </cell>
          <cell r="T625" t="str">
            <v>Paid</v>
          </cell>
          <cell r="U625" t="str">
            <v>Completed</v>
          </cell>
        </row>
        <row r="626">
          <cell r="E626" t="str">
            <v>Neha Gupta</v>
          </cell>
          <cell r="F626" t="str">
            <v>Home Office</v>
          </cell>
          <cell r="H626" t="str">
            <v>Assam</v>
          </cell>
          <cell r="I626" t="str">
            <v>Guwahati</v>
          </cell>
          <cell r="J626" t="str">
            <v>Furniture</v>
          </cell>
          <cell r="K626" t="str">
            <v>Chairs</v>
          </cell>
          <cell r="T626" t="str">
            <v>Paid</v>
          </cell>
          <cell r="U626" t="str">
            <v>Completed</v>
          </cell>
        </row>
        <row r="627">
          <cell r="E627" t="str">
            <v>Diya Patel</v>
          </cell>
          <cell r="F627" t="str">
            <v>Corporate</v>
          </cell>
          <cell r="H627" t="str">
            <v>Rajasthan</v>
          </cell>
          <cell r="I627" t="str">
            <v>Udaipur</v>
          </cell>
          <cell r="J627" t="str">
            <v>Furniture</v>
          </cell>
          <cell r="K627" t="str">
            <v>Chairs</v>
          </cell>
          <cell r="T627" t="str">
            <v>Paid</v>
          </cell>
          <cell r="U627" t="str">
            <v>Completed</v>
          </cell>
        </row>
        <row r="628">
          <cell r="E628" t="str">
            <v>Sneha Kapoor</v>
          </cell>
          <cell r="F628" t="str">
            <v>Home Office</v>
          </cell>
          <cell r="H628" t="str">
            <v>Assam</v>
          </cell>
          <cell r="I628" t="str">
            <v>Guwahati</v>
          </cell>
          <cell r="J628" t="str">
            <v>Technology</v>
          </cell>
          <cell r="K628" t="str">
            <v>Machines</v>
          </cell>
          <cell r="T628" t="str">
            <v>Pending</v>
          </cell>
          <cell r="U628" t="str">
            <v>Returned</v>
          </cell>
        </row>
        <row r="629">
          <cell r="E629" t="str">
            <v>Karan Malhotra</v>
          </cell>
          <cell r="F629" t="str">
            <v>Small Business</v>
          </cell>
          <cell r="H629" t="str">
            <v>Kerala</v>
          </cell>
          <cell r="I629" t="str">
            <v>Kochi</v>
          </cell>
          <cell r="J629" t="str">
            <v>Technology</v>
          </cell>
          <cell r="K629" t="str">
            <v>Phones</v>
          </cell>
          <cell r="T629" t="str">
            <v>Pending</v>
          </cell>
          <cell r="U629" t="str">
            <v>Cancelled</v>
          </cell>
        </row>
        <row r="630">
          <cell r="E630" t="str">
            <v>Ananya Rao</v>
          </cell>
          <cell r="F630" t="str">
            <v>Home Office</v>
          </cell>
          <cell r="H630" t="str">
            <v>Jharkhand</v>
          </cell>
          <cell r="I630" t="str">
            <v>Ranchi</v>
          </cell>
          <cell r="J630" t="str">
            <v>Technology</v>
          </cell>
          <cell r="K630" t="str">
            <v>Accessories</v>
          </cell>
          <cell r="T630" t="str">
            <v>Paid</v>
          </cell>
          <cell r="U630" t="str">
            <v>Completed</v>
          </cell>
        </row>
        <row r="631">
          <cell r="E631" t="str">
            <v>Arjun Bose</v>
          </cell>
          <cell r="F631" t="str">
            <v>Home Office</v>
          </cell>
          <cell r="H631" t="str">
            <v>Gujarat</v>
          </cell>
          <cell r="I631" t="str">
            <v>Ahmedabad</v>
          </cell>
          <cell r="J631" t="str">
            <v>Furniture</v>
          </cell>
          <cell r="K631" t="str">
            <v>Tables</v>
          </cell>
          <cell r="T631" t="str">
            <v>Paid</v>
          </cell>
          <cell r="U631" t="str">
            <v>Completed</v>
          </cell>
        </row>
        <row r="632">
          <cell r="E632" t="str">
            <v>Priya Menon</v>
          </cell>
          <cell r="F632" t="str">
            <v>Corporate</v>
          </cell>
          <cell r="H632" t="str">
            <v>Assam</v>
          </cell>
          <cell r="I632" t="str">
            <v>Guwahati</v>
          </cell>
          <cell r="J632" t="str">
            <v>Office Supplies</v>
          </cell>
          <cell r="K632" t="str">
            <v>Paper</v>
          </cell>
          <cell r="T632" t="str">
            <v>Paid</v>
          </cell>
          <cell r="U632" t="str">
            <v>Completed</v>
          </cell>
        </row>
        <row r="633">
          <cell r="E633" t="str">
            <v>Aarav Sharma</v>
          </cell>
          <cell r="F633" t="str">
            <v>Home Office</v>
          </cell>
          <cell r="H633" t="str">
            <v>Rajasthan</v>
          </cell>
          <cell r="I633" t="str">
            <v>Udaipur</v>
          </cell>
          <cell r="J633" t="str">
            <v>Furniture</v>
          </cell>
          <cell r="K633" t="str">
            <v>Chairs</v>
          </cell>
          <cell r="T633" t="str">
            <v>Paid</v>
          </cell>
          <cell r="U633" t="str">
            <v>Completed</v>
          </cell>
        </row>
        <row r="634">
          <cell r="E634" t="str">
            <v>Sneha Kapoor</v>
          </cell>
          <cell r="F634" t="str">
            <v>Small Business</v>
          </cell>
          <cell r="H634" t="str">
            <v>Karnataka</v>
          </cell>
          <cell r="I634" t="str">
            <v>Bengaluru</v>
          </cell>
          <cell r="J634" t="str">
            <v>Furniture</v>
          </cell>
          <cell r="K634" t="str">
            <v>Furnishings</v>
          </cell>
          <cell r="T634" t="str">
            <v>Paid</v>
          </cell>
          <cell r="U634" t="str">
            <v>Completed</v>
          </cell>
        </row>
        <row r="635">
          <cell r="E635" t="str">
            <v>Aarav Sharma</v>
          </cell>
          <cell r="F635" t="str">
            <v>Small Business</v>
          </cell>
          <cell r="H635" t="str">
            <v>Tamil Nadu</v>
          </cell>
          <cell r="I635" t="str">
            <v>Chennai</v>
          </cell>
          <cell r="J635" t="str">
            <v>Technology</v>
          </cell>
          <cell r="K635" t="str">
            <v>Accessories</v>
          </cell>
          <cell r="T635" t="str">
            <v>Paid</v>
          </cell>
          <cell r="U635" t="str">
            <v>Completed</v>
          </cell>
        </row>
        <row r="636">
          <cell r="E636" t="str">
            <v>Aditi Sen</v>
          </cell>
          <cell r="F636" t="str">
            <v>Consumer</v>
          </cell>
          <cell r="H636" t="str">
            <v>Telangana</v>
          </cell>
          <cell r="I636" t="str">
            <v>Hyderabad</v>
          </cell>
          <cell r="J636" t="str">
            <v>Furniture</v>
          </cell>
          <cell r="K636" t="str">
            <v>Chairs</v>
          </cell>
          <cell r="T636" t="str">
            <v>Paid</v>
          </cell>
          <cell r="U636" t="str">
            <v>Completed</v>
          </cell>
        </row>
        <row r="637">
          <cell r="E637" t="str">
            <v>Mira Das</v>
          </cell>
          <cell r="F637" t="str">
            <v>Corporate</v>
          </cell>
          <cell r="H637" t="str">
            <v>Andhra Pradesh</v>
          </cell>
          <cell r="I637" t="str">
            <v>Vijayawada</v>
          </cell>
          <cell r="J637" t="str">
            <v>Furniture</v>
          </cell>
          <cell r="K637" t="str">
            <v>Chairs</v>
          </cell>
          <cell r="T637" t="str">
            <v>Paid</v>
          </cell>
          <cell r="U637" t="str">
            <v>Completed</v>
          </cell>
        </row>
        <row r="638">
          <cell r="E638" t="str">
            <v>Ananya Rao</v>
          </cell>
          <cell r="F638" t="str">
            <v>Consumer</v>
          </cell>
          <cell r="H638" t="str">
            <v>Tamil Nadu</v>
          </cell>
          <cell r="I638" t="str">
            <v>Chennai</v>
          </cell>
          <cell r="J638" t="str">
            <v>Office Supplies</v>
          </cell>
          <cell r="K638" t="str">
            <v>Paper</v>
          </cell>
          <cell r="T638" t="str">
            <v>Paid</v>
          </cell>
          <cell r="U638" t="str">
            <v>Completed</v>
          </cell>
        </row>
        <row r="639">
          <cell r="E639" t="str">
            <v>Rahul Verma</v>
          </cell>
          <cell r="F639" t="str">
            <v>Small Business</v>
          </cell>
          <cell r="H639" t="str">
            <v>Goa</v>
          </cell>
          <cell r="I639" t="str">
            <v>Panaji</v>
          </cell>
          <cell r="J639" t="str">
            <v>Technology</v>
          </cell>
          <cell r="K639" t="str">
            <v>Copiers</v>
          </cell>
          <cell r="T639" t="str">
            <v>Paid</v>
          </cell>
          <cell r="U639" t="str">
            <v>Completed</v>
          </cell>
        </row>
        <row r="640">
          <cell r="E640" t="str">
            <v>Karan Malhotra</v>
          </cell>
          <cell r="F640" t="str">
            <v>Corporate</v>
          </cell>
          <cell r="H640" t="str">
            <v>Kerala</v>
          </cell>
          <cell r="I640" t="str">
            <v>Kochi</v>
          </cell>
          <cell r="J640" t="str">
            <v>Office Supplies</v>
          </cell>
          <cell r="K640" t="str">
            <v>Storage</v>
          </cell>
          <cell r="T640" t="str">
            <v>Failed</v>
          </cell>
          <cell r="U640" t="str">
            <v>Returned</v>
          </cell>
        </row>
        <row r="641">
          <cell r="E641" t="str">
            <v>Isha Nair</v>
          </cell>
          <cell r="F641" t="str">
            <v>Small Business</v>
          </cell>
          <cell r="H641" t="str">
            <v>Odisha</v>
          </cell>
          <cell r="I641" t="str">
            <v>Bhubaneswar</v>
          </cell>
          <cell r="J641" t="str">
            <v>Furniture</v>
          </cell>
          <cell r="K641" t="str">
            <v>Chairs</v>
          </cell>
          <cell r="T641" t="str">
            <v>Paid</v>
          </cell>
          <cell r="U641" t="str">
            <v>Completed</v>
          </cell>
        </row>
        <row r="642">
          <cell r="E642" t="str">
            <v>Vikram Iyer</v>
          </cell>
          <cell r="F642" t="str">
            <v>Consumer</v>
          </cell>
          <cell r="H642" t="str">
            <v>Goa</v>
          </cell>
          <cell r="I642" t="str">
            <v>Panaji</v>
          </cell>
          <cell r="J642" t="str">
            <v>Office Supplies</v>
          </cell>
          <cell r="K642" t="str">
            <v>Storage</v>
          </cell>
          <cell r="T642" t="str">
            <v>Paid</v>
          </cell>
          <cell r="U642" t="str">
            <v>Completed</v>
          </cell>
        </row>
        <row r="643">
          <cell r="E643" t="str">
            <v>Karan Malhotra</v>
          </cell>
          <cell r="F643" t="str">
            <v>Consumer</v>
          </cell>
          <cell r="H643" t="str">
            <v>Delhi</v>
          </cell>
          <cell r="I643" t="str">
            <v>New Delhi</v>
          </cell>
          <cell r="J643" t="str">
            <v>Furniture</v>
          </cell>
          <cell r="K643" t="str">
            <v>Furnishings</v>
          </cell>
          <cell r="T643" t="str">
            <v>Paid</v>
          </cell>
          <cell r="U643" t="str">
            <v>Completed</v>
          </cell>
        </row>
        <row r="644">
          <cell r="E644" t="str">
            <v>Isha Nair</v>
          </cell>
          <cell r="F644" t="str">
            <v>Home Office</v>
          </cell>
          <cell r="H644" t="str">
            <v>Assam</v>
          </cell>
          <cell r="I644" t="str">
            <v>Guwahati</v>
          </cell>
          <cell r="J644" t="str">
            <v>Office Supplies</v>
          </cell>
          <cell r="K644" t="str">
            <v>binders</v>
          </cell>
          <cell r="T644" t="str">
            <v>Failed</v>
          </cell>
          <cell r="U644" t="str">
            <v>Returned</v>
          </cell>
        </row>
        <row r="645">
          <cell r="E645" t="str">
            <v>Aarav Sharma</v>
          </cell>
          <cell r="F645" t="str">
            <v>Home Office</v>
          </cell>
          <cell r="H645" t="str">
            <v>Uttar Pradesh</v>
          </cell>
          <cell r="I645" t="str">
            <v>Noida</v>
          </cell>
          <cell r="J645" t="str">
            <v>Office Supplies</v>
          </cell>
          <cell r="K645" t="str">
            <v>Labels</v>
          </cell>
          <cell r="T645" t="str">
            <v>Failed</v>
          </cell>
          <cell r="U645" t="str">
            <v>Returned</v>
          </cell>
        </row>
        <row r="646">
          <cell r="E646" t="str">
            <v>Vikram Iyer</v>
          </cell>
          <cell r="F646" t="str">
            <v>Consumer</v>
          </cell>
          <cell r="H646" t="str">
            <v>West Bengal</v>
          </cell>
          <cell r="I646" t="str">
            <v>Kolkata</v>
          </cell>
          <cell r="J646" t="str">
            <v>Furniture</v>
          </cell>
          <cell r="K646" t="str">
            <v>Chairs</v>
          </cell>
          <cell r="T646" t="str">
            <v>Paid</v>
          </cell>
          <cell r="U646" t="str">
            <v>Completed</v>
          </cell>
        </row>
        <row r="647">
          <cell r="E647" t="str">
            <v>Kabir Singh</v>
          </cell>
          <cell r="F647" t="str">
            <v>Consumer</v>
          </cell>
          <cell r="H647" t="str">
            <v>Bihar</v>
          </cell>
          <cell r="I647" t="str">
            <v>Patna</v>
          </cell>
          <cell r="J647" t="str">
            <v>Furniture</v>
          </cell>
          <cell r="K647" t="str">
            <v>Chairs</v>
          </cell>
          <cell r="T647" t="str">
            <v>Paid</v>
          </cell>
          <cell r="U647" t="str">
            <v>Completed</v>
          </cell>
        </row>
        <row r="648">
          <cell r="E648" t="str">
            <v>Vikram Iyer</v>
          </cell>
          <cell r="F648" t="str">
            <v>Small Business</v>
          </cell>
          <cell r="H648" t="str">
            <v>Jharkhand</v>
          </cell>
          <cell r="I648" t="str">
            <v>Ranchi</v>
          </cell>
          <cell r="J648" t="str">
            <v>Technology</v>
          </cell>
          <cell r="K648" t="str">
            <v>Machines</v>
          </cell>
          <cell r="T648" t="str">
            <v>Paid</v>
          </cell>
          <cell r="U648" t="str">
            <v>Completed</v>
          </cell>
        </row>
        <row r="649">
          <cell r="E649" t="str">
            <v>Rohan  Mehta</v>
          </cell>
          <cell r="F649" t="str">
            <v>Small Business</v>
          </cell>
          <cell r="H649" t="str">
            <v>Punjab</v>
          </cell>
          <cell r="I649" t="str">
            <v>Ludhiana</v>
          </cell>
          <cell r="J649" t="str">
            <v>Office Supplies</v>
          </cell>
          <cell r="K649" t="str">
            <v>Art</v>
          </cell>
          <cell r="T649" t="str">
            <v>Paid</v>
          </cell>
          <cell r="U649" t="str">
            <v>Completed</v>
          </cell>
        </row>
        <row r="650">
          <cell r="E650" t="str">
            <v>Neha Gupta</v>
          </cell>
          <cell r="F650" t="str">
            <v>Small Business</v>
          </cell>
          <cell r="H650" t="str">
            <v>Andhra Pradesh</v>
          </cell>
          <cell r="I650" t="str">
            <v>Vijayawada</v>
          </cell>
          <cell r="J650" t="str">
            <v>Office Supplies</v>
          </cell>
          <cell r="K650" t="str">
            <v>Art</v>
          </cell>
          <cell r="T650" t="str">
            <v>Failed</v>
          </cell>
          <cell r="U650" t="str">
            <v>Returned</v>
          </cell>
        </row>
        <row r="651">
          <cell r="E651" t="str">
            <v>Kabir Singh</v>
          </cell>
          <cell r="F651" t="str">
            <v>Small Business</v>
          </cell>
          <cell r="H651" t="str">
            <v>Kerala</v>
          </cell>
          <cell r="I651" t="str">
            <v>Kochi</v>
          </cell>
          <cell r="J651" t="str">
            <v>Technology</v>
          </cell>
          <cell r="K651" t="str">
            <v>Accessories</v>
          </cell>
          <cell r="T651" t="str">
            <v>Paid</v>
          </cell>
          <cell r="U651" t="str">
            <v>Completed</v>
          </cell>
        </row>
        <row r="652">
          <cell r="E652" t="str">
            <v>Aarav Sharma</v>
          </cell>
          <cell r="F652" t="str">
            <v>Home Office</v>
          </cell>
          <cell r="H652" t="str">
            <v>Bihar</v>
          </cell>
          <cell r="I652" t="str">
            <v>Patna</v>
          </cell>
          <cell r="J652" t="str">
            <v>Technology</v>
          </cell>
          <cell r="K652" t="str">
            <v>Accessories</v>
          </cell>
          <cell r="T652" t="str">
            <v>Failed</v>
          </cell>
          <cell r="U652" t="str">
            <v>Returned</v>
          </cell>
        </row>
        <row r="653">
          <cell r="E653" t="str">
            <v>Mira Das</v>
          </cell>
          <cell r="F653" t="str">
            <v>Small Business</v>
          </cell>
          <cell r="H653" t="str">
            <v>Andhra Pradesh</v>
          </cell>
          <cell r="I653" t="str">
            <v>Vijayawada</v>
          </cell>
          <cell r="J653" t="str">
            <v>Office Supplies</v>
          </cell>
          <cell r="K653" t="str">
            <v>Paper</v>
          </cell>
          <cell r="T653" t="str">
            <v>Paid</v>
          </cell>
          <cell r="U653" t="str">
            <v>Completed</v>
          </cell>
        </row>
        <row r="654">
          <cell r="E654" t="str">
            <v>Sneha Kapoor</v>
          </cell>
          <cell r="F654" t="str">
            <v>Consumer</v>
          </cell>
          <cell r="H654" t="str">
            <v>Uttar Pradesh</v>
          </cell>
          <cell r="I654" t="str">
            <v>Noida</v>
          </cell>
          <cell r="J654" t="str">
            <v>Office Supplies</v>
          </cell>
          <cell r="K654" t="str">
            <v>Binders</v>
          </cell>
          <cell r="T654" t="str">
            <v>Paid</v>
          </cell>
          <cell r="U654" t="str">
            <v>Completed</v>
          </cell>
        </row>
        <row r="655">
          <cell r="E655" t="str">
            <v>Priya Menon</v>
          </cell>
          <cell r="F655" t="str">
            <v>Small Business</v>
          </cell>
          <cell r="H655" t="str">
            <v>Tamil Nadu</v>
          </cell>
          <cell r="I655" t="str">
            <v>Chennai</v>
          </cell>
          <cell r="J655" t="str">
            <v>Technology</v>
          </cell>
          <cell r="K655" t="str">
            <v>Copiers</v>
          </cell>
          <cell r="T655" t="str">
            <v>Paid</v>
          </cell>
          <cell r="U655" t="str">
            <v>Completed</v>
          </cell>
        </row>
        <row r="656">
          <cell r="E656" t="str">
            <v>Diya Patel</v>
          </cell>
          <cell r="F656" t="str">
            <v>Corporate</v>
          </cell>
          <cell r="H656" t="str">
            <v>Bihar</v>
          </cell>
          <cell r="I656" t="str">
            <v>Patna</v>
          </cell>
          <cell r="J656" t="str">
            <v>Technology</v>
          </cell>
          <cell r="K656" t="str">
            <v>Machines</v>
          </cell>
          <cell r="T656" t="str">
            <v>Paid</v>
          </cell>
          <cell r="U656" t="str">
            <v>Completed</v>
          </cell>
        </row>
        <row r="657">
          <cell r="E657" t="str">
            <v>Neha Gupta</v>
          </cell>
          <cell r="F657" t="str">
            <v>Home Office</v>
          </cell>
          <cell r="H657" t="str">
            <v>West Bengal</v>
          </cell>
          <cell r="I657" t="str">
            <v>Kolkata</v>
          </cell>
          <cell r="J657" t="str">
            <v>Furniture</v>
          </cell>
          <cell r="K657" t="str">
            <v>Furnishings</v>
          </cell>
          <cell r="T657" t="str">
            <v>Paid</v>
          </cell>
          <cell r="U657" t="str">
            <v>Completed</v>
          </cell>
        </row>
        <row r="658">
          <cell r="E658" t="str">
            <v>Neha Gupta</v>
          </cell>
          <cell r="F658" t="str">
            <v>Small Business</v>
          </cell>
          <cell r="H658" t="str">
            <v>Haryana</v>
          </cell>
          <cell r="I658" t="str">
            <v>Gurugram</v>
          </cell>
          <cell r="J658" t="str">
            <v>Technology</v>
          </cell>
          <cell r="K658" t="str">
            <v>Machines</v>
          </cell>
          <cell r="T658" t="str">
            <v>Paid</v>
          </cell>
          <cell r="U658" t="str">
            <v>Completed</v>
          </cell>
        </row>
        <row r="659">
          <cell r="E659" t="str">
            <v>Aditi Sen</v>
          </cell>
          <cell r="F659" t="str">
            <v>Home Office</v>
          </cell>
          <cell r="H659" t="str">
            <v>Bihar</v>
          </cell>
          <cell r="I659" t="str">
            <v>Patna</v>
          </cell>
          <cell r="J659" t="str">
            <v>Office Supplies</v>
          </cell>
          <cell r="K659" t="str">
            <v>Storage</v>
          </cell>
          <cell r="T659" t="str">
            <v>Paid</v>
          </cell>
          <cell r="U659" t="str">
            <v>Completed</v>
          </cell>
        </row>
        <row r="660">
          <cell r="E660" t="str">
            <v>Sneha Kapoor</v>
          </cell>
          <cell r="F660" t="str">
            <v>Consumer</v>
          </cell>
          <cell r="H660" t="str">
            <v>Bihar</v>
          </cell>
          <cell r="I660" t="str">
            <v>Patna</v>
          </cell>
          <cell r="J660" t="str">
            <v>Office Supplies</v>
          </cell>
          <cell r="K660" t="str">
            <v>Art</v>
          </cell>
          <cell r="T660" t="str">
            <v>Refunded</v>
          </cell>
          <cell r="U660" t="str">
            <v>Cancelled</v>
          </cell>
        </row>
        <row r="661">
          <cell r="E661" t="str">
            <v>Diya Patel</v>
          </cell>
          <cell r="F661" t="str">
            <v>Corporate</v>
          </cell>
          <cell r="H661" t="str">
            <v>Karnataka</v>
          </cell>
          <cell r="I661" t="str">
            <v>Bengaluru</v>
          </cell>
          <cell r="J661" t="str">
            <v>Technology</v>
          </cell>
          <cell r="K661" t="str">
            <v>Phones</v>
          </cell>
          <cell r="T661" t="str">
            <v>Refunded</v>
          </cell>
          <cell r="U661" t="str">
            <v>Cancelled</v>
          </cell>
        </row>
        <row r="662">
          <cell r="E662" t="str">
            <v>Arjun Bose</v>
          </cell>
          <cell r="F662" t="str">
            <v>Small Business</v>
          </cell>
          <cell r="H662" t="str">
            <v>Jharkhand</v>
          </cell>
          <cell r="I662" t="str">
            <v>Ranchi</v>
          </cell>
          <cell r="J662" t="str">
            <v>Technology</v>
          </cell>
          <cell r="K662" t="str">
            <v>Phones</v>
          </cell>
          <cell r="T662" t="str">
            <v>Paid</v>
          </cell>
          <cell r="U662" t="str">
            <v>Completed</v>
          </cell>
        </row>
        <row r="663">
          <cell r="E663" t="str">
            <v>Sneha Kapoor</v>
          </cell>
          <cell r="F663" t="str">
            <v>Consumer</v>
          </cell>
          <cell r="H663" t="str">
            <v>Andhra Pradesh</v>
          </cell>
          <cell r="I663" t="str">
            <v>Vijayawada</v>
          </cell>
          <cell r="J663" t="str">
            <v>Technology</v>
          </cell>
          <cell r="K663" t="str">
            <v>Machines</v>
          </cell>
          <cell r="T663" t="str">
            <v>Paid</v>
          </cell>
          <cell r="U663" t="str">
            <v>Completed</v>
          </cell>
        </row>
        <row r="664">
          <cell r="E664" t="str">
            <v>Mira Das</v>
          </cell>
          <cell r="F664" t="str">
            <v>Home Office</v>
          </cell>
          <cell r="H664" t="str">
            <v>Rajasthan</v>
          </cell>
          <cell r="I664" t="str">
            <v>Udaipur</v>
          </cell>
          <cell r="J664" t="str">
            <v>Technology</v>
          </cell>
          <cell r="K664" t="str">
            <v>Machines</v>
          </cell>
          <cell r="T664" t="str">
            <v>Paid</v>
          </cell>
          <cell r="U664" t="str">
            <v>Completed</v>
          </cell>
        </row>
        <row r="665">
          <cell r="E665" t="str">
            <v>Rahul Verma</v>
          </cell>
          <cell r="F665" t="str">
            <v>Home Office</v>
          </cell>
          <cell r="H665" t="str">
            <v>Jharkhand</v>
          </cell>
          <cell r="I665" t="str">
            <v>Ranchi</v>
          </cell>
          <cell r="J665" t="str">
            <v>Technology</v>
          </cell>
          <cell r="K665" t="str">
            <v>Copiers</v>
          </cell>
          <cell r="T665" t="str">
            <v>Paid</v>
          </cell>
          <cell r="U665" t="str">
            <v>Completed</v>
          </cell>
        </row>
        <row r="666">
          <cell r="E666" t="str">
            <v>Mira Das</v>
          </cell>
          <cell r="F666" t="str">
            <v>Home Office</v>
          </cell>
          <cell r="H666" t="str">
            <v>Telangana</v>
          </cell>
          <cell r="I666" t="str">
            <v>Hyderabad</v>
          </cell>
          <cell r="J666" t="str">
            <v>Technology</v>
          </cell>
          <cell r="K666" t="str">
            <v>Accessories</v>
          </cell>
          <cell r="T666" t="str">
            <v>Paid</v>
          </cell>
          <cell r="U666" t="str">
            <v>Completed</v>
          </cell>
        </row>
        <row r="667">
          <cell r="E667" t="str">
            <v>Rahul Verma</v>
          </cell>
          <cell r="F667" t="str">
            <v>Home Office</v>
          </cell>
          <cell r="H667" t="str">
            <v>Gujarat</v>
          </cell>
          <cell r="I667" t="str">
            <v>Ahmedabad</v>
          </cell>
          <cell r="J667" t="str">
            <v>Office Supplies</v>
          </cell>
          <cell r="K667" t="str">
            <v>Art</v>
          </cell>
          <cell r="T667" t="str">
            <v>Failed</v>
          </cell>
          <cell r="U667" t="str">
            <v>Cancelled</v>
          </cell>
        </row>
        <row r="668">
          <cell r="E668" t="str">
            <v>Rohan Mehta</v>
          </cell>
          <cell r="F668" t="str">
            <v>Small Business</v>
          </cell>
          <cell r="H668" t="str">
            <v>Punjab</v>
          </cell>
          <cell r="I668" t="str">
            <v>Ludhiana</v>
          </cell>
          <cell r="J668" t="str">
            <v>Technology</v>
          </cell>
          <cell r="K668" t="str">
            <v>Copiers</v>
          </cell>
          <cell r="T668" t="str">
            <v>Paid</v>
          </cell>
          <cell r="U668" t="str">
            <v>Completed</v>
          </cell>
        </row>
        <row r="669">
          <cell r="E669" t="str">
            <v>Diya Patel</v>
          </cell>
          <cell r="F669" t="str">
            <v>Small Business</v>
          </cell>
          <cell r="H669" t="str">
            <v>Bihar</v>
          </cell>
          <cell r="I669" t="str">
            <v>Patna</v>
          </cell>
          <cell r="J669" t="str">
            <v>Technology</v>
          </cell>
          <cell r="K669" t="str">
            <v>Machines</v>
          </cell>
          <cell r="T669" t="str">
            <v>Pending</v>
          </cell>
          <cell r="U669" t="str">
            <v>Returned</v>
          </cell>
        </row>
        <row r="670">
          <cell r="E670" t="str">
            <v>Mira Das</v>
          </cell>
          <cell r="F670" t="str">
            <v>Corporate</v>
          </cell>
          <cell r="H670" t="str">
            <v>Gujarat</v>
          </cell>
          <cell r="I670" t="str">
            <v>Ahmedabad</v>
          </cell>
          <cell r="J670" t="str">
            <v>Office Supplies</v>
          </cell>
          <cell r="K670" t="str">
            <v>Paper</v>
          </cell>
          <cell r="T670" t="str">
            <v>Paid</v>
          </cell>
          <cell r="U670" t="str">
            <v>Completed</v>
          </cell>
        </row>
        <row r="671">
          <cell r="E671" t="str">
            <v>Ananya Rao</v>
          </cell>
          <cell r="F671" t="str">
            <v>Home Office</v>
          </cell>
          <cell r="H671" t="str">
            <v>Maharashtra</v>
          </cell>
          <cell r="I671" t="str">
            <v>Mumbai</v>
          </cell>
          <cell r="J671" t="str">
            <v>Furniture</v>
          </cell>
          <cell r="K671" t="str">
            <v>Tables</v>
          </cell>
          <cell r="T671" t="str">
            <v>Paid</v>
          </cell>
          <cell r="U671" t="str">
            <v>Completed</v>
          </cell>
        </row>
        <row r="672">
          <cell r="E672" t="str">
            <v>Sneha Kapoor</v>
          </cell>
          <cell r="F672" t="str">
            <v>Corporate</v>
          </cell>
          <cell r="H672" t="str">
            <v>Uttar Pradesh</v>
          </cell>
          <cell r="I672" t="str">
            <v>Noida</v>
          </cell>
          <cell r="J672" t="str">
            <v>Furniture</v>
          </cell>
          <cell r="K672" t="str">
            <v>Tables</v>
          </cell>
          <cell r="T672" t="str">
            <v>Paid</v>
          </cell>
          <cell r="U672" t="str">
            <v>Completed</v>
          </cell>
        </row>
        <row r="673">
          <cell r="E673" t="str">
            <v>Aditi Sen</v>
          </cell>
          <cell r="F673" t="str">
            <v>Home Office</v>
          </cell>
          <cell r="H673" t="str">
            <v>Goa</v>
          </cell>
          <cell r="I673" t="str">
            <v>Panaji</v>
          </cell>
          <cell r="J673" t="str">
            <v>Technology</v>
          </cell>
          <cell r="K673" t="str">
            <v>COPIERS</v>
          </cell>
          <cell r="T673" t="str">
            <v>Paid</v>
          </cell>
          <cell r="U673" t="str">
            <v>Completed</v>
          </cell>
        </row>
        <row r="674">
          <cell r="E674" t="str">
            <v>Aditi Sen</v>
          </cell>
          <cell r="F674" t="str">
            <v>Corporate</v>
          </cell>
          <cell r="H674" t="str">
            <v>Madhya Pradesh</v>
          </cell>
          <cell r="I674" t="str">
            <v>Indore</v>
          </cell>
          <cell r="J674" t="str">
            <v>Furniture</v>
          </cell>
          <cell r="K674" t="str">
            <v>Chairs</v>
          </cell>
          <cell r="T674" t="str">
            <v>Paid</v>
          </cell>
          <cell r="U674" t="str">
            <v>Returned</v>
          </cell>
        </row>
        <row r="675">
          <cell r="E675" t="str">
            <v>Arjun Bose</v>
          </cell>
          <cell r="F675" t="str">
            <v>Small Business</v>
          </cell>
          <cell r="H675" t="str">
            <v>Rajasthan</v>
          </cell>
          <cell r="I675" t="str">
            <v>Udaipur</v>
          </cell>
          <cell r="J675" t="str">
            <v>Furniture</v>
          </cell>
          <cell r="K675" t="str">
            <v>Bookcases</v>
          </cell>
          <cell r="T675" t="str">
            <v>Paid</v>
          </cell>
          <cell r="U675" t="str">
            <v>Completed</v>
          </cell>
        </row>
        <row r="676">
          <cell r="E676" t="str">
            <v>Vikram Iyer</v>
          </cell>
          <cell r="F676" t="str">
            <v>Corporate</v>
          </cell>
          <cell r="H676" t="str">
            <v>Jharkhand</v>
          </cell>
          <cell r="I676" t="str">
            <v>Ranchi</v>
          </cell>
          <cell r="J676" t="str">
            <v>Technology</v>
          </cell>
          <cell r="K676" t="str">
            <v>Accessories</v>
          </cell>
          <cell r="T676" t="str">
            <v>Pending</v>
          </cell>
          <cell r="U676" t="str">
            <v>Returned</v>
          </cell>
        </row>
        <row r="677">
          <cell r="E677" t="str">
            <v>Aarav Sharma</v>
          </cell>
          <cell r="F677" t="str">
            <v>Consumer</v>
          </cell>
          <cell r="H677" t="str">
            <v>Rajasthan</v>
          </cell>
          <cell r="I677" t="str">
            <v>Jaipur</v>
          </cell>
          <cell r="J677" t="str">
            <v>Furniture</v>
          </cell>
          <cell r="K677" t="str">
            <v>Furnishings</v>
          </cell>
          <cell r="T677" t="str">
            <v>Paid</v>
          </cell>
          <cell r="U677" t="str">
            <v>Completed</v>
          </cell>
        </row>
        <row r="678">
          <cell r="E678" t="str">
            <v>Rahul Verma</v>
          </cell>
          <cell r="F678" t="str">
            <v>Small Business</v>
          </cell>
          <cell r="H678" t="str">
            <v>Delhi</v>
          </cell>
          <cell r="I678" t="str">
            <v>New Delhi</v>
          </cell>
          <cell r="J678" t="str">
            <v>Technology</v>
          </cell>
          <cell r="K678" t="str">
            <v>Phones</v>
          </cell>
          <cell r="T678" t="str">
            <v>Paid</v>
          </cell>
          <cell r="U678" t="str">
            <v>Completed</v>
          </cell>
        </row>
        <row r="679">
          <cell r="E679" t="str">
            <v>Isha Nair</v>
          </cell>
          <cell r="F679" t="str">
            <v>Home Office</v>
          </cell>
          <cell r="H679" t="str">
            <v>Karnataka</v>
          </cell>
          <cell r="I679" t="str">
            <v>Bengaluru</v>
          </cell>
          <cell r="J679" t="str">
            <v>Furniture</v>
          </cell>
          <cell r="K679" t="str">
            <v>Chairs</v>
          </cell>
          <cell r="T679" t="str">
            <v>Paid</v>
          </cell>
          <cell r="U679" t="str">
            <v>Completed</v>
          </cell>
        </row>
        <row r="680">
          <cell r="E680" t="str">
            <v>Kabir Singh</v>
          </cell>
          <cell r="F680" t="str">
            <v>Corporate</v>
          </cell>
          <cell r="H680" t="str">
            <v>Karnataka</v>
          </cell>
          <cell r="I680" t="str">
            <v>Bengaluru</v>
          </cell>
          <cell r="J680" t="str">
            <v>Furniture</v>
          </cell>
          <cell r="K680" t="str">
            <v>Tables</v>
          </cell>
          <cell r="T680" t="str">
            <v>Paid</v>
          </cell>
          <cell r="U680" t="str">
            <v>Completed</v>
          </cell>
        </row>
        <row r="681">
          <cell r="E681" t="str">
            <v>Rohan Mehta</v>
          </cell>
          <cell r="F681" t="str">
            <v>Corporate</v>
          </cell>
          <cell r="H681" t="str">
            <v>Punjab</v>
          </cell>
          <cell r="I681" t="str">
            <v>Ludhiana</v>
          </cell>
          <cell r="J681" t="str">
            <v>Technology</v>
          </cell>
          <cell r="K681" t="str">
            <v>Copiers</v>
          </cell>
          <cell r="T681" t="str">
            <v>Refunded</v>
          </cell>
          <cell r="U681" t="str">
            <v>Cancelled</v>
          </cell>
        </row>
        <row r="682">
          <cell r="E682" t="str">
            <v>Kabir Singh</v>
          </cell>
          <cell r="F682" t="str">
            <v>Corporate</v>
          </cell>
          <cell r="H682" t="str">
            <v>Tamil Nadu</v>
          </cell>
          <cell r="I682" t="str">
            <v>Chennai</v>
          </cell>
          <cell r="J682" t="str">
            <v>Technology</v>
          </cell>
          <cell r="K682" t="str">
            <v>Accessories</v>
          </cell>
          <cell r="T682" t="str">
            <v>Paid</v>
          </cell>
          <cell r="U682" t="str">
            <v>Completed</v>
          </cell>
        </row>
        <row r="683">
          <cell r="E683" t="str">
            <v>Vikram Iyer</v>
          </cell>
          <cell r="F683" t="str">
            <v>Corporate</v>
          </cell>
          <cell r="H683" t="str">
            <v>Delhi</v>
          </cell>
          <cell r="I683" t="str">
            <v>New Delhi</v>
          </cell>
          <cell r="J683" t="str">
            <v>Furniture</v>
          </cell>
          <cell r="K683" t="str">
            <v>Tables</v>
          </cell>
          <cell r="T683" t="str">
            <v>Paid</v>
          </cell>
          <cell r="U683" t="str">
            <v>Cancelled</v>
          </cell>
        </row>
        <row r="684">
          <cell r="E684" t="str">
            <v>ananya rao</v>
          </cell>
          <cell r="F684" t="str">
            <v>Corporate</v>
          </cell>
          <cell r="H684" t="str">
            <v>Haryana</v>
          </cell>
          <cell r="I684" t="str">
            <v>Gurugram</v>
          </cell>
          <cell r="J684" t="str">
            <v>Office Supplies</v>
          </cell>
          <cell r="K684" t="str">
            <v>Storage</v>
          </cell>
          <cell r="T684" t="str">
            <v>Paid</v>
          </cell>
          <cell r="U684" t="str">
            <v>Completed</v>
          </cell>
        </row>
        <row r="685">
          <cell r="E685" t="str">
            <v>Arjun Bose</v>
          </cell>
          <cell r="F685" t="str">
            <v>Small Business</v>
          </cell>
          <cell r="H685" t="str">
            <v>Telangana</v>
          </cell>
          <cell r="I685" t="str">
            <v>Hyderabad</v>
          </cell>
          <cell r="J685" t="str">
            <v>Furniture</v>
          </cell>
          <cell r="K685" t="str">
            <v>Furnishings</v>
          </cell>
          <cell r="T685" t="str">
            <v>Refunded</v>
          </cell>
          <cell r="U685" t="str">
            <v>Cancelled</v>
          </cell>
        </row>
        <row r="686">
          <cell r="E686" t="str">
            <v>Isha Nair</v>
          </cell>
          <cell r="F686" t="str">
            <v>Home Office</v>
          </cell>
          <cell r="H686" t="str">
            <v>Tamil Nadu</v>
          </cell>
          <cell r="I686" t="str">
            <v>Chennai</v>
          </cell>
          <cell r="J686" t="str">
            <v>Furniture</v>
          </cell>
          <cell r="K686" t="str">
            <v>Bookcases</v>
          </cell>
          <cell r="T686" t="str">
            <v>Refunded</v>
          </cell>
          <cell r="U686" t="str">
            <v>Cancelled</v>
          </cell>
        </row>
        <row r="687">
          <cell r="E687" t="str">
            <v>Neha Gupta</v>
          </cell>
          <cell r="F687" t="str">
            <v>Corporate</v>
          </cell>
          <cell r="H687" t="str">
            <v>Goa</v>
          </cell>
          <cell r="I687" t="str">
            <v>Panaji</v>
          </cell>
          <cell r="J687" t="str">
            <v>Office Supplies</v>
          </cell>
          <cell r="K687" t="str">
            <v>Art</v>
          </cell>
          <cell r="T687" t="str">
            <v>Failed</v>
          </cell>
          <cell r="U687" t="str">
            <v>Cancelled</v>
          </cell>
        </row>
        <row r="688">
          <cell r="E688" t="str">
            <v>Sneha Kapoor</v>
          </cell>
          <cell r="F688" t="str">
            <v>Home Office</v>
          </cell>
          <cell r="H688" t="str">
            <v>Tamil Nadu</v>
          </cell>
          <cell r="I688" t="str">
            <v>Chennai</v>
          </cell>
          <cell r="J688" t="str">
            <v>Technology</v>
          </cell>
          <cell r="K688" t="str">
            <v>Copiers</v>
          </cell>
          <cell r="T688" t="str">
            <v>Paid</v>
          </cell>
          <cell r="U688" t="str">
            <v>Completed</v>
          </cell>
        </row>
        <row r="689">
          <cell r="E689" t="str">
            <v>Mira Das</v>
          </cell>
          <cell r="F689" t="str">
            <v>Home Office</v>
          </cell>
          <cell r="H689" t="str">
            <v>Punjab</v>
          </cell>
          <cell r="I689" t="str">
            <v>Ludhiana</v>
          </cell>
          <cell r="J689" t="str">
            <v>Furniture</v>
          </cell>
          <cell r="K689" t="str">
            <v>Tables</v>
          </cell>
          <cell r="T689" t="str">
            <v>Failed</v>
          </cell>
          <cell r="U689" t="str">
            <v>Cancelled</v>
          </cell>
        </row>
        <row r="690">
          <cell r="E690" t="str">
            <v>Neha Gupta</v>
          </cell>
          <cell r="F690" t="str">
            <v>Home Office</v>
          </cell>
          <cell r="H690" t="str">
            <v>Haryana</v>
          </cell>
          <cell r="I690" t="str">
            <v>Gurugram</v>
          </cell>
          <cell r="J690" t="str">
            <v>Office Supplies</v>
          </cell>
          <cell r="K690" t="str">
            <v>Art</v>
          </cell>
          <cell r="T690" t="str">
            <v>Paid</v>
          </cell>
          <cell r="U690" t="str">
            <v>Completed</v>
          </cell>
        </row>
        <row r="691">
          <cell r="E691" t="str">
            <v>Rohan Mehta</v>
          </cell>
          <cell r="F691" t="str">
            <v>Small Business</v>
          </cell>
          <cell r="H691" t="str">
            <v>Punjab</v>
          </cell>
          <cell r="I691" t="str">
            <v>Ludhiana</v>
          </cell>
          <cell r="J691" t="str">
            <v>Furniture</v>
          </cell>
          <cell r="K691" t="str">
            <v>Tables</v>
          </cell>
          <cell r="T691" t="str">
            <v>Failed</v>
          </cell>
          <cell r="U691" t="str">
            <v>Cancelled</v>
          </cell>
        </row>
        <row r="692">
          <cell r="E692" t="str">
            <v>Sneha Kapoor</v>
          </cell>
          <cell r="F692" t="str">
            <v>Corporate</v>
          </cell>
          <cell r="H692" t="str">
            <v>Tamil Nadu</v>
          </cell>
          <cell r="I692" t="str">
            <v>Chennai</v>
          </cell>
          <cell r="J692" t="str">
            <v>Office Supplies</v>
          </cell>
          <cell r="K692" t="str">
            <v>Art</v>
          </cell>
          <cell r="T692" t="str">
            <v>Failed</v>
          </cell>
          <cell r="U692" t="str">
            <v>Returned</v>
          </cell>
        </row>
        <row r="693">
          <cell r="E693" t="str">
            <v>Rohan Mehta</v>
          </cell>
          <cell r="F693" t="str">
            <v>Consumer</v>
          </cell>
          <cell r="H693" t="str">
            <v>Odisha</v>
          </cell>
          <cell r="I693" t="str">
            <v>Bhubaneswar</v>
          </cell>
          <cell r="J693" t="str">
            <v>Technology</v>
          </cell>
          <cell r="K693" t="str">
            <v>Copiers</v>
          </cell>
          <cell r="T693" t="str">
            <v>Paid</v>
          </cell>
          <cell r="U693" t="str">
            <v>Completed</v>
          </cell>
        </row>
        <row r="694">
          <cell r="E694" t="str">
            <v>Isha Nair</v>
          </cell>
          <cell r="F694" t="str">
            <v>corporate</v>
          </cell>
          <cell r="H694" t="str">
            <v>Karnataka</v>
          </cell>
          <cell r="I694" t="str">
            <v>Bengaluru</v>
          </cell>
          <cell r="J694" t="str">
            <v>Furniture</v>
          </cell>
          <cell r="K694" t="str">
            <v>Furnishings</v>
          </cell>
          <cell r="T694" t="str">
            <v>Paid</v>
          </cell>
          <cell r="U694" t="str">
            <v>Completed</v>
          </cell>
        </row>
        <row r="695">
          <cell r="E695" t="str">
            <v>Arjun Bose</v>
          </cell>
          <cell r="F695" t="str">
            <v>Consumer</v>
          </cell>
          <cell r="H695" t="str">
            <v>Tamil Nadu</v>
          </cell>
          <cell r="I695" t="str">
            <v>Chennai</v>
          </cell>
          <cell r="J695" t="str">
            <v>Furniture</v>
          </cell>
          <cell r="K695" t="str">
            <v>Bookcases</v>
          </cell>
          <cell r="T695" t="str">
            <v>Paid</v>
          </cell>
          <cell r="U695" t="str">
            <v>Completed</v>
          </cell>
        </row>
        <row r="696">
          <cell r="E696" t="str">
            <v>Isha Nair</v>
          </cell>
          <cell r="F696" t="str">
            <v>Consumer</v>
          </cell>
          <cell r="H696" t="str">
            <v>Andhra Pradesh</v>
          </cell>
          <cell r="I696" t="str">
            <v>Vijayawada</v>
          </cell>
          <cell r="J696" t="str">
            <v>Office Supplies</v>
          </cell>
          <cell r="K696" t="str">
            <v>Storage</v>
          </cell>
          <cell r="T696" t="str">
            <v>Paid</v>
          </cell>
          <cell r="U696" t="str">
            <v>Completed</v>
          </cell>
        </row>
        <row r="697">
          <cell r="E697" t="str">
            <v>Aarav Sharma</v>
          </cell>
          <cell r="F697" t="str">
            <v>Consumer</v>
          </cell>
          <cell r="H697" t="str">
            <v>Madhya Pradesh</v>
          </cell>
          <cell r="I697" t="str">
            <v>Indore</v>
          </cell>
          <cell r="J697" t="str">
            <v>Technology</v>
          </cell>
          <cell r="K697" t="str">
            <v>Machines</v>
          </cell>
          <cell r="T697" t="str">
            <v>Paid</v>
          </cell>
          <cell r="U697" t="str">
            <v>Completed</v>
          </cell>
        </row>
        <row r="698">
          <cell r="E698" t="str">
            <v>Isha Nair</v>
          </cell>
          <cell r="F698" t="str">
            <v>Small Business</v>
          </cell>
          <cell r="H698" t="str">
            <v>Kerala</v>
          </cell>
          <cell r="I698" t="str">
            <v>Kochi</v>
          </cell>
          <cell r="J698" t="str">
            <v>Technology</v>
          </cell>
          <cell r="K698" t="str">
            <v>Phones</v>
          </cell>
          <cell r="T698" t="str">
            <v>Paid</v>
          </cell>
          <cell r="U698" t="str">
            <v>Completed</v>
          </cell>
        </row>
        <row r="699">
          <cell r="E699" t="str">
            <v>Arjun Bose</v>
          </cell>
          <cell r="F699" t="str">
            <v>Corporate</v>
          </cell>
          <cell r="H699" t="str">
            <v>Andhra Pradesh</v>
          </cell>
          <cell r="I699" t="str">
            <v>Vijayawada</v>
          </cell>
          <cell r="J699" t="str">
            <v>Office Supplies</v>
          </cell>
          <cell r="K699" t="str">
            <v>Labels</v>
          </cell>
          <cell r="T699" t="str">
            <v>Refunded</v>
          </cell>
          <cell r="U699" t="str">
            <v>Returned</v>
          </cell>
        </row>
        <row r="700">
          <cell r="E700" t="str">
            <v>Mira Das</v>
          </cell>
          <cell r="F700" t="str">
            <v>Corporate</v>
          </cell>
          <cell r="H700" t="str">
            <v>Rajasthan</v>
          </cell>
          <cell r="I700" t="str">
            <v>Jaipur</v>
          </cell>
          <cell r="J700" t="str">
            <v>Technology</v>
          </cell>
          <cell r="K700" t="str">
            <v>Machines</v>
          </cell>
          <cell r="T700" t="str">
            <v>Paid</v>
          </cell>
          <cell r="U700" t="str">
            <v>Returned</v>
          </cell>
        </row>
        <row r="701">
          <cell r="E701" t="str">
            <v>Arjun Bose</v>
          </cell>
          <cell r="F701" t="str">
            <v>Small Business</v>
          </cell>
          <cell r="H701" t="str">
            <v>Karnataka</v>
          </cell>
          <cell r="I701" t="str">
            <v>Bengaluru</v>
          </cell>
          <cell r="J701" t="str">
            <v>Furniture</v>
          </cell>
          <cell r="K701" t="str">
            <v>Bookcases</v>
          </cell>
          <cell r="T701" t="str">
            <v>Paid</v>
          </cell>
          <cell r="U701" t="str">
            <v>Completed</v>
          </cell>
        </row>
        <row r="702">
          <cell r="E702" t="str">
            <v>Neha Gupta</v>
          </cell>
          <cell r="F702" t="str">
            <v>Corporate</v>
          </cell>
          <cell r="H702" t="str">
            <v>West Bengal</v>
          </cell>
          <cell r="I702" t="str">
            <v>Kolkata</v>
          </cell>
          <cell r="J702" t="str">
            <v>Technology</v>
          </cell>
          <cell r="K702" t="str">
            <v>Machines</v>
          </cell>
          <cell r="T702" t="str">
            <v>Paid</v>
          </cell>
          <cell r="U702" t="str">
            <v>Completed</v>
          </cell>
        </row>
        <row r="703">
          <cell r="E703" t="str">
            <v>Rohan Mehta</v>
          </cell>
          <cell r="F703" t="str">
            <v>Small Business</v>
          </cell>
          <cell r="H703" t="str">
            <v>Gujarat</v>
          </cell>
          <cell r="I703" t="str">
            <v>Ahmedabad</v>
          </cell>
          <cell r="J703" t="str">
            <v>Office Supplies</v>
          </cell>
          <cell r="K703" t="str">
            <v>Art</v>
          </cell>
          <cell r="T703" t="str">
            <v>Paid</v>
          </cell>
          <cell r="U703" t="str">
            <v>Returned</v>
          </cell>
        </row>
        <row r="704">
          <cell r="E704" t="str">
            <v>Karan Malhotra</v>
          </cell>
          <cell r="F704" t="str">
            <v>Small Business</v>
          </cell>
          <cell r="H704" t="str">
            <v>Rajasthan</v>
          </cell>
          <cell r="I704" t="str">
            <v>Udaipur</v>
          </cell>
          <cell r="J704" t="str">
            <v>Furniture</v>
          </cell>
          <cell r="K704" t="str">
            <v>Tables</v>
          </cell>
          <cell r="T704" t="str">
            <v>Paid</v>
          </cell>
          <cell r="U704" t="str">
            <v>Completed</v>
          </cell>
        </row>
        <row r="705">
          <cell r="E705" t="str">
            <v>Aditi Sen</v>
          </cell>
          <cell r="F705" t="str">
            <v>Corporate</v>
          </cell>
          <cell r="H705" t="str">
            <v>Rajasthan</v>
          </cell>
          <cell r="I705" t="str">
            <v>Jaipur</v>
          </cell>
          <cell r="J705" t="str">
            <v>Furniture</v>
          </cell>
          <cell r="K705" t="str">
            <v>Tables</v>
          </cell>
          <cell r="T705" t="str">
            <v>Paid</v>
          </cell>
          <cell r="U705" t="str">
            <v>Completed</v>
          </cell>
        </row>
        <row r="706">
          <cell r="E706" t="str">
            <v>Priya Menon</v>
          </cell>
          <cell r="F706" t="str">
            <v>Home Office</v>
          </cell>
          <cell r="H706" t="str">
            <v>Tamil Nadu</v>
          </cell>
          <cell r="I706" t="str">
            <v>Chennai</v>
          </cell>
          <cell r="J706" t="str">
            <v>Furniture</v>
          </cell>
          <cell r="K706" t="str">
            <v>Bookcases</v>
          </cell>
          <cell r="T706" t="str">
            <v>Paid</v>
          </cell>
          <cell r="U706" t="str">
            <v>Completed</v>
          </cell>
        </row>
        <row r="707">
          <cell r="E707" t="str">
            <v>Rohan Mehta</v>
          </cell>
          <cell r="F707" t="str">
            <v>Consumer</v>
          </cell>
          <cell r="H707" t="str">
            <v>Rajasthan</v>
          </cell>
          <cell r="I707" t="str">
            <v>Jaipur</v>
          </cell>
          <cell r="J707" t="str">
            <v>Office Supplies</v>
          </cell>
          <cell r="K707" t="str">
            <v>Binders</v>
          </cell>
          <cell r="T707" t="str">
            <v>Paid</v>
          </cell>
          <cell r="U707" t="str">
            <v>Completed</v>
          </cell>
        </row>
        <row r="708">
          <cell r="E708" t="str">
            <v>Isha Nair</v>
          </cell>
          <cell r="F708" t="str">
            <v>Small Business</v>
          </cell>
          <cell r="H708" t="str">
            <v>Odisha</v>
          </cell>
          <cell r="I708" t="str">
            <v>Bhubaneswar</v>
          </cell>
          <cell r="J708" t="str">
            <v>Office Supplies</v>
          </cell>
          <cell r="K708" t="str">
            <v>Paper</v>
          </cell>
          <cell r="T708" t="str">
            <v>Paid</v>
          </cell>
          <cell r="U708" t="str">
            <v>Completed</v>
          </cell>
        </row>
        <row r="709">
          <cell r="E709" t="str">
            <v>Vikram Iyer</v>
          </cell>
          <cell r="F709" t="str">
            <v>Consumer</v>
          </cell>
          <cell r="H709" t="str">
            <v>Rajasthan</v>
          </cell>
          <cell r="I709" t="str">
            <v>Jaipur</v>
          </cell>
          <cell r="J709" t="str">
            <v>Technology</v>
          </cell>
          <cell r="K709" t="str">
            <v>Accessories</v>
          </cell>
          <cell r="T709" t="str">
            <v>Paid</v>
          </cell>
          <cell r="U709" t="str">
            <v>Completed</v>
          </cell>
        </row>
        <row r="710">
          <cell r="E710" t="str">
            <v>Sneha Kapoor</v>
          </cell>
          <cell r="F710" t="str">
            <v>Consumer</v>
          </cell>
          <cell r="H710" t="str">
            <v>Assam</v>
          </cell>
          <cell r="I710" t="str">
            <v>Guwahati</v>
          </cell>
          <cell r="J710" t="str">
            <v>Furniture</v>
          </cell>
          <cell r="K710" t="str">
            <v>Bookcases</v>
          </cell>
          <cell r="T710" t="str">
            <v>Paid</v>
          </cell>
          <cell r="U710" t="str">
            <v>Completed</v>
          </cell>
        </row>
        <row r="711">
          <cell r="E711" t="str">
            <v>Kabir Singh</v>
          </cell>
          <cell r="F711" t="str">
            <v>Home Office</v>
          </cell>
          <cell r="H711" t="str">
            <v>Punjab</v>
          </cell>
          <cell r="I711" t="str">
            <v>Ludhiana</v>
          </cell>
          <cell r="J711" t="str">
            <v>Technology</v>
          </cell>
          <cell r="K711" t="str">
            <v>Phones</v>
          </cell>
          <cell r="T711" t="str">
            <v>Paid</v>
          </cell>
          <cell r="U711" t="str">
            <v>Cancelled</v>
          </cell>
        </row>
        <row r="712">
          <cell r="E712" t="str">
            <v>Vikram Iyer</v>
          </cell>
          <cell r="F712" t="str">
            <v>Corporate</v>
          </cell>
          <cell r="H712" t="str">
            <v>Punjab</v>
          </cell>
          <cell r="I712" t="str">
            <v>Ludhiana</v>
          </cell>
          <cell r="J712" t="str">
            <v>Office Supplies</v>
          </cell>
          <cell r="K712" t="str">
            <v>Art</v>
          </cell>
          <cell r="T712" t="str">
            <v>Paid</v>
          </cell>
          <cell r="U712" t="str">
            <v>Completed</v>
          </cell>
        </row>
        <row r="713">
          <cell r="E713" t="str">
            <v>Kabir Singh</v>
          </cell>
          <cell r="F713" t="str">
            <v>Corporate</v>
          </cell>
          <cell r="H713" t="str">
            <v>West Bengal</v>
          </cell>
          <cell r="I713" t="str">
            <v>Kolkata</v>
          </cell>
          <cell r="J713" t="str">
            <v>Technology</v>
          </cell>
          <cell r="K713" t="str">
            <v>Machines</v>
          </cell>
          <cell r="T713" t="str">
            <v>Pending</v>
          </cell>
          <cell r="U713" t="str">
            <v>Returned</v>
          </cell>
        </row>
        <row r="714">
          <cell r="E714" t="str">
            <v>Isha Nair</v>
          </cell>
          <cell r="F714" t="str">
            <v>Home Office</v>
          </cell>
          <cell r="H714" t="str">
            <v>Madhya Pradesh</v>
          </cell>
          <cell r="I714" t="str">
            <v>Indore</v>
          </cell>
          <cell r="J714" t="str">
            <v>Furniture</v>
          </cell>
          <cell r="K714" t="str">
            <v>Chairs</v>
          </cell>
          <cell r="T714" t="str">
            <v>Paid</v>
          </cell>
          <cell r="U714" t="str">
            <v>Completed</v>
          </cell>
        </row>
        <row r="715">
          <cell r="E715" t="str">
            <v>Mira Das</v>
          </cell>
          <cell r="F715" t="str">
            <v>Consumer</v>
          </cell>
          <cell r="H715" t="str">
            <v>Rajasthan</v>
          </cell>
          <cell r="I715" t="str">
            <v>Udaipur</v>
          </cell>
          <cell r="J715" t="str">
            <v>Technology</v>
          </cell>
          <cell r="K715" t="str">
            <v>Machines</v>
          </cell>
          <cell r="T715" t="str">
            <v>Paid</v>
          </cell>
          <cell r="U715" t="str">
            <v>Completed</v>
          </cell>
        </row>
        <row r="716">
          <cell r="E716" t="str">
            <v>Karan Malhotra</v>
          </cell>
          <cell r="F716" t="str">
            <v>Home Office</v>
          </cell>
          <cell r="H716" t="str">
            <v>Delhi</v>
          </cell>
          <cell r="I716" t="str">
            <v>New Delhi</v>
          </cell>
          <cell r="J716" t="str">
            <v>Technology</v>
          </cell>
          <cell r="K716" t="str">
            <v>Copiers</v>
          </cell>
          <cell r="T716" t="str">
            <v>Paid</v>
          </cell>
          <cell r="U716" t="str">
            <v>Completed</v>
          </cell>
        </row>
        <row r="717">
          <cell r="E717" t="str">
            <v>Priya Menon</v>
          </cell>
          <cell r="F717" t="str">
            <v>Consumer</v>
          </cell>
          <cell r="H717" t="str">
            <v>Haryana</v>
          </cell>
          <cell r="I717" t="str">
            <v>Gurugram</v>
          </cell>
          <cell r="J717" t="str">
            <v>Furniture</v>
          </cell>
          <cell r="K717" t="str">
            <v>Chairs</v>
          </cell>
          <cell r="T717" t="str">
            <v>Refunded</v>
          </cell>
          <cell r="U717" t="str">
            <v>Cancelled</v>
          </cell>
        </row>
        <row r="718">
          <cell r="E718" t="str">
            <v>Diya Patel</v>
          </cell>
          <cell r="F718" t="str">
            <v>Small Business</v>
          </cell>
          <cell r="H718" t="str">
            <v>Haryana</v>
          </cell>
          <cell r="I718" t="str">
            <v>Gurugram</v>
          </cell>
          <cell r="J718" t="str">
            <v>Technology</v>
          </cell>
          <cell r="K718" t="str">
            <v>Phones</v>
          </cell>
          <cell r="T718" t="str">
            <v>Paid</v>
          </cell>
          <cell r="U718" t="str">
            <v>Completed</v>
          </cell>
        </row>
        <row r="719">
          <cell r="E719" t="str">
            <v>Kabir Singh</v>
          </cell>
          <cell r="F719" t="str">
            <v>Small Business</v>
          </cell>
          <cell r="H719" t="str">
            <v>Haryana</v>
          </cell>
          <cell r="I719" t="str">
            <v>Gurugram</v>
          </cell>
          <cell r="J719" t="str">
            <v>Technology</v>
          </cell>
          <cell r="K719" t="str">
            <v>Machines</v>
          </cell>
          <cell r="T719" t="str">
            <v>Pending</v>
          </cell>
          <cell r="U719" t="str">
            <v>Cancelled</v>
          </cell>
        </row>
        <row r="720">
          <cell r="E720" t="str">
            <v>Mira Das</v>
          </cell>
          <cell r="F720" t="str">
            <v>Consumer</v>
          </cell>
          <cell r="H720" t="str">
            <v>Maharashtra</v>
          </cell>
          <cell r="I720" t="str">
            <v>Mumbai</v>
          </cell>
          <cell r="J720" t="str">
            <v>Office Supplies</v>
          </cell>
          <cell r="K720" t="str">
            <v>Art</v>
          </cell>
          <cell r="T720" t="str">
            <v>Paid</v>
          </cell>
          <cell r="U720" t="str">
            <v>Completed</v>
          </cell>
        </row>
        <row r="721">
          <cell r="E721" t="str">
            <v>Kabir Singh</v>
          </cell>
          <cell r="F721" t="str">
            <v>Corporate</v>
          </cell>
          <cell r="H721" t="str">
            <v>Gujarat</v>
          </cell>
          <cell r="I721" t="str">
            <v>Ahmedabad</v>
          </cell>
          <cell r="J721" t="str">
            <v>Office Supplies</v>
          </cell>
          <cell r="K721" t="str">
            <v>Art</v>
          </cell>
          <cell r="T721" t="str">
            <v>Paid</v>
          </cell>
          <cell r="U721" t="str">
            <v>Completed</v>
          </cell>
        </row>
        <row r="722">
          <cell r="E722" t="str">
            <v>Aditi Sen</v>
          </cell>
          <cell r="F722" t="str">
            <v>Home Office</v>
          </cell>
          <cell r="H722" t="str">
            <v>Madhya Pradesh</v>
          </cell>
          <cell r="I722" t="str">
            <v>Indore</v>
          </cell>
          <cell r="J722" t="str">
            <v>Technology</v>
          </cell>
          <cell r="K722" t="str">
            <v>Copiers</v>
          </cell>
          <cell r="T722" t="str">
            <v>Paid</v>
          </cell>
          <cell r="U722" t="str">
            <v>Completed</v>
          </cell>
        </row>
        <row r="723">
          <cell r="E723" t="str">
            <v>Sneha Kapoor</v>
          </cell>
          <cell r="F723" t="str">
            <v>Consumer</v>
          </cell>
          <cell r="H723" t="str">
            <v>Karnataka</v>
          </cell>
          <cell r="I723" t="str">
            <v>Bengaluru</v>
          </cell>
          <cell r="J723" t="str">
            <v>Technology</v>
          </cell>
          <cell r="K723" t="str">
            <v>Copiers</v>
          </cell>
          <cell r="T723" t="str">
            <v>Paid</v>
          </cell>
          <cell r="U723" t="str">
            <v>Completed</v>
          </cell>
        </row>
        <row r="724">
          <cell r="E724" t="str">
            <v>Vikram Iyer</v>
          </cell>
          <cell r="F724" t="str">
            <v>Consumer</v>
          </cell>
          <cell r="H724" t="str">
            <v>West Bengal</v>
          </cell>
          <cell r="I724" t="str">
            <v>Kolkata</v>
          </cell>
          <cell r="J724" t="str">
            <v>Furniture</v>
          </cell>
          <cell r="K724" t="str">
            <v>Chairs</v>
          </cell>
          <cell r="T724" t="str">
            <v>Refunded</v>
          </cell>
          <cell r="U724" t="str">
            <v>Cancelled</v>
          </cell>
        </row>
        <row r="725">
          <cell r="E725" t="str">
            <v>Kabir Singh</v>
          </cell>
          <cell r="F725" t="str">
            <v>Home Office</v>
          </cell>
          <cell r="H725" t="str">
            <v>Jharkhand</v>
          </cell>
          <cell r="I725" t="str">
            <v>Ranchi</v>
          </cell>
          <cell r="J725" t="str">
            <v>Technology</v>
          </cell>
          <cell r="K725" t="str">
            <v>Accessories</v>
          </cell>
          <cell r="T725" t="str">
            <v>Failed</v>
          </cell>
          <cell r="U725" t="str">
            <v>Returned</v>
          </cell>
        </row>
        <row r="726">
          <cell r="E726" t="str">
            <v>Karan Malhotra</v>
          </cell>
          <cell r="F726" t="str">
            <v>Consumer</v>
          </cell>
          <cell r="H726" t="str">
            <v>Goa</v>
          </cell>
          <cell r="I726" t="str">
            <v>Panaji</v>
          </cell>
          <cell r="J726" t="str">
            <v>Furniture</v>
          </cell>
          <cell r="K726" t="str">
            <v>Furnishings</v>
          </cell>
          <cell r="T726" t="str">
            <v>Paid</v>
          </cell>
          <cell r="U726" t="str">
            <v>Completed</v>
          </cell>
        </row>
        <row r="727">
          <cell r="E727" t="str">
            <v>Priya Menon</v>
          </cell>
          <cell r="F727" t="str">
            <v>Corporate</v>
          </cell>
          <cell r="H727" t="str">
            <v>Karnataka</v>
          </cell>
          <cell r="I727" t="str">
            <v>Bengaluru</v>
          </cell>
          <cell r="J727" t="str">
            <v>Furniture</v>
          </cell>
          <cell r="K727" t="str">
            <v>Tables</v>
          </cell>
          <cell r="T727" t="str">
            <v>Paid</v>
          </cell>
          <cell r="U727" t="str">
            <v>Completed</v>
          </cell>
        </row>
        <row r="728">
          <cell r="E728" t="str">
            <v>Kabir Singh</v>
          </cell>
          <cell r="F728" t="str">
            <v>Home Office</v>
          </cell>
          <cell r="H728" t="str">
            <v>Gujarat</v>
          </cell>
          <cell r="I728" t="str">
            <v>Ahmedabad</v>
          </cell>
          <cell r="J728" t="str">
            <v>Technology</v>
          </cell>
          <cell r="K728" t="str">
            <v>Phones</v>
          </cell>
          <cell r="T728" t="str">
            <v>Pending</v>
          </cell>
          <cell r="U728" t="str">
            <v>Returned</v>
          </cell>
        </row>
        <row r="729">
          <cell r="E729" t="str">
            <v>Aarav Sharma</v>
          </cell>
          <cell r="F729" t="str">
            <v>Small Business</v>
          </cell>
          <cell r="H729" t="str">
            <v>Assam</v>
          </cell>
          <cell r="I729" t="str">
            <v>Guwahati</v>
          </cell>
          <cell r="J729" t="str">
            <v>Technology</v>
          </cell>
          <cell r="K729" t="str">
            <v>Accessories</v>
          </cell>
          <cell r="T729" t="str">
            <v>Paid</v>
          </cell>
          <cell r="U729" t="str">
            <v>Completed</v>
          </cell>
        </row>
        <row r="730">
          <cell r="E730" t="str">
            <v>Sneha Kapoor</v>
          </cell>
          <cell r="F730" t="str">
            <v>Small Business</v>
          </cell>
          <cell r="H730" t="str">
            <v>Karnataka</v>
          </cell>
          <cell r="I730" t="str">
            <v>Bengaluru</v>
          </cell>
          <cell r="J730" t="str">
            <v>Technology</v>
          </cell>
          <cell r="K730" t="str">
            <v>Machines</v>
          </cell>
          <cell r="T730" t="str">
            <v>Paid</v>
          </cell>
          <cell r="U730" t="str">
            <v>Completed</v>
          </cell>
        </row>
        <row r="731">
          <cell r="E731" t="str">
            <v>Ananya Rao</v>
          </cell>
          <cell r="F731" t="str">
            <v>Corporate</v>
          </cell>
          <cell r="H731" t="str">
            <v>Tamil Nadu</v>
          </cell>
          <cell r="I731" t="str">
            <v>Chennai</v>
          </cell>
          <cell r="J731" t="str">
            <v>Technology</v>
          </cell>
          <cell r="K731" t="str">
            <v>Machines</v>
          </cell>
          <cell r="T731" t="str">
            <v>Paid</v>
          </cell>
          <cell r="U731" t="str">
            <v>Completed</v>
          </cell>
        </row>
        <row r="732">
          <cell r="E732" t="str">
            <v>Arjun Bose</v>
          </cell>
          <cell r="F732" t="str">
            <v>Consumer</v>
          </cell>
          <cell r="H732" t="str">
            <v>West Bengal</v>
          </cell>
          <cell r="I732" t="str">
            <v>Kolkata</v>
          </cell>
          <cell r="J732" t="str">
            <v>Office Supplies</v>
          </cell>
          <cell r="K732" t="str">
            <v>Art</v>
          </cell>
          <cell r="T732" t="str">
            <v>Refunded</v>
          </cell>
          <cell r="U732" t="str">
            <v>Returned</v>
          </cell>
        </row>
        <row r="733">
          <cell r="E733" t="str">
            <v>Ananya Rao</v>
          </cell>
          <cell r="F733" t="str">
            <v>Corporate</v>
          </cell>
          <cell r="H733" t="str">
            <v>Odisha</v>
          </cell>
          <cell r="I733" t="str">
            <v>Bhubaneswar</v>
          </cell>
          <cell r="J733" t="str">
            <v>Office Supplies</v>
          </cell>
          <cell r="K733" t="str">
            <v>Binders</v>
          </cell>
          <cell r="T733" t="str">
            <v>Paid</v>
          </cell>
          <cell r="U733" t="str">
            <v>Completed</v>
          </cell>
        </row>
        <row r="734">
          <cell r="E734" t="str">
            <v>Arjun Bose</v>
          </cell>
          <cell r="F734" t="str">
            <v>Small Business</v>
          </cell>
          <cell r="H734" t="str">
            <v>Punjab</v>
          </cell>
          <cell r="I734" t="str">
            <v>Ludhiana</v>
          </cell>
          <cell r="J734" t="str">
            <v>Technology</v>
          </cell>
          <cell r="K734" t="str">
            <v>Phones</v>
          </cell>
          <cell r="T734" t="str">
            <v>Paid</v>
          </cell>
          <cell r="U734" t="str">
            <v>Completed</v>
          </cell>
        </row>
        <row r="735">
          <cell r="E735" t="str">
            <v>Aarav Sharma</v>
          </cell>
          <cell r="F735" t="str">
            <v>Home Office</v>
          </cell>
          <cell r="H735" t="str">
            <v>Rajasthan</v>
          </cell>
          <cell r="I735" t="str">
            <v>Jaipur</v>
          </cell>
          <cell r="J735" t="str">
            <v>Furniture</v>
          </cell>
          <cell r="K735" t="str">
            <v>Furnishings</v>
          </cell>
          <cell r="T735" t="str">
            <v>Paid</v>
          </cell>
          <cell r="U735" t="str">
            <v>Completed</v>
          </cell>
        </row>
        <row r="736">
          <cell r="E736" t="str">
            <v>Ananya Rao</v>
          </cell>
          <cell r="F736" t="str">
            <v>Small Business</v>
          </cell>
          <cell r="H736" t="str">
            <v>Rajasthan</v>
          </cell>
          <cell r="I736" t="str">
            <v>Jaipur</v>
          </cell>
          <cell r="J736" t="str">
            <v>Technology</v>
          </cell>
          <cell r="K736" t="str">
            <v>Accessories</v>
          </cell>
          <cell r="T736" t="str">
            <v>Paid</v>
          </cell>
          <cell r="U736" t="str">
            <v>Completed</v>
          </cell>
        </row>
        <row r="737">
          <cell r="E737" t="str">
            <v>Mira Das</v>
          </cell>
          <cell r="F737" t="str">
            <v>Consumer</v>
          </cell>
          <cell r="H737" t="str">
            <v>Maharashtra</v>
          </cell>
          <cell r="I737" t="str">
            <v>Mumbai</v>
          </cell>
          <cell r="J737" t="str">
            <v>Furniture</v>
          </cell>
          <cell r="K737" t="str">
            <v>Tables</v>
          </cell>
          <cell r="T737" t="str">
            <v>Paid</v>
          </cell>
          <cell r="U737" t="str">
            <v>Completed</v>
          </cell>
        </row>
        <row r="738">
          <cell r="E738" t="str">
            <v>Aditi Sen</v>
          </cell>
          <cell r="F738" t="str">
            <v>Consumer</v>
          </cell>
          <cell r="H738" t="str">
            <v>Maharashtra</v>
          </cell>
          <cell r="I738" t="str">
            <v>Mumbai</v>
          </cell>
          <cell r="J738" t="str">
            <v>Furniture</v>
          </cell>
          <cell r="K738" t="str">
            <v>Chairs</v>
          </cell>
          <cell r="T738" t="str">
            <v>Paid</v>
          </cell>
          <cell r="U738" t="str">
            <v>Completed</v>
          </cell>
        </row>
        <row r="739">
          <cell r="E739" t="str">
            <v>Isha Nair</v>
          </cell>
          <cell r="F739" t="str">
            <v>Home Office</v>
          </cell>
          <cell r="H739" t="str">
            <v>Maharashtra</v>
          </cell>
          <cell r="I739" t="str">
            <v>Mumbai</v>
          </cell>
          <cell r="J739" t="str">
            <v>Furniture</v>
          </cell>
          <cell r="K739" t="str">
            <v>Chairs</v>
          </cell>
          <cell r="T739" t="str">
            <v>Paid</v>
          </cell>
          <cell r="U739" t="str">
            <v>Completed</v>
          </cell>
        </row>
        <row r="740">
          <cell r="E740" t="str">
            <v>Priya Menon</v>
          </cell>
          <cell r="F740" t="str">
            <v>Corporate</v>
          </cell>
          <cell r="H740" t="str">
            <v>Kerala</v>
          </cell>
          <cell r="I740" t="str">
            <v>Kochi</v>
          </cell>
          <cell r="J740" t="str">
            <v>Office Supplies</v>
          </cell>
          <cell r="K740" t="str">
            <v>Paper</v>
          </cell>
          <cell r="T740" t="str">
            <v>Paid</v>
          </cell>
          <cell r="U740" t="str">
            <v>Completed</v>
          </cell>
        </row>
        <row r="741">
          <cell r="E741" t="str">
            <v>Neha Gupta</v>
          </cell>
          <cell r="F741" t="str">
            <v>Corporate</v>
          </cell>
          <cell r="H741" t="str">
            <v>Rajasthan</v>
          </cell>
          <cell r="I741" t="str">
            <v>Jaipur</v>
          </cell>
          <cell r="J741" t="str">
            <v>Technology</v>
          </cell>
          <cell r="K741" t="str">
            <v>Phones</v>
          </cell>
          <cell r="T741" t="str">
            <v>Paid</v>
          </cell>
          <cell r="U741" t="str">
            <v>Completed</v>
          </cell>
        </row>
        <row r="742">
          <cell r="E742" t="str">
            <v>Sneha Kapoor</v>
          </cell>
          <cell r="F742" t="str">
            <v>Small Business</v>
          </cell>
          <cell r="H742" t="str">
            <v>Maharashtra</v>
          </cell>
          <cell r="I742" t="str">
            <v>Mumbai</v>
          </cell>
          <cell r="J742" t="str">
            <v>Furniture</v>
          </cell>
          <cell r="K742" t="str">
            <v>Chairs</v>
          </cell>
          <cell r="T742" t="str">
            <v>Paid</v>
          </cell>
          <cell r="U742" t="str">
            <v>Completed</v>
          </cell>
        </row>
        <row r="743">
          <cell r="E743" t="str">
            <v>Isha Nair</v>
          </cell>
          <cell r="F743" t="str">
            <v>Home Office</v>
          </cell>
          <cell r="H743" t="str">
            <v>Tamil Nadu</v>
          </cell>
          <cell r="I743" t="str">
            <v>Chennai</v>
          </cell>
          <cell r="J743" t="str">
            <v>Furniture</v>
          </cell>
          <cell r="K743" t="str">
            <v>Chairs</v>
          </cell>
          <cell r="T743" t="str">
            <v>Paid</v>
          </cell>
          <cell r="U743" t="str">
            <v>Cancelled</v>
          </cell>
        </row>
        <row r="744">
          <cell r="E744" t="str">
            <v>Karan Malhotra</v>
          </cell>
          <cell r="F744" t="str">
            <v>Corporate</v>
          </cell>
          <cell r="H744" t="str">
            <v>Odisha</v>
          </cell>
          <cell r="I744" t="str">
            <v>Bhubaneswar</v>
          </cell>
          <cell r="J744" t="str">
            <v>Office Supplies</v>
          </cell>
          <cell r="K744" t="str">
            <v>Paper</v>
          </cell>
          <cell r="T744" t="str">
            <v>Paid</v>
          </cell>
          <cell r="U744" t="str">
            <v>Completed</v>
          </cell>
        </row>
        <row r="745">
          <cell r="E745" t="str">
            <v>Sneha Kapoor</v>
          </cell>
          <cell r="F745" t="str">
            <v>Consumer</v>
          </cell>
          <cell r="H745" t="str">
            <v>Uttar Pradesh</v>
          </cell>
          <cell r="I745" t="str">
            <v>Noida</v>
          </cell>
          <cell r="J745" t="str">
            <v>Office Supplies</v>
          </cell>
          <cell r="K745" t="str">
            <v>Art</v>
          </cell>
          <cell r="T745" t="str">
            <v>Paid</v>
          </cell>
          <cell r="U745" t="str">
            <v>Completed</v>
          </cell>
        </row>
        <row r="746">
          <cell r="E746" t="str">
            <v>Mira Das</v>
          </cell>
          <cell r="F746" t="str">
            <v>Home Office</v>
          </cell>
          <cell r="H746" t="str">
            <v>Punjab</v>
          </cell>
          <cell r="I746" t="str">
            <v>Ludhiana</v>
          </cell>
          <cell r="J746" t="str">
            <v>Office Supplies</v>
          </cell>
          <cell r="K746" t="str">
            <v>Binders</v>
          </cell>
          <cell r="T746" t="str">
            <v>Paid</v>
          </cell>
          <cell r="U746" t="str">
            <v>Cancelled</v>
          </cell>
        </row>
        <row r="747">
          <cell r="E747" t="str">
            <v>Mira Das</v>
          </cell>
          <cell r="F747" t="str">
            <v>Small Business</v>
          </cell>
          <cell r="H747" t="str">
            <v>Assam</v>
          </cell>
          <cell r="I747" t="str">
            <v>Guwahati</v>
          </cell>
          <cell r="J747" t="str">
            <v>Technology</v>
          </cell>
          <cell r="K747" t="str">
            <v>Copiers</v>
          </cell>
          <cell r="T747" t="str">
            <v>Paid</v>
          </cell>
          <cell r="U747" t="str">
            <v>Completed</v>
          </cell>
        </row>
        <row r="748">
          <cell r="E748" t="str">
            <v>Aarav Sharma</v>
          </cell>
          <cell r="F748" t="str">
            <v>Home Office</v>
          </cell>
          <cell r="H748" t="str">
            <v>West Bengal</v>
          </cell>
          <cell r="I748" t="str">
            <v>Kolkata</v>
          </cell>
          <cell r="J748" t="str">
            <v>Office Supplies</v>
          </cell>
          <cell r="K748" t="str">
            <v>Paper</v>
          </cell>
          <cell r="T748" t="str">
            <v>Paid</v>
          </cell>
          <cell r="U748" t="str">
            <v>Completed</v>
          </cell>
        </row>
        <row r="749">
          <cell r="E749" t="str">
            <v>Isha Nair</v>
          </cell>
          <cell r="F749" t="str">
            <v>Home Office</v>
          </cell>
          <cell r="H749" t="str">
            <v>Odisha</v>
          </cell>
          <cell r="I749" t="str">
            <v>Bhubaneswar</v>
          </cell>
          <cell r="J749" t="str">
            <v>Office Supplies</v>
          </cell>
          <cell r="K749" t="str">
            <v>Paper</v>
          </cell>
          <cell r="T749" t="str">
            <v>Paid</v>
          </cell>
          <cell r="U749" t="str">
            <v>Completed</v>
          </cell>
        </row>
        <row r="750">
          <cell r="E750" t="str">
            <v>Diya Patel</v>
          </cell>
          <cell r="F750" t="str">
            <v>Home Office</v>
          </cell>
          <cell r="H750" t="str">
            <v>Haryana</v>
          </cell>
          <cell r="I750" t="str">
            <v>Gurugram</v>
          </cell>
          <cell r="J750" t="str">
            <v>Technology</v>
          </cell>
          <cell r="K750" t="str">
            <v>Phones</v>
          </cell>
          <cell r="T750" t="str">
            <v>Paid</v>
          </cell>
          <cell r="U750" t="str">
            <v>Completed</v>
          </cell>
        </row>
        <row r="751">
          <cell r="E751" t="str">
            <v>Aditi Sen</v>
          </cell>
          <cell r="F751" t="str">
            <v>Home Office</v>
          </cell>
          <cell r="H751" t="str">
            <v>Assam</v>
          </cell>
          <cell r="I751" t="str">
            <v>Guwahati</v>
          </cell>
          <cell r="J751" t="str">
            <v>Technology</v>
          </cell>
          <cell r="K751" t="str">
            <v>Machines</v>
          </cell>
          <cell r="T751" t="str">
            <v>Paid</v>
          </cell>
          <cell r="U751" t="str">
            <v>Completed</v>
          </cell>
        </row>
        <row r="752">
          <cell r="E752" t="str">
            <v>Aarav Sharma</v>
          </cell>
          <cell r="F752" t="str">
            <v>Home Office</v>
          </cell>
          <cell r="H752" t="str">
            <v>Telangana</v>
          </cell>
          <cell r="I752" t="str">
            <v>Hyderabad</v>
          </cell>
          <cell r="J752" t="str">
            <v>Technology</v>
          </cell>
          <cell r="K752" t="str">
            <v>Accessories</v>
          </cell>
          <cell r="T752" t="str">
            <v>Paid</v>
          </cell>
          <cell r="U752" t="str">
            <v>Completed</v>
          </cell>
        </row>
        <row r="753">
          <cell r="E753" t="str">
            <v>Priya Menon</v>
          </cell>
          <cell r="F753" t="str">
            <v>Home Office</v>
          </cell>
          <cell r="H753" t="str">
            <v>Uttar Pradesh</v>
          </cell>
          <cell r="I753" t="str">
            <v>Noida</v>
          </cell>
          <cell r="J753" t="str">
            <v>Technology</v>
          </cell>
          <cell r="K753" t="str">
            <v>Machines</v>
          </cell>
          <cell r="T753" t="str">
            <v>Paid</v>
          </cell>
          <cell r="U753" t="str">
            <v>Completed</v>
          </cell>
        </row>
        <row r="754">
          <cell r="E754" t="str">
            <v>Aditi Sen</v>
          </cell>
          <cell r="F754" t="str">
            <v>Corporate</v>
          </cell>
          <cell r="H754" t="str">
            <v>Gujarat</v>
          </cell>
          <cell r="I754" t="str">
            <v>Ahmedabad</v>
          </cell>
          <cell r="J754" t="str">
            <v>Office Supplies</v>
          </cell>
          <cell r="K754" t="str">
            <v>Storage</v>
          </cell>
          <cell r="T754" t="str">
            <v>Paid</v>
          </cell>
          <cell r="U754" t="str">
            <v>Completed</v>
          </cell>
        </row>
        <row r="755">
          <cell r="E755" t="str">
            <v>Aditi Sen</v>
          </cell>
          <cell r="F755" t="str">
            <v>Corporate</v>
          </cell>
          <cell r="H755" t="str">
            <v>Delhi</v>
          </cell>
          <cell r="I755" t="str">
            <v>New Delhi</v>
          </cell>
          <cell r="J755" t="str">
            <v>Furniture</v>
          </cell>
          <cell r="K755" t="str">
            <v>Furnishings</v>
          </cell>
          <cell r="T755" t="str">
            <v>Failed</v>
          </cell>
          <cell r="U755" t="str">
            <v>Returned</v>
          </cell>
        </row>
        <row r="756">
          <cell r="E756" t="str">
            <v>Neha Gupta</v>
          </cell>
          <cell r="F756" t="str">
            <v>Corporate</v>
          </cell>
          <cell r="H756" t="str">
            <v>Kerala</v>
          </cell>
          <cell r="I756" t="str">
            <v>Kochi</v>
          </cell>
          <cell r="J756" t="str">
            <v>Office Supplies</v>
          </cell>
          <cell r="K756" t="str">
            <v>Storage</v>
          </cell>
          <cell r="T756" t="str">
            <v>Paid</v>
          </cell>
          <cell r="U756" t="str">
            <v>Completed</v>
          </cell>
        </row>
        <row r="757">
          <cell r="E757" t="str">
            <v>Priya Menon</v>
          </cell>
          <cell r="F757" t="str">
            <v>Home Office</v>
          </cell>
          <cell r="H757" t="str">
            <v>Madhya Pradesh</v>
          </cell>
          <cell r="I757" t="str">
            <v>Indore</v>
          </cell>
          <cell r="J757" t="str">
            <v>Office Supplies</v>
          </cell>
          <cell r="K757" t="str">
            <v>Storage</v>
          </cell>
          <cell r="T757" t="str">
            <v>Paid</v>
          </cell>
          <cell r="U757" t="str">
            <v>Completed</v>
          </cell>
        </row>
        <row r="758">
          <cell r="E758" t="str">
            <v>Rohan Mehta</v>
          </cell>
          <cell r="F758" t="str">
            <v>Consumer</v>
          </cell>
          <cell r="H758" t="str">
            <v>Rajasthan</v>
          </cell>
          <cell r="I758" t="str">
            <v>Jaipur</v>
          </cell>
          <cell r="J758" t="str">
            <v>Technology</v>
          </cell>
          <cell r="K758" t="str">
            <v>Accessories</v>
          </cell>
          <cell r="T758" t="str">
            <v>Paid</v>
          </cell>
          <cell r="U758" t="str">
            <v>Returned</v>
          </cell>
        </row>
        <row r="759">
          <cell r="E759" t="str">
            <v>Aditi Sen</v>
          </cell>
          <cell r="F759" t="str">
            <v>Small Business</v>
          </cell>
          <cell r="H759" t="str">
            <v>Kerala</v>
          </cell>
          <cell r="I759" t="str">
            <v>Kochi</v>
          </cell>
          <cell r="J759" t="str">
            <v>Furniture</v>
          </cell>
          <cell r="K759" t="str">
            <v>Bookcases</v>
          </cell>
          <cell r="T759" t="str">
            <v>Failed</v>
          </cell>
          <cell r="U759" t="str">
            <v>Cancelled</v>
          </cell>
        </row>
        <row r="760">
          <cell r="E760" t="str">
            <v>Aarav Sharma</v>
          </cell>
          <cell r="F760" t="str">
            <v>Small Business</v>
          </cell>
          <cell r="H760" t="str">
            <v>Karnataka</v>
          </cell>
          <cell r="I760" t="str">
            <v>Bengaluru</v>
          </cell>
          <cell r="J760" t="str">
            <v>Furniture</v>
          </cell>
          <cell r="K760" t="str">
            <v>Chairs</v>
          </cell>
          <cell r="T760" t="str">
            <v>Paid</v>
          </cell>
          <cell r="U760" t="str">
            <v>Completed</v>
          </cell>
        </row>
        <row r="761">
          <cell r="E761" t="str">
            <v>Arjun Bose</v>
          </cell>
          <cell r="F761" t="str">
            <v>Home Office</v>
          </cell>
          <cell r="H761" t="str">
            <v>Karnataka</v>
          </cell>
          <cell r="I761" t="str">
            <v>Bengaluru</v>
          </cell>
          <cell r="J761" t="str">
            <v>Furniture</v>
          </cell>
          <cell r="K761" t="str">
            <v>Tables</v>
          </cell>
          <cell r="T761" t="str">
            <v>Paid</v>
          </cell>
          <cell r="U761" t="str">
            <v>Completed</v>
          </cell>
        </row>
        <row r="762">
          <cell r="E762" t="str">
            <v>Aditi Sen</v>
          </cell>
          <cell r="F762" t="str">
            <v>Home Office</v>
          </cell>
          <cell r="H762" t="str">
            <v>Assam</v>
          </cell>
          <cell r="I762" t="str">
            <v>Guwahati</v>
          </cell>
          <cell r="J762" t="str">
            <v>Office Supplies</v>
          </cell>
          <cell r="K762" t="str">
            <v>Art</v>
          </cell>
          <cell r="T762" t="str">
            <v>Pending</v>
          </cell>
          <cell r="U762" t="str">
            <v>Returned</v>
          </cell>
        </row>
        <row r="763">
          <cell r="E763" t="str">
            <v>Isha Nair</v>
          </cell>
          <cell r="F763" t="str">
            <v>Consumer</v>
          </cell>
          <cell r="H763" t="str">
            <v>Karnataka</v>
          </cell>
          <cell r="I763" t="str">
            <v>Bengaluru</v>
          </cell>
          <cell r="J763" t="str">
            <v>Technology</v>
          </cell>
          <cell r="K763" t="str">
            <v>Machines</v>
          </cell>
          <cell r="T763" t="str">
            <v>Paid</v>
          </cell>
          <cell r="U763" t="str">
            <v>Completed</v>
          </cell>
        </row>
        <row r="764">
          <cell r="E764" t="str">
            <v>Diya Patel</v>
          </cell>
          <cell r="F764" t="str">
            <v>Corporate</v>
          </cell>
          <cell r="H764" t="str">
            <v>Madhya Pradesh</v>
          </cell>
          <cell r="I764" t="str">
            <v>Indore</v>
          </cell>
          <cell r="J764" t="str">
            <v>Technology</v>
          </cell>
          <cell r="K764" t="str">
            <v>Machines</v>
          </cell>
          <cell r="T764" t="str">
            <v>Refunded</v>
          </cell>
          <cell r="U764" t="str">
            <v>Returned</v>
          </cell>
        </row>
        <row r="765">
          <cell r="E765" t="str">
            <v>Diya Patel</v>
          </cell>
          <cell r="F765" t="str">
            <v>Consumer</v>
          </cell>
          <cell r="H765" t="str">
            <v>Rajasthan</v>
          </cell>
          <cell r="I765" t="str">
            <v>Jaipur</v>
          </cell>
          <cell r="J765" t="str">
            <v>Furniture</v>
          </cell>
          <cell r="K765" t="str">
            <v>Furnishings</v>
          </cell>
          <cell r="T765" t="str">
            <v>Paid</v>
          </cell>
          <cell r="U765" t="str">
            <v>Completed</v>
          </cell>
        </row>
        <row r="766">
          <cell r="E766" t="str">
            <v>Priya Menon</v>
          </cell>
          <cell r="F766" t="str">
            <v>Corporate</v>
          </cell>
          <cell r="H766" t="str">
            <v>Kerala</v>
          </cell>
          <cell r="I766" t="str">
            <v>Kochi</v>
          </cell>
          <cell r="J766" t="str">
            <v>Furniture</v>
          </cell>
          <cell r="K766" t="str">
            <v>Bookcases</v>
          </cell>
          <cell r="T766" t="str">
            <v>Paid</v>
          </cell>
          <cell r="U766" t="str">
            <v>Completed</v>
          </cell>
        </row>
        <row r="767">
          <cell r="E767" t="str">
            <v>Vikram Iyer</v>
          </cell>
          <cell r="F767" t="str">
            <v>Corporate</v>
          </cell>
          <cell r="H767" t="str">
            <v>Jharkhand</v>
          </cell>
          <cell r="I767" t="str">
            <v>Ranchi</v>
          </cell>
          <cell r="J767" t="str">
            <v>Office Supplies</v>
          </cell>
          <cell r="K767" t="str">
            <v>Labels</v>
          </cell>
          <cell r="T767" t="str">
            <v>Paid</v>
          </cell>
          <cell r="U767" t="str">
            <v>Completed</v>
          </cell>
        </row>
        <row r="768">
          <cell r="E768" t="str">
            <v>Mira Das</v>
          </cell>
          <cell r="F768" t="str">
            <v>Corporate</v>
          </cell>
          <cell r="H768" t="str">
            <v>Gujarat</v>
          </cell>
          <cell r="I768" t="str">
            <v>Ahmedabad</v>
          </cell>
          <cell r="J768" t="str">
            <v>Office Supplies</v>
          </cell>
          <cell r="K768" t="str">
            <v>Art</v>
          </cell>
          <cell r="T768" t="str">
            <v>Paid</v>
          </cell>
          <cell r="U768" t="str">
            <v>Cancelled</v>
          </cell>
        </row>
        <row r="769">
          <cell r="E769" t="str">
            <v>Ananya Rao</v>
          </cell>
          <cell r="F769" t="str">
            <v>Home Office</v>
          </cell>
          <cell r="H769" t="str">
            <v>Uttar Pradesh</v>
          </cell>
          <cell r="I769" t="str">
            <v>Noida</v>
          </cell>
          <cell r="J769" t="str">
            <v>OFFICE SUPPLIES</v>
          </cell>
          <cell r="K769" t="str">
            <v>Binders</v>
          </cell>
          <cell r="T769" t="str">
            <v>Paid</v>
          </cell>
          <cell r="U769" t="str">
            <v>Completed</v>
          </cell>
        </row>
        <row r="770">
          <cell r="E770" t="str">
            <v>Sneha Kapoor</v>
          </cell>
          <cell r="F770" t="str">
            <v>Home Office</v>
          </cell>
          <cell r="H770" t="str">
            <v>Jharkhand</v>
          </cell>
          <cell r="I770" t="str">
            <v>Ranchi</v>
          </cell>
          <cell r="J770" t="str">
            <v>Office Supplies</v>
          </cell>
          <cell r="K770" t="str">
            <v>Paper</v>
          </cell>
          <cell r="T770" t="str">
            <v>Paid</v>
          </cell>
          <cell r="U770" t="str">
            <v>Completed</v>
          </cell>
        </row>
        <row r="771">
          <cell r="E771" t="str">
            <v>Priya Menon</v>
          </cell>
          <cell r="F771" t="str">
            <v>Home Office</v>
          </cell>
          <cell r="H771" t="str">
            <v>Goa</v>
          </cell>
          <cell r="I771" t="str">
            <v>Panaji</v>
          </cell>
          <cell r="J771" t="str">
            <v>Furniture</v>
          </cell>
          <cell r="K771" t="str">
            <v>Bookcases</v>
          </cell>
          <cell r="T771" t="str">
            <v>Paid</v>
          </cell>
          <cell r="U771" t="str">
            <v>Completed</v>
          </cell>
        </row>
        <row r="772">
          <cell r="E772" t="str">
            <v>Neha Gupta</v>
          </cell>
          <cell r="F772" t="str">
            <v>Consumer</v>
          </cell>
          <cell r="H772" t="str">
            <v>Uttar Pradesh</v>
          </cell>
          <cell r="I772" t="str">
            <v>Noida</v>
          </cell>
          <cell r="J772" t="str">
            <v>Technology</v>
          </cell>
          <cell r="K772" t="str">
            <v>Copiers</v>
          </cell>
          <cell r="T772" t="str">
            <v>Paid</v>
          </cell>
          <cell r="U772" t="str">
            <v>Completed</v>
          </cell>
        </row>
        <row r="773">
          <cell r="E773" t="str">
            <v>Ananya Rao</v>
          </cell>
          <cell r="F773" t="str">
            <v>Consumer</v>
          </cell>
          <cell r="H773" t="str">
            <v>Haryana</v>
          </cell>
          <cell r="I773" t="str">
            <v>Gurugram</v>
          </cell>
          <cell r="J773" t="str">
            <v>Technology</v>
          </cell>
          <cell r="K773" t="str">
            <v>Machines</v>
          </cell>
          <cell r="T773" t="str">
            <v>Paid</v>
          </cell>
          <cell r="U773" t="str">
            <v>Completed</v>
          </cell>
        </row>
        <row r="774">
          <cell r="E774" t="str">
            <v>Diya Patel</v>
          </cell>
          <cell r="F774" t="str">
            <v>Consumer</v>
          </cell>
          <cell r="H774" t="str">
            <v>Tamil Nadu</v>
          </cell>
          <cell r="I774" t="str">
            <v>Chennai</v>
          </cell>
          <cell r="J774" t="str">
            <v>Furniture</v>
          </cell>
          <cell r="K774" t="str">
            <v>Chairs</v>
          </cell>
          <cell r="T774" t="str">
            <v>Pending</v>
          </cell>
          <cell r="U774" t="str">
            <v>Cancelled</v>
          </cell>
        </row>
        <row r="775">
          <cell r="E775" t="str">
            <v>Karan Malhotra</v>
          </cell>
          <cell r="F775" t="str">
            <v>Home Office</v>
          </cell>
          <cell r="H775" t="str">
            <v>Gujarat</v>
          </cell>
          <cell r="I775" t="str">
            <v>Ahmedabad</v>
          </cell>
          <cell r="J775" t="str">
            <v>Technology</v>
          </cell>
          <cell r="K775" t="str">
            <v>Phones</v>
          </cell>
          <cell r="T775" t="str">
            <v>Paid</v>
          </cell>
          <cell r="U775" t="str">
            <v>Completed</v>
          </cell>
        </row>
        <row r="776">
          <cell r="E776" t="str">
            <v>Kabir Singh</v>
          </cell>
          <cell r="F776" t="str">
            <v>Consumer</v>
          </cell>
          <cell r="H776" t="str">
            <v>Rajasthan</v>
          </cell>
          <cell r="I776" t="str">
            <v>Udaipur</v>
          </cell>
          <cell r="J776" t="str">
            <v>Technology</v>
          </cell>
          <cell r="K776" t="str">
            <v>Machines</v>
          </cell>
          <cell r="T776" t="str">
            <v>Paid</v>
          </cell>
          <cell r="U776" t="str">
            <v>Completed</v>
          </cell>
        </row>
        <row r="777">
          <cell r="E777" t="str">
            <v>Arjun Bose</v>
          </cell>
          <cell r="F777" t="str">
            <v>Consumer</v>
          </cell>
          <cell r="H777" t="str">
            <v>Haryana</v>
          </cell>
          <cell r="I777" t="str">
            <v>Gurugram</v>
          </cell>
          <cell r="J777" t="str">
            <v>Technology</v>
          </cell>
          <cell r="K777" t="str">
            <v>Accessories</v>
          </cell>
          <cell r="T777" t="str">
            <v>Paid</v>
          </cell>
          <cell r="U777" t="str">
            <v>Completed</v>
          </cell>
        </row>
        <row r="778">
          <cell r="E778" t="str">
            <v>Aditi Sen</v>
          </cell>
          <cell r="F778" t="str">
            <v>Small Business</v>
          </cell>
          <cell r="H778" t="str">
            <v>Rajasthan</v>
          </cell>
          <cell r="I778" t="str">
            <v>Jaipur</v>
          </cell>
          <cell r="J778" t="str">
            <v>Technology</v>
          </cell>
          <cell r="K778" t="str">
            <v>Copiers</v>
          </cell>
          <cell r="T778" t="str">
            <v>Paid</v>
          </cell>
          <cell r="U778" t="str">
            <v>Completed</v>
          </cell>
        </row>
        <row r="779">
          <cell r="E779" t="str">
            <v>Kabir Singh</v>
          </cell>
          <cell r="F779" t="str">
            <v>Small Business</v>
          </cell>
          <cell r="H779" t="str">
            <v>Madhya Pradesh</v>
          </cell>
          <cell r="I779" t="str">
            <v>Indore</v>
          </cell>
          <cell r="J779" t="str">
            <v>Technology</v>
          </cell>
          <cell r="K779" t="str">
            <v>Accessories</v>
          </cell>
          <cell r="T779" t="str">
            <v>Failed</v>
          </cell>
          <cell r="U779" t="str">
            <v>Cancelled</v>
          </cell>
        </row>
        <row r="780">
          <cell r="E780" t="str">
            <v>Karan Malhotra</v>
          </cell>
          <cell r="F780" t="str">
            <v>Small Business</v>
          </cell>
          <cell r="H780" t="str">
            <v>Haryana</v>
          </cell>
          <cell r="I780" t="str">
            <v>Gurugram</v>
          </cell>
          <cell r="J780" t="str">
            <v>Technology</v>
          </cell>
          <cell r="K780" t="str">
            <v>Copiers</v>
          </cell>
          <cell r="T780" t="str">
            <v>Paid</v>
          </cell>
          <cell r="U780" t="str">
            <v>Completed</v>
          </cell>
        </row>
        <row r="781">
          <cell r="E781" t="str">
            <v>Priya Menon</v>
          </cell>
          <cell r="F781" t="str">
            <v>Small Business</v>
          </cell>
          <cell r="H781" t="str">
            <v>Andhra Pradesh</v>
          </cell>
          <cell r="I781" t="str">
            <v>Vijayawada</v>
          </cell>
          <cell r="J781" t="str">
            <v>Furniture</v>
          </cell>
          <cell r="K781" t="str">
            <v>Chairs</v>
          </cell>
          <cell r="T781" t="str">
            <v>Paid</v>
          </cell>
          <cell r="U781" t="str">
            <v>Completed</v>
          </cell>
        </row>
        <row r="782">
          <cell r="E782" t="str">
            <v>Diya Patel</v>
          </cell>
          <cell r="F782" t="str">
            <v>Small Business</v>
          </cell>
          <cell r="H782" t="str">
            <v>Rajasthan</v>
          </cell>
          <cell r="I782" t="str">
            <v>Udaipur</v>
          </cell>
          <cell r="J782" t="str">
            <v>Furniture</v>
          </cell>
          <cell r="K782" t="str">
            <v>Chairs</v>
          </cell>
          <cell r="T782" t="str">
            <v>Paid</v>
          </cell>
          <cell r="U782" t="str">
            <v>Completed</v>
          </cell>
        </row>
        <row r="783">
          <cell r="E783" t="str">
            <v>Karan Malhotra</v>
          </cell>
          <cell r="F783" t="str">
            <v>Home Office</v>
          </cell>
          <cell r="H783" t="str">
            <v>Rajasthan</v>
          </cell>
          <cell r="I783" t="str">
            <v>Udaipur</v>
          </cell>
          <cell r="J783" t="str">
            <v>Office Supplies</v>
          </cell>
          <cell r="K783" t="str">
            <v>Labels</v>
          </cell>
          <cell r="T783" t="str">
            <v>Pending</v>
          </cell>
          <cell r="U783" t="str">
            <v>Returned</v>
          </cell>
        </row>
        <row r="784">
          <cell r="E784" t="str">
            <v>Mira Das</v>
          </cell>
          <cell r="F784" t="str">
            <v>Corporate</v>
          </cell>
          <cell r="H784" t="str">
            <v>West Bengal</v>
          </cell>
          <cell r="I784" t="str">
            <v>Kolkata</v>
          </cell>
          <cell r="J784" t="str">
            <v>Technology</v>
          </cell>
          <cell r="K784" t="str">
            <v>Copiers</v>
          </cell>
          <cell r="T784" t="str">
            <v>Paid</v>
          </cell>
          <cell r="U784" t="str">
            <v>Completed</v>
          </cell>
        </row>
        <row r="785">
          <cell r="E785" t="str">
            <v>Aarav Sharma</v>
          </cell>
          <cell r="F785" t="str">
            <v>Small Business</v>
          </cell>
          <cell r="H785" t="str">
            <v>Bihar</v>
          </cell>
          <cell r="I785" t="str">
            <v>Patna</v>
          </cell>
          <cell r="J785" t="str">
            <v>Office Supplies</v>
          </cell>
          <cell r="K785" t="str">
            <v>Art</v>
          </cell>
          <cell r="T785" t="str">
            <v>Paid</v>
          </cell>
          <cell r="U785" t="str">
            <v>Completed</v>
          </cell>
        </row>
        <row r="786">
          <cell r="E786" t="str">
            <v>Priya Menon</v>
          </cell>
          <cell r="F786" t="str">
            <v>Corporate</v>
          </cell>
          <cell r="H786" t="str">
            <v>Punjab</v>
          </cell>
          <cell r="I786" t="str">
            <v>Ludhiana</v>
          </cell>
          <cell r="J786" t="str">
            <v>Technology</v>
          </cell>
          <cell r="K786" t="str">
            <v>Copiers</v>
          </cell>
          <cell r="T786" t="str">
            <v>Paid</v>
          </cell>
          <cell r="U786" t="str">
            <v>Completed</v>
          </cell>
        </row>
        <row r="787">
          <cell r="E787" t="str">
            <v>Diya Patel</v>
          </cell>
          <cell r="F787" t="str">
            <v>Small Business</v>
          </cell>
          <cell r="H787" t="str">
            <v>Haryana</v>
          </cell>
          <cell r="I787" t="str">
            <v>Gurugram</v>
          </cell>
          <cell r="J787" t="str">
            <v>Office Supplies</v>
          </cell>
          <cell r="K787" t="str">
            <v>Storage</v>
          </cell>
          <cell r="T787" t="str">
            <v>Failed</v>
          </cell>
          <cell r="U787" t="str">
            <v>Cancelled</v>
          </cell>
        </row>
        <row r="788">
          <cell r="E788" t="str">
            <v>Ananya Rao</v>
          </cell>
          <cell r="F788" t="str">
            <v>Corporate</v>
          </cell>
          <cell r="H788" t="str">
            <v>Rajasthan</v>
          </cell>
          <cell r="I788" t="str">
            <v>Jaipur</v>
          </cell>
          <cell r="J788" t="str">
            <v>Furniture</v>
          </cell>
          <cell r="K788" t="str">
            <v>Furnishings</v>
          </cell>
          <cell r="T788" t="str">
            <v>Refunded</v>
          </cell>
          <cell r="U788" t="str">
            <v>Returned</v>
          </cell>
        </row>
        <row r="789">
          <cell r="E789" t="str">
            <v>Ananya Rao</v>
          </cell>
          <cell r="F789" t="str">
            <v>Home Office</v>
          </cell>
          <cell r="H789" t="str">
            <v>Bihar</v>
          </cell>
          <cell r="I789" t="str">
            <v>Patna</v>
          </cell>
          <cell r="J789" t="str">
            <v>Office Supplies</v>
          </cell>
          <cell r="K789" t="str">
            <v>Paper</v>
          </cell>
          <cell r="T789" t="str">
            <v>Paid</v>
          </cell>
          <cell r="U789" t="str">
            <v>Completed</v>
          </cell>
        </row>
        <row r="790">
          <cell r="E790" t="str">
            <v>Isha Nair</v>
          </cell>
          <cell r="F790" t="str">
            <v>Corporate</v>
          </cell>
          <cell r="H790" t="str">
            <v>Uttar Pradesh</v>
          </cell>
          <cell r="I790" t="str">
            <v>Noida</v>
          </cell>
          <cell r="J790" t="str">
            <v>Furniture</v>
          </cell>
          <cell r="K790" t="str">
            <v>Chairs</v>
          </cell>
          <cell r="T790" t="str">
            <v>Failed</v>
          </cell>
          <cell r="U790" t="str">
            <v>Returned</v>
          </cell>
        </row>
        <row r="791">
          <cell r="E791" t="str">
            <v>Priya Menon</v>
          </cell>
          <cell r="F791" t="str">
            <v>Home Office</v>
          </cell>
          <cell r="H791" t="str">
            <v>Rajasthan</v>
          </cell>
          <cell r="I791" t="str">
            <v>Udaipur</v>
          </cell>
          <cell r="J791" t="str">
            <v>Technology</v>
          </cell>
          <cell r="K791" t="str">
            <v>Copiers</v>
          </cell>
          <cell r="T791" t="str">
            <v>Paid</v>
          </cell>
          <cell r="U791" t="str">
            <v>Completed</v>
          </cell>
        </row>
        <row r="792">
          <cell r="E792" t="str">
            <v>Rahul Verma</v>
          </cell>
          <cell r="F792" t="str">
            <v>Corporate</v>
          </cell>
          <cell r="H792" t="str">
            <v>Andhra Pradesh</v>
          </cell>
          <cell r="I792" t="str">
            <v>Vijayawada</v>
          </cell>
          <cell r="J792" t="str">
            <v>Office Supplies</v>
          </cell>
          <cell r="K792" t="str">
            <v>Art</v>
          </cell>
          <cell r="T792" t="str">
            <v>Paid</v>
          </cell>
          <cell r="U792" t="str">
            <v>Completed</v>
          </cell>
        </row>
        <row r="793">
          <cell r="E793" t="str">
            <v>Rahul Verma</v>
          </cell>
          <cell r="F793" t="str">
            <v>Home Office</v>
          </cell>
          <cell r="H793" t="str">
            <v>Karnataka</v>
          </cell>
          <cell r="I793" t="str">
            <v>Bengaluru</v>
          </cell>
          <cell r="J793" t="str">
            <v>Furniture</v>
          </cell>
          <cell r="K793" t="str">
            <v>Bookcases</v>
          </cell>
          <cell r="T793" t="str">
            <v>Paid</v>
          </cell>
          <cell r="U793" t="str">
            <v>Completed</v>
          </cell>
        </row>
        <row r="794">
          <cell r="E794" t="str">
            <v>Arjun Bose</v>
          </cell>
          <cell r="F794" t="str">
            <v>Small Business</v>
          </cell>
          <cell r="H794" t="str">
            <v>Assam</v>
          </cell>
          <cell r="I794" t="str">
            <v>Guwahati</v>
          </cell>
          <cell r="J794" t="str">
            <v>Furniture</v>
          </cell>
          <cell r="K794" t="str">
            <v>Furnishings</v>
          </cell>
          <cell r="T794" t="str">
            <v>Paid</v>
          </cell>
          <cell r="U794" t="str">
            <v>Returned</v>
          </cell>
        </row>
        <row r="795">
          <cell r="E795" t="str">
            <v>Vikram Iyer</v>
          </cell>
          <cell r="F795" t="str">
            <v>Corporate</v>
          </cell>
          <cell r="H795" t="str">
            <v>Rajasthan</v>
          </cell>
          <cell r="I795" t="str">
            <v>Jaipur</v>
          </cell>
          <cell r="J795" t="str">
            <v>Technology</v>
          </cell>
          <cell r="K795" t="str">
            <v>Copiers</v>
          </cell>
          <cell r="T795" t="str">
            <v>Paid</v>
          </cell>
          <cell r="U795" t="str">
            <v>Completed</v>
          </cell>
        </row>
        <row r="796">
          <cell r="E796" t="str">
            <v>Sneha Kapoor</v>
          </cell>
          <cell r="F796" t="str">
            <v>Corporate</v>
          </cell>
          <cell r="H796" t="str">
            <v>Assam</v>
          </cell>
          <cell r="I796" t="str">
            <v>Guwahati</v>
          </cell>
          <cell r="J796" t="str">
            <v>Office Supplies</v>
          </cell>
          <cell r="K796" t="str">
            <v>Paper</v>
          </cell>
          <cell r="T796" t="str">
            <v>Paid</v>
          </cell>
          <cell r="U796" t="str">
            <v>Completed</v>
          </cell>
        </row>
        <row r="797">
          <cell r="E797" t="str">
            <v>Diya Patel</v>
          </cell>
          <cell r="F797" t="str">
            <v>Home Office</v>
          </cell>
          <cell r="H797" t="str">
            <v>Odisha</v>
          </cell>
          <cell r="I797" t="str">
            <v>Bhubaneswar</v>
          </cell>
          <cell r="J797" t="str">
            <v>Technology</v>
          </cell>
          <cell r="K797" t="str">
            <v>Copiers</v>
          </cell>
          <cell r="T797" t="str">
            <v>Refunded</v>
          </cell>
          <cell r="U797" t="str">
            <v>Cancelled</v>
          </cell>
        </row>
        <row r="798">
          <cell r="E798" t="str">
            <v>Rohan Mehta</v>
          </cell>
          <cell r="F798" t="str">
            <v>Small Business</v>
          </cell>
          <cell r="H798" t="str">
            <v>Andhra Pradesh</v>
          </cell>
          <cell r="I798" t="str">
            <v>Vijayawada</v>
          </cell>
          <cell r="J798" t="str">
            <v>Technology</v>
          </cell>
          <cell r="K798" t="str">
            <v>Machines</v>
          </cell>
          <cell r="T798" t="str">
            <v>Paid</v>
          </cell>
          <cell r="U798" t="str">
            <v>Completed</v>
          </cell>
        </row>
        <row r="799">
          <cell r="E799" t="str">
            <v>Aarav Sharma</v>
          </cell>
          <cell r="F799" t="str">
            <v>Consumer</v>
          </cell>
          <cell r="H799" t="str">
            <v>Odisha</v>
          </cell>
          <cell r="I799" t="str">
            <v>Bhubaneswar</v>
          </cell>
          <cell r="J799" t="str">
            <v>Office Supplies</v>
          </cell>
          <cell r="K799" t="str">
            <v>Binders</v>
          </cell>
          <cell r="T799" t="str">
            <v>Failed</v>
          </cell>
          <cell r="U799" t="str">
            <v>Cancelled</v>
          </cell>
        </row>
        <row r="800">
          <cell r="E800" t="str">
            <v>Aditi Sen</v>
          </cell>
          <cell r="F800" t="str">
            <v>Corporate</v>
          </cell>
          <cell r="H800" t="str">
            <v>Delhi</v>
          </cell>
          <cell r="I800" t="str">
            <v>New Delhi</v>
          </cell>
          <cell r="J800" t="str">
            <v>Furniture</v>
          </cell>
          <cell r="K800" t="str">
            <v>Furnishings</v>
          </cell>
          <cell r="T800" t="str">
            <v>Paid</v>
          </cell>
          <cell r="U800" t="str">
            <v>Completed</v>
          </cell>
        </row>
        <row r="801">
          <cell r="E801" t="str">
            <v>Isha Nair</v>
          </cell>
          <cell r="F801" t="str">
            <v>Home Office</v>
          </cell>
          <cell r="H801" t="str">
            <v>Haryana</v>
          </cell>
          <cell r="I801" t="str">
            <v>Gurugram</v>
          </cell>
          <cell r="J801" t="str">
            <v>Technology</v>
          </cell>
          <cell r="K801" t="str">
            <v>Accessories</v>
          </cell>
          <cell r="T801" t="str">
            <v>Paid</v>
          </cell>
          <cell r="U801" t="str">
            <v>Returned</v>
          </cell>
        </row>
        <row r="802">
          <cell r="E802" t="str">
            <v>Vikram Iyer</v>
          </cell>
          <cell r="F802" t="str">
            <v>Small Business</v>
          </cell>
          <cell r="H802" t="str">
            <v>Maharashtra</v>
          </cell>
          <cell r="I802" t="str">
            <v>Mumbai</v>
          </cell>
          <cell r="J802" t="str">
            <v>Office Supplies</v>
          </cell>
          <cell r="K802" t="str">
            <v>Storage</v>
          </cell>
          <cell r="T802" t="str">
            <v>Paid</v>
          </cell>
          <cell r="U802" t="str">
            <v>Completed</v>
          </cell>
        </row>
        <row r="803">
          <cell r="E803" t="str">
            <v>Aarav Sharma</v>
          </cell>
          <cell r="F803" t="str">
            <v>Home Office</v>
          </cell>
          <cell r="H803" t="str">
            <v>Odisha</v>
          </cell>
          <cell r="I803" t="str">
            <v>Bhubaneswar</v>
          </cell>
          <cell r="J803" t="str">
            <v>Technology</v>
          </cell>
          <cell r="K803" t="str">
            <v>Accessories</v>
          </cell>
          <cell r="T803" t="str">
            <v>Pending</v>
          </cell>
          <cell r="U803" t="str">
            <v>Cancelled</v>
          </cell>
        </row>
        <row r="804">
          <cell r="E804" t="str">
            <v>Rohan Mehta</v>
          </cell>
          <cell r="F804" t="str">
            <v>Small Business</v>
          </cell>
          <cell r="H804" t="str">
            <v>Assam</v>
          </cell>
          <cell r="I804" t="str">
            <v>Guwahati</v>
          </cell>
          <cell r="J804" t="str">
            <v>Furniture</v>
          </cell>
          <cell r="K804" t="str">
            <v>Furnishings</v>
          </cell>
          <cell r="T804" t="str">
            <v>failed</v>
          </cell>
          <cell r="U804" t="str">
            <v>Returned</v>
          </cell>
        </row>
        <row r="805">
          <cell r="E805" t="str">
            <v>Rohan Mehta</v>
          </cell>
          <cell r="F805" t="str">
            <v>Consumer</v>
          </cell>
          <cell r="H805" t="str">
            <v>Jharkhand</v>
          </cell>
          <cell r="I805" t="str">
            <v>Ranchi</v>
          </cell>
          <cell r="J805" t="str">
            <v>Office Supplies</v>
          </cell>
          <cell r="K805" t="str">
            <v>Labels</v>
          </cell>
          <cell r="T805" t="str">
            <v>Paid</v>
          </cell>
          <cell r="U805" t="str">
            <v>Completed</v>
          </cell>
        </row>
        <row r="806">
          <cell r="E806" t="str">
            <v>Rahul Verma</v>
          </cell>
          <cell r="F806" t="str">
            <v>Home Office</v>
          </cell>
          <cell r="H806" t="str">
            <v>Telangana</v>
          </cell>
          <cell r="I806" t="str">
            <v>Hyderabad</v>
          </cell>
          <cell r="J806" t="str">
            <v>Furniture</v>
          </cell>
          <cell r="K806" t="str">
            <v>Furnishings</v>
          </cell>
          <cell r="T806" t="str">
            <v>Paid</v>
          </cell>
          <cell r="U806" t="str">
            <v>Completed</v>
          </cell>
        </row>
        <row r="807">
          <cell r="E807" t="str">
            <v>Priya Menon</v>
          </cell>
          <cell r="F807" t="str">
            <v>Home Office</v>
          </cell>
          <cell r="H807" t="str">
            <v>Assam</v>
          </cell>
          <cell r="I807" t="str">
            <v>Guwahati</v>
          </cell>
          <cell r="J807" t="str">
            <v>Office Supplies</v>
          </cell>
          <cell r="K807" t="str">
            <v>Binders</v>
          </cell>
          <cell r="T807" t="str">
            <v>Paid</v>
          </cell>
          <cell r="U807" t="str">
            <v>Completed</v>
          </cell>
        </row>
        <row r="808">
          <cell r="E808" t="str">
            <v>Isha Nair</v>
          </cell>
          <cell r="F808" t="str">
            <v>Home Office</v>
          </cell>
          <cell r="H808" t="str">
            <v>Rajasthan</v>
          </cell>
          <cell r="I808" t="str">
            <v>Jaipur</v>
          </cell>
          <cell r="J808" t="str">
            <v>Technology</v>
          </cell>
          <cell r="K808" t="str">
            <v>Copiers</v>
          </cell>
          <cell r="T808" t="str">
            <v>Failed</v>
          </cell>
          <cell r="U808" t="str">
            <v>Cancelled</v>
          </cell>
        </row>
        <row r="809">
          <cell r="E809" t="str">
            <v>Karan Malhotra</v>
          </cell>
          <cell r="F809" t="str">
            <v>Small Business</v>
          </cell>
          <cell r="H809" t="str">
            <v>Telangana</v>
          </cell>
          <cell r="I809" t="str">
            <v>Hyderabad</v>
          </cell>
          <cell r="J809" t="str">
            <v>Office Supplies</v>
          </cell>
          <cell r="K809" t="str">
            <v>Labels</v>
          </cell>
          <cell r="T809" t="str">
            <v>Paid</v>
          </cell>
          <cell r="U809" t="str">
            <v>Completed</v>
          </cell>
        </row>
        <row r="810">
          <cell r="E810" t="str">
            <v>Aarav Sharma</v>
          </cell>
          <cell r="F810" t="str">
            <v>Small Business</v>
          </cell>
          <cell r="H810" t="str">
            <v>Tamil Nadu</v>
          </cell>
          <cell r="I810" t="str">
            <v>Chennai</v>
          </cell>
          <cell r="J810" t="str">
            <v>Furniture</v>
          </cell>
          <cell r="K810" t="str">
            <v>Furnishings</v>
          </cell>
          <cell r="T810" t="str">
            <v>Paid</v>
          </cell>
          <cell r="U810" t="str">
            <v>Completed</v>
          </cell>
        </row>
        <row r="811">
          <cell r="E811" t="str">
            <v>Arjun Bose</v>
          </cell>
          <cell r="F811" t="str">
            <v>Small Business</v>
          </cell>
          <cell r="H811" t="str">
            <v>Punjab</v>
          </cell>
          <cell r="I811" t="str">
            <v>Ludhiana</v>
          </cell>
          <cell r="J811" t="str">
            <v>Office Supplies</v>
          </cell>
          <cell r="K811" t="str">
            <v>Binders</v>
          </cell>
          <cell r="T811" t="str">
            <v>Paid</v>
          </cell>
          <cell r="U811" t="str">
            <v>Completed</v>
          </cell>
        </row>
        <row r="812">
          <cell r="E812" t="str">
            <v>Kabir Singh</v>
          </cell>
          <cell r="F812" t="str">
            <v>Home Office</v>
          </cell>
          <cell r="H812" t="str">
            <v>Gujarat</v>
          </cell>
          <cell r="I812" t="str">
            <v>Ahmedabad</v>
          </cell>
          <cell r="J812" t="str">
            <v>Technology</v>
          </cell>
          <cell r="K812" t="str">
            <v>Copiers</v>
          </cell>
          <cell r="T812" t="str">
            <v>Paid</v>
          </cell>
          <cell r="U812" t="str">
            <v>Completed</v>
          </cell>
        </row>
        <row r="813">
          <cell r="E813" t="str">
            <v>Rohan Mehta</v>
          </cell>
          <cell r="F813" t="str">
            <v>Home Office</v>
          </cell>
          <cell r="H813" t="str">
            <v>Haryana</v>
          </cell>
          <cell r="I813" t="str">
            <v>Gurugram</v>
          </cell>
          <cell r="J813" t="str">
            <v>Technology</v>
          </cell>
          <cell r="K813" t="str">
            <v>Accessories</v>
          </cell>
          <cell r="T813" t="str">
            <v>Paid</v>
          </cell>
          <cell r="U813" t="str">
            <v>Completed</v>
          </cell>
        </row>
        <row r="814">
          <cell r="E814" t="str">
            <v>Sneha Kapoor</v>
          </cell>
          <cell r="F814" t="str">
            <v>Small Business</v>
          </cell>
          <cell r="H814" t="str">
            <v>Jharkhand</v>
          </cell>
          <cell r="I814" t="str">
            <v>Ranchi</v>
          </cell>
          <cell r="J814" t="str">
            <v>Furniture</v>
          </cell>
          <cell r="K814" t="str">
            <v>Tables</v>
          </cell>
          <cell r="T814" t="str">
            <v>Paid</v>
          </cell>
          <cell r="U814" t="str">
            <v>Completed</v>
          </cell>
        </row>
        <row r="815">
          <cell r="E815" t="str">
            <v>Rohan Mehta</v>
          </cell>
          <cell r="F815" t="str">
            <v>Consumer</v>
          </cell>
          <cell r="H815" t="str">
            <v>Odisha</v>
          </cell>
          <cell r="I815" t="str">
            <v>Bhubaneswar</v>
          </cell>
          <cell r="J815" t="str">
            <v>Furniture</v>
          </cell>
          <cell r="K815" t="str">
            <v>Bookcases</v>
          </cell>
          <cell r="T815" t="str">
            <v>Paid</v>
          </cell>
          <cell r="U815" t="str">
            <v>Completed</v>
          </cell>
        </row>
        <row r="816">
          <cell r="E816" t="str">
            <v>Arjun Bose</v>
          </cell>
          <cell r="F816" t="str">
            <v>Consumer</v>
          </cell>
          <cell r="H816" t="str">
            <v>Madhya Pradesh</v>
          </cell>
          <cell r="I816" t="str">
            <v>Indore</v>
          </cell>
          <cell r="J816" t="str">
            <v>Office Supplies</v>
          </cell>
          <cell r="K816" t="str">
            <v>Labels</v>
          </cell>
          <cell r="T816" t="str">
            <v>Paid</v>
          </cell>
          <cell r="U816" t="str">
            <v>Completed</v>
          </cell>
        </row>
        <row r="817">
          <cell r="E817" t="str">
            <v>Diya Patel</v>
          </cell>
          <cell r="F817" t="str">
            <v>Consumer</v>
          </cell>
          <cell r="H817" t="str">
            <v>Odisha</v>
          </cell>
          <cell r="I817" t="str">
            <v>Bhubaneswar</v>
          </cell>
          <cell r="J817" t="str">
            <v>Technology</v>
          </cell>
          <cell r="K817" t="str">
            <v>Machines</v>
          </cell>
          <cell r="T817" t="str">
            <v>Pending</v>
          </cell>
          <cell r="U817" t="str">
            <v>Cancelled</v>
          </cell>
        </row>
        <row r="818">
          <cell r="E818" t="str">
            <v>Rahul Verma</v>
          </cell>
          <cell r="F818" t="str">
            <v>Small Business</v>
          </cell>
          <cell r="H818" t="str">
            <v>Jharkhand</v>
          </cell>
          <cell r="I818" t="str">
            <v>Ranchi</v>
          </cell>
          <cell r="J818" t="str">
            <v>Furniture</v>
          </cell>
          <cell r="K818" t="str">
            <v>Furnishings</v>
          </cell>
          <cell r="T818" t="str">
            <v>Paid</v>
          </cell>
          <cell r="U818" t="str">
            <v>Completed</v>
          </cell>
        </row>
        <row r="819">
          <cell r="E819" t="str">
            <v>Sneha Kapoor</v>
          </cell>
          <cell r="F819" t="str">
            <v>Consumer</v>
          </cell>
          <cell r="H819" t="str">
            <v>Bihar</v>
          </cell>
          <cell r="I819" t="str">
            <v>Patna</v>
          </cell>
          <cell r="J819" t="str">
            <v>Office Supplies</v>
          </cell>
          <cell r="K819" t="str">
            <v>Binders</v>
          </cell>
          <cell r="T819" t="str">
            <v>Paid</v>
          </cell>
          <cell r="U819" t="str">
            <v>Completed</v>
          </cell>
        </row>
        <row r="820">
          <cell r="E820" t="str">
            <v>Priya Menon</v>
          </cell>
          <cell r="F820" t="str">
            <v>Small Business</v>
          </cell>
          <cell r="H820" t="str">
            <v>Maharashtra</v>
          </cell>
          <cell r="I820" t="str">
            <v>Mumbai</v>
          </cell>
          <cell r="J820" t="str">
            <v>Office Supplies</v>
          </cell>
          <cell r="K820" t="str">
            <v>Labels</v>
          </cell>
          <cell r="T820" t="str">
            <v>Paid</v>
          </cell>
          <cell r="U820" t="str">
            <v>Completed</v>
          </cell>
        </row>
        <row r="821">
          <cell r="E821" t="str">
            <v>Karan Malhotra</v>
          </cell>
          <cell r="F821" t="str">
            <v>Home Office</v>
          </cell>
          <cell r="H821" t="str">
            <v>Kerala</v>
          </cell>
          <cell r="I821" t="str">
            <v>Kochi</v>
          </cell>
          <cell r="J821" t="str">
            <v>Technology</v>
          </cell>
          <cell r="K821" t="str">
            <v>MACHINES</v>
          </cell>
          <cell r="T821" t="str">
            <v>Failed</v>
          </cell>
          <cell r="U821" t="str">
            <v>Cancelled</v>
          </cell>
        </row>
        <row r="822">
          <cell r="E822" t="str">
            <v>Ananya Rao</v>
          </cell>
          <cell r="F822" t="str">
            <v>Home Office</v>
          </cell>
          <cell r="H822" t="str">
            <v>Uttar Pradesh</v>
          </cell>
          <cell r="I822" t="str">
            <v>Noida</v>
          </cell>
          <cell r="J822" t="str">
            <v>Furniture</v>
          </cell>
          <cell r="K822" t="str">
            <v>Bookcases</v>
          </cell>
          <cell r="T822" t="str">
            <v>Paid</v>
          </cell>
          <cell r="U822" t="str">
            <v>Completed</v>
          </cell>
        </row>
        <row r="823">
          <cell r="E823" t="str">
            <v>Aarav Sharma</v>
          </cell>
          <cell r="F823" t="str">
            <v>Corporate</v>
          </cell>
          <cell r="H823" t="str">
            <v>Karnataka</v>
          </cell>
          <cell r="I823" t="str">
            <v>Bengaluru</v>
          </cell>
          <cell r="J823" t="str">
            <v>Technology</v>
          </cell>
          <cell r="K823" t="str">
            <v>Accessories</v>
          </cell>
          <cell r="T823" t="str">
            <v>Paid</v>
          </cell>
          <cell r="U823" t="str">
            <v>Completed</v>
          </cell>
        </row>
        <row r="824">
          <cell r="E824" t="str">
            <v>Mira Das</v>
          </cell>
          <cell r="F824" t="str">
            <v>Corporate</v>
          </cell>
          <cell r="H824" t="str">
            <v>Assam</v>
          </cell>
          <cell r="I824" t="str">
            <v>Guwahati</v>
          </cell>
          <cell r="J824" t="str">
            <v>Furniture</v>
          </cell>
          <cell r="K824" t="str">
            <v>Furnishings</v>
          </cell>
          <cell r="T824" t="str">
            <v>Pending</v>
          </cell>
          <cell r="U824" t="str">
            <v>Returned</v>
          </cell>
        </row>
        <row r="825">
          <cell r="E825" t="str">
            <v>Mira Das</v>
          </cell>
          <cell r="F825" t="str">
            <v>Home Office</v>
          </cell>
          <cell r="H825" t="str">
            <v>Goa</v>
          </cell>
          <cell r="I825" t="str">
            <v>Panaji</v>
          </cell>
          <cell r="J825" t="str">
            <v>Office Supplies</v>
          </cell>
          <cell r="K825" t="str">
            <v>Paper</v>
          </cell>
          <cell r="T825" t="str">
            <v>Paid</v>
          </cell>
          <cell r="U825" t="str">
            <v>Completed</v>
          </cell>
        </row>
        <row r="826">
          <cell r="E826" t="str">
            <v>Priya Menon</v>
          </cell>
          <cell r="F826" t="str">
            <v>Consumer</v>
          </cell>
          <cell r="H826" t="str">
            <v>Goa</v>
          </cell>
          <cell r="I826" t="str">
            <v>Panaji</v>
          </cell>
          <cell r="J826" t="str">
            <v>Office Supplies</v>
          </cell>
          <cell r="K826" t="str">
            <v>Paper</v>
          </cell>
          <cell r="T826" t="str">
            <v>Paid</v>
          </cell>
          <cell r="U826" t="str">
            <v>Completed</v>
          </cell>
        </row>
        <row r="827">
          <cell r="E827" t="str">
            <v>Vikram Iyer</v>
          </cell>
          <cell r="F827" t="str">
            <v>Small Business</v>
          </cell>
          <cell r="H827" t="str">
            <v>Uttar Pradesh</v>
          </cell>
          <cell r="I827" t="str">
            <v>Noida</v>
          </cell>
          <cell r="J827" t="str">
            <v>Technology</v>
          </cell>
          <cell r="K827" t="str">
            <v>Machines</v>
          </cell>
          <cell r="T827" t="str">
            <v>Paid</v>
          </cell>
          <cell r="U827" t="str">
            <v>Completed</v>
          </cell>
        </row>
        <row r="828">
          <cell r="E828" t="str">
            <v>Aditi Sen</v>
          </cell>
          <cell r="F828" t="str">
            <v>Consumer</v>
          </cell>
          <cell r="H828" t="str">
            <v>Rajasthan</v>
          </cell>
          <cell r="I828" t="str">
            <v>Udaipur</v>
          </cell>
          <cell r="J828" t="str">
            <v>Technology</v>
          </cell>
          <cell r="K828" t="str">
            <v>Accessories</v>
          </cell>
          <cell r="T828" t="str">
            <v>Paid</v>
          </cell>
          <cell r="U828" t="str">
            <v>Completed</v>
          </cell>
        </row>
        <row r="829">
          <cell r="E829" t="str">
            <v>Priya Menon</v>
          </cell>
          <cell r="F829" t="str">
            <v>Home Office</v>
          </cell>
          <cell r="H829" t="str">
            <v>Tamil Nadu</v>
          </cell>
          <cell r="I829" t="str">
            <v>Chennai</v>
          </cell>
          <cell r="J829" t="str">
            <v>Office Supplies</v>
          </cell>
          <cell r="K829" t="str">
            <v>Paper</v>
          </cell>
          <cell r="T829" t="str">
            <v>Paid</v>
          </cell>
          <cell r="U829" t="str">
            <v>Cancelled</v>
          </cell>
        </row>
        <row r="830">
          <cell r="E830" t="str">
            <v>Karan Malhotra</v>
          </cell>
          <cell r="F830" t="str">
            <v>Corporate</v>
          </cell>
          <cell r="H830" t="str">
            <v>Odisha</v>
          </cell>
          <cell r="I830" t="str">
            <v>Bhubaneswar</v>
          </cell>
          <cell r="J830" t="str">
            <v>Furniture</v>
          </cell>
          <cell r="K830" t="str">
            <v>Chairs</v>
          </cell>
          <cell r="T830" t="str">
            <v>Failed</v>
          </cell>
          <cell r="U830" t="str">
            <v>Cancelled</v>
          </cell>
        </row>
        <row r="831">
          <cell r="E831" t="str">
            <v>Aditi Sen</v>
          </cell>
          <cell r="F831" t="str">
            <v>Small Business</v>
          </cell>
          <cell r="H831" t="str">
            <v>Goa</v>
          </cell>
          <cell r="I831" t="str">
            <v>Panaji</v>
          </cell>
          <cell r="J831" t="str">
            <v>Furniture</v>
          </cell>
          <cell r="K831" t="str">
            <v>Furnishings</v>
          </cell>
          <cell r="T831" t="str">
            <v>Paid</v>
          </cell>
          <cell r="U831" t="str">
            <v>Completed</v>
          </cell>
        </row>
        <row r="832">
          <cell r="E832" t="str">
            <v>Aditi Sen</v>
          </cell>
          <cell r="F832" t="str">
            <v>Small Business</v>
          </cell>
          <cell r="H832" t="str">
            <v>Tamil Nadu</v>
          </cell>
          <cell r="I832" t="str">
            <v>Chennai</v>
          </cell>
          <cell r="J832" t="str">
            <v>Technology</v>
          </cell>
          <cell r="K832" t="str">
            <v>Machines</v>
          </cell>
          <cell r="T832" t="str">
            <v>Paid</v>
          </cell>
          <cell r="U832" t="str">
            <v>Completed</v>
          </cell>
        </row>
        <row r="833">
          <cell r="E833" t="str">
            <v>Diya Patel</v>
          </cell>
          <cell r="F833" t="str">
            <v>Home Office</v>
          </cell>
          <cell r="H833" t="str">
            <v>Haryana</v>
          </cell>
          <cell r="I833" t="str">
            <v>Gurugram</v>
          </cell>
          <cell r="J833" t="str">
            <v>Furniture</v>
          </cell>
          <cell r="K833" t="str">
            <v>Chairs</v>
          </cell>
          <cell r="T833" t="str">
            <v>Failed</v>
          </cell>
          <cell r="U833" t="str">
            <v>Returned</v>
          </cell>
        </row>
        <row r="834">
          <cell r="E834" t="str">
            <v>Kabir Singh</v>
          </cell>
          <cell r="F834" t="str">
            <v>Small Business</v>
          </cell>
          <cell r="H834" t="str">
            <v>Andhra Pradesh</v>
          </cell>
          <cell r="I834" t="str">
            <v>Vijayawada</v>
          </cell>
          <cell r="J834" t="str">
            <v>Technology</v>
          </cell>
          <cell r="K834" t="str">
            <v>Phones</v>
          </cell>
          <cell r="T834" t="str">
            <v>Paid</v>
          </cell>
          <cell r="U834" t="str">
            <v>Completed</v>
          </cell>
        </row>
        <row r="835">
          <cell r="E835" t="str">
            <v>Rahul Verma</v>
          </cell>
          <cell r="F835" t="str">
            <v>Home Office</v>
          </cell>
          <cell r="H835" t="str">
            <v>West Bengal</v>
          </cell>
          <cell r="I835" t="str">
            <v>Kolkata</v>
          </cell>
          <cell r="J835" t="str">
            <v>Furniture</v>
          </cell>
          <cell r="K835" t="str">
            <v>Bookcases</v>
          </cell>
          <cell r="T835" t="str">
            <v>Paid</v>
          </cell>
          <cell r="U835" t="str">
            <v>Completed</v>
          </cell>
        </row>
        <row r="836">
          <cell r="E836" t="str">
            <v>Aarav Sharma</v>
          </cell>
          <cell r="F836" t="str">
            <v>Home Office</v>
          </cell>
          <cell r="H836" t="str">
            <v>Telangana</v>
          </cell>
          <cell r="I836" t="str">
            <v>Hyderabad</v>
          </cell>
          <cell r="J836" t="str">
            <v>Office Supplies</v>
          </cell>
          <cell r="K836" t="str">
            <v>Art</v>
          </cell>
          <cell r="T836" t="str">
            <v>Paid</v>
          </cell>
          <cell r="U836" t="str">
            <v>Completed</v>
          </cell>
        </row>
        <row r="837">
          <cell r="E837" t="str">
            <v>Priya Menon</v>
          </cell>
          <cell r="F837" t="str">
            <v>Small Business</v>
          </cell>
          <cell r="H837" t="str">
            <v>Assam</v>
          </cell>
          <cell r="I837" t="str">
            <v>Guwahati</v>
          </cell>
          <cell r="J837" t="str">
            <v>Technology</v>
          </cell>
          <cell r="K837" t="str">
            <v>Phones</v>
          </cell>
          <cell r="T837" t="str">
            <v>Paid</v>
          </cell>
          <cell r="U837" t="str">
            <v>Completed</v>
          </cell>
        </row>
        <row r="838">
          <cell r="E838" t="str">
            <v>Isha Nair</v>
          </cell>
          <cell r="F838" t="str">
            <v>Small Business</v>
          </cell>
          <cell r="H838" t="str">
            <v>Rajasthan</v>
          </cell>
          <cell r="I838" t="str">
            <v>Jaipur</v>
          </cell>
          <cell r="J838" t="str">
            <v>Office Supplies</v>
          </cell>
          <cell r="K838" t="str">
            <v>Labels</v>
          </cell>
          <cell r="T838" t="str">
            <v>Paid</v>
          </cell>
          <cell r="U838" t="str">
            <v>Completed</v>
          </cell>
        </row>
        <row r="839">
          <cell r="E839" t="str">
            <v>Karan Malhotra</v>
          </cell>
          <cell r="F839" t="str">
            <v>Home Office</v>
          </cell>
          <cell r="H839" t="str">
            <v>Maharashtra</v>
          </cell>
          <cell r="I839" t="str">
            <v>Mumbai</v>
          </cell>
          <cell r="J839" t="str">
            <v>Office Supplies</v>
          </cell>
          <cell r="K839" t="str">
            <v>Paper</v>
          </cell>
          <cell r="T839" t="str">
            <v>Paid</v>
          </cell>
          <cell r="U839" t="str">
            <v>Completed</v>
          </cell>
        </row>
        <row r="840">
          <cell r="E840" t="str">
            <v>Ananya Rao</v>
          </cell>
          <cell r="F840" t="str">
            <v>Small Business</v>
          </cell>
          <cell r="H840" t="str">
            <v>Goa</v>
          </cell>
          <cell r="I840" t="str">
            <v>Panaji</v>
          </cell>
          <cell r="J840" t="str">
            <v>Office Supplies</v>
          </cell>
          <cell r="K840" t="str">
            <v>Paper</v>
          </cell>
          <cell r="T840" t="str">
            <v>Paid</v>
          </cell>
          <cell r="U840" t="str">
            <v>Returned</v>
          </cell>
        </row>
        <row r="841">
          <cell r="E841" t="str">
            <v>Rohan Mehta</v>
          </cell>
          <cell r="F841" t="str">
            <v>Home Office</v>
          </cell>
          <cell r="H841" t="str">
            <v>Odisha</v>
          </cell>
          <cell r="I841" t="str">
            <v>Bhubaneswar</v>
          </cell>
          <cell r="J841" t="str">
            <v>Technology</v>
          </cell>
          <cell r="K841" t="str">
            <v>Phones</v>
          </cell>
          <cell r="T841" t="str">
            <v>Paid</v>
          </cell>
          <cell r="U841" t="str">
            <v>Completed</v>
          </cell>
        </row>
        <row r="842">
          <cell r="E842" t="str">
            <v>Neha Gupta</v>
          </cell>
          <cell r="F842" t="str">
            <v>Home Office</v>
          </cell>
          <cell r="H842" t="str">
            <v>Delhi</v>
          </cell>
          <cell r="I842" t="str">
            <v>New Delhi</v>
          </cell>
          <cell r="J842" t="str">
            <v>Furniture</v>
          </cell>
          <cell r="K842" t="str">
            <v>Chairs</v>
          </cell>
          <cell r="T842" t="str">
            <v>Paid</v>
          </cell>
          <cell r="U842" t="str">
            <v>Completed</v>
          </cell>
        </row>
        <row r="843">
          <cell r="E843" t="str">
            <v>Ananya Rao</v>
          </cell>
          <cell r="F843" t="str">
            <v>Small Business</v>
          </cell>
          <cell r="H843" t="str">
            <v>Bihar</v>
          </cell>
          <cell r="I843" t="str">
            <v>Patna</v>
          </cell>
          <cell r="J843" t="str">
            <v>Office Supplies</v>
          </cell>
          <cell r="K843" t="str">
            <v>Art</v>
          </cell>
          <cell r="T843" t="str">
            <v>Paid</v>
          </cell>
          <cell r="U843" t="str">
            <v>Completed</v>
          </cell>
        </row>
        <row r="844">
          <cell r="E844" t="str">
            <v>kabir singh</v>
          </cell>
          <cell r="F844" t="str">
            <v>Consumer</v>
          </cell>
          <cell r="H844" t="str">
            <v>Haryana</v>
          </cell>
          <cell r="I844" t="str">
            <v>Gurugram</v>
          </cell>
          <cell r="J844" t="str">
            <v>Technology</v>
          </cell>
          <cell r="K844" t="str">
            <v>Machines</v>
          </cell>
          <cell r="T844" t="str">
            <v>Paid</v>
          </cell>
          <cell r="U844" t="str">
            <v>Returned</v>
          </cell>
        </row>
        <row r="845">
          <cell r="E845" t="str">
            <v>Priya Menon</v>
          </cell>
          <cell r="F845" t="str">
            <v>Small Business</v>
          </cell>
          <cell r="H845" t="str">
            <v>Uttar Pradesh</v>
          </cell>
          <cell r="I845" t="str">
            <v>Noida</v>
          </cell>
          <cell r="J845" t="str">
            <v>Technology</v>
          </cell>
          <cell r="K845" t="str">
            <v>Phones</v>
          </cell>
          <cell r="T845" t="str">
            <v>Paid</v>
          </cell>
          <cell r="U845" t="str">
            <v>Completed</v>
          </cell>
        </row>
        <row r="846">
          <cell r="E846" t="str">
            <v>Aditi Sen</v>
          </cell>
          <cell r="F846" t="str">
            <v>Home Office</v>
          </cell>
          <cell r="H846" t="str">
            <v>Goa</v>
          </cell>
          <cell r="I846" t="str">
            <v>Panaji</v>
          </cell>
          <cell r="J846" t="str">
            <v>Office Supplies</v>
          </cell>
          <cell r="K846" t="str">
            <v>Art</v>
          </cell>
          <cell r="T846" t="str">
            <v>Paid</v>
          </cell>
          <cell r="U846" t="str">
            <v>Completed</v>
          </cell>
        </row>
        <row r="847">
          <cell r="E847" t="str">
            <v>Karan Malhotra</v>
          </cell>
          <cell r="F847" t="str">
            <v>Consumer</v>
          </cell>
          <cell r="H847" t="str">
            <v>Odisha</v>
          </cell>
          <cell r="I847" t="str">
            <v>Bhubaneswar</v>
          </cell>
          <cell r="J847" t="str">
            <v>Furniture</v>
          </cell>
          <cell r="K847" t="str">
            <v>Tables</v>
          </cell>
          <cell r="T847" t="str">
            <v>Pending</v>
          </cell>
          <cell r="U847" t="str">
            <v>Returned</v>
          </cell>
        </row>
        <row r="848">
          <cell r="E848" t="str">
            <v>Priya Menon</v>
          </cell>
          <cell r="F848" t="str">
            <v>Small Business</v>
          </cell>
          <cell r="H848" t="str">
            <v>Gujarat</v>
          </cell>
          <cell r="I848" t="str">
            <v>Ahmedabad</v>
          </cell>
          <cell r="J848" t="str">
            <v>Furniture</v>
          </cell>
          <cell r="K848" t="str">
            <v>Bookcases</v>
          </cell>
          <cell r="T848" t="str">
            <v>Pending</v>
          </cell>
          <cell r="U848" t="str">
            <v>Returned</v>
          </cell>
        </row>
        <row r="849">
          <cell r="E849" t="str">
            <v>Diya Patel</v>
          </cell>
          <cell r="F849" t="str">
            <v>Home Office</v>
          </cell>
          <cell r="H849" t="str">
            <v>Odisha</v>
          </cell>
          <cell r="I849" t="str">
            <v>Bhubaneswar</v>
          </cell>
          <cell r="J849" t="str">
            <v>Furniture</v>
          </cell>
          <cell r="K849" t="str">
            <v>Tables</v>
          </cell>
          <cell r="T849" t="str">
            <v>Paid</v>
          </cell>
          <cell r="U849" t="str">
            <v>Completed</v>
          </cell>
        </row>
        <row r="850">
          <cell r="E850" t="str">
            <v>Rahul Verma</v>
          </cell>
          <cell r="F850" t="str">
            <v>Home Office</v>
          </cell>
          <cell r="H850" t="str">
            <v>Tamil Nadu</v>
          </cell>
          <cell r="I850" t="str">
            <v>Chennai</v>
          </cell>
          <cell r="J850" t="str">
            <v>Furniture</v>
          </cell>
          <cell r="K850" t="str">
            <v>Furnishings</v>
          </cell>
          <cell r="T850" t="str">
            <v>Paid</v>
          </cell>
          <cell r="U850" t="str">
            <v>Completed</v>
          </cell>
        </row>
        <row r="851">
          <cell r="E851" t="str">
            <v>Isha Nair</v>
          </cell>
          <cell r="F851" t="str">
            <v>Home Office</v>
          </cell>
          <cell r="H851" t="str">
            <v>Gujarat</v>
          </cell>
          <cell r="I851" t="str">
            <v>Ahmedabad</v>
          </cell>
          <cell r="J851" t="str">
            <v>Furniture</v>
          </cell>
          <cell r="K851" t="str">
            <v>Bookcases</v>
          </cell>
          <cell r="T851" t="str">
            <v>Paid</v>
          </cell>
          <cell r="U851" t="str">
            <v>Completed</v>
          </cell>
        </row>
        <row r="852">
          <cell r="E852" t="str">
            <v>Priya Menon</v>
          </cell>
          <cell r="F852" t="str">
            <v>Home Office</v>
          </cell>
          <cell r="H852" t="str">
            <v>West Bengal</v>
          </cell>
          <cell r="I852" t="str">
            <v>Kolkata</v>
          </cell>
          <cell r="J852" t="str">
            <v>Office Supplies</v>
          </cell>
          <cell r="K852" t="str">
            <v>Paper</v>
          </cell>
          <cell r="T852" t="str">
            <v>Paid</v>
          </cell>
          <cell r="U852" t="str">
            <v>Completed</v>
          </cell>
        </row>
        <row r="853">
          <cell r="E853" t="str">
            <v>Karan Malhotra</v>
          </cell>
          <cell r="F853" t="str">
            <v>Small Business</v>
          </cell>
          <cell r="H853" t="str">
            <v>Gujarat</v>
          </cell>
          <cell r="I853" t="str">
            <v>Ahmedabad</v>
          </cell>
          <cell r="J853" t="str">
            <v>Technology</v>
          </cell>
          <cell r="K853" t="str">
            <v>Accessories</v>
          </cell>
          <cell r="T853" t="str">
            <v>Paid</v>
          </cell>
          <cell r="U853" t="str">
            <v>Completed</v>
          </cell>
        </row>
        <row r="854">
          <cell r="E854" t="str">
            <v>Ananya Rao</v>
          </cell>
          <cell r="F854" t="str">
            <v>Consumer</v>
          </cell>
          <cell r="H854" t="str">
            <v>Assam</v>
          </cell>
          <cell r="I854" t="str">
            <v>Guwahati</v>
          </cell>
          <cell r="J854" t="str">
            <v>Furniture</v>
          </cell>
          <cell r="K854" t="str">
            <v>Tables</v>
          </cell>
          <cell r="T854" t="str">
            <v>Pending</v>
          </cell>
          <cell r="U854" t="str">
            <v>Cancelled</v>
          </cell>
        </row>
        <row r="855">
          <cell r="E855" t="str">
            <v>Arjun Bose</v>
          </cell>
          <cell r="F855" t="str">
            <v>Corporate</v>
          </cell>
          <cell r="H855" t="str">
            <v>Tamil Nadu</v>
          </cell>
          <cell r="I855" t="str">
            <v>Chennai</v>
          </cell>
          <cell r="J855" t="str">
            <v>Technology</v>
          </cell>
          <cell r="K855" t="str">
            <v>Accessories</v>
          </cell>
          <cell r="T855" t="str">
            <v>Paid</v>
          </cell>
          <cell r="U855" t="str">
            <v>Completed</v>
          </cell>
        </row>
        <row r="856">
          <cell r="E856" t="str">
            <v>Priya Menon</v>
          </cell>
          <cell r="F856" t="str">
            <v>Consumer</v>
          </cell>
          <cell r="H856" t="str">
            <v>Karnataka</v>
          </cell>
          <cell r="I856" t="str">
            <v>Bengaluru</v>
          </cell>
          <cell r="J856" t="str">
            <v>Furniture</v>
          </cell>
          <cell r="K856" t="str">
            <v>Bookcases</v>
          </cell>
          <cell r="T856" t="str">
            <v>Paid</v>
          </cell>
          <cell r="U856" t="str">
            <v>Completed</v>
          </cell>
        </row>
        <row r="857">
          <cell r="E857" t="str">
            <v>Rahul Verma</v>
          </cell>
          <cell r="F857" t="str">
            <v>Consumer</v>
          </cell>
          <cell r="H857" t="str">
            <v>Rajasthan</v>
          </cell>
          <cell r="I857" t="str">
            <v>Jaipur</v>
          </cell>
          <cell r="J857" t="str">
            <v>Office Supplies</v>
          </cell>
          <cell r="K857" t="str">
            <v>LABELS</v>
          </cell>
          <cell r="T857" t="str">
            <v>Paid</v>
          </cell>
          <cell r="U857" t="str">
            <v>Completed</v>
          </cell>
        </row>
        <row r="858">
          <cell r="E858" t="str">
            <v>Rohan Mehta</v>
          </cell>
          <cell r="F858" t="str">
            <v>Home Office</v>
          </cell>
          <cell r="H858" t="str">
            <v>Tamil Nadu</v>
          </cell>
          <cell r="I858" t="str">
            <v>Chennai</v>
          </cell>
          <cell r="J858" t="str">
            <v>Office Supplies</v>
          </cell>
          <cell r="K858" t="str">
            <v>Storage</v>
          </cell>
          <cell r="T858" t="str">
            <v>Failed</v>
          </cell>
          <cell r="U858" t="str">
            <v>Cancelled</v>
          </cell>
        </row>
        <row r="859">
          <cell r="E859" t="str">
            <v>Sneha Kapoor</v>
          </cell>
          <cell r="F859" t="str">
            <v>Home Office</v>
          </cell>
          <cell r="H859" t="str">
            <v>Kerala</v>
          </cell>
          <cell r="I859" t="str">
            <v>Kochi</v>
          </cell>
          <cell r="J859" t="str">
            <v>Office Supplies</v>
          </cell>
          <cell r="K859" t="str">
            <v>Storage</v>
          </cell>
          <cell r="T859" t="str">
            <v>Paid</v>
          </cell>
          <cell r="U859" t="str">
            <v>Completed</v>
          </cell>
        </row>
        <row r="860">
          <cell r="E860" t="str">
            <v>Arjun Bose</v>
          </cell>
          <cell r="F860" t="str">
            <v>Consumer</v>
          </cell>
          <cell r="H860" t="str">
            <v>Odisha</v>
          </cell>
          <cell r="I860" t="str">
            <v>Bhubaneswar</v>
          </cell>
          <cell r="J860" t="str">
            <v>Technology</v>
          </cell>
          <cell r="K860" t="str">
            <v>Accessories</v>
          </cell>
          <cell r="T860" t="str">
            <v>Paid</v>
          </cell>
          <cell r="U860" t="str">
            <v>Completed</v>
          </cell>
        </row>
        <row r="861">
          <cell r="E861" t="str">
            <v>Aditi Sen</v>
          </cell>
          <cell r="F861" t="str">
            <v>Corporate</v>
          </cell>
          <cell r="H861" t="str">
            <v>Tamil Nadu</v>
          </cell>
          <cell r="I861" t="str">
            <v>Chennai</v>
          </cell>
          <cell r="J861" t="str">
            <v>Technology</v>
          </cell>
          <cell r="K861" t="str">
            <v>Phones</v>
          </cell>
          <cell r="T861" t="str">
            <v>Paid</v>
          </cell>
          <cell r="U861" t="str">
            <v>Completed</v>
          </cell>
        </row>
        <row r="862">
          <cell r="E862" t="str">
            <v>Vikram Iyer</v>
          </cell>
          <cell r="F862" t="str">
            <v>Home Office</v>
          </cell>
          <cell r="H862" t="str">
            <v>Uttar Pradesh</v>
          </cell>
          <cell r="I862" t="str">
            <v>Noida</v>
          </cell>
          <cell r="J862" t="str">
            <v>Office Supplies</v>
          </cell>
          <cell r="K862" t="str">
            <v>Storage</v>
          </cell>
          <cell r="T862" t="str">
            <v>Paid</v>
          </cell>
          <cell r="U862" t="str">
            <v>Completed</v>
          </cell>
        </row>
        <row r="863">
          <cell r="E863" t="str">
            <v>Priya Menon</v>
          </cell>
          <cell r="F863" t="str">
            <v>Home Office</v>
          </cell>
          <cell r="H863" t="str">
            <v>Delhi</v>
          </cell>
          <cell r="I863" t="str">
            <v>New Delhi</v>
          </cell>
          <cell r="J863" t="str">
            <v>Furniture</v>
          </cell>
          <cell r="K863" t="str">
            <v>Furnishings</v>
          </cell>
          <cell r="T863" t="str">
            <v>Paid</v>
          </cell>
          <cell r="U863" t="str">
            <v>Completed</v>
          </cell>
        </row>
        <row r="864">
          <cell r="E864" t="str">
            <v>Priya Menon</v>
          </cell>
          <cell r="F864" t="str">
            <v>Small Business</v>
          </cell>
          <cell r="H864" t="str">
            <v>Jharkhand</v>
          </cell>
          <cell r="I864" t="str">
            <v>Ranchi</v>
          </cell>
          <cell r="J864" t="str">
            <v>Office Supplies</v>
          </cell>
          <cell r="K864" t="str">
            <v>Binders</v>
          </cell>
          <cell r="T864" t="str">
            <v>Paid</v>
          </cell>
          <cell r="U864" t="str">
            <v>Cancelled</v>
          </cell>
        </row>
        <row r="865">
          <cell r="E865" t="str">
            <v>Aarav Sharma</v>
          </cell>
          <cell r="F865" t="str">
            <v>Home Office</v>
          </cell>
          <cell r="H865" t="str">
            <v>Madhya Pradesh</v>
          </cell>
          <cell r="I865" t="str">
            <v>Indore</v>
          </cell>
          <cell r="J865" t="str">
            <v>Furniture</v>
          </cell>
          <cell r="K865" t="str">
            <v>Furnishings</v>
          </cell>
          <cell r="T865" t="str">
            <v>Paid</v>
          </cell>
          <cell r="U865" t="str">
            <v>Completed</v>
          </cell>
        </row>
        <row r="866">
          <cell r="E866" t="str">
            <v>Vikram Iyer</v>
          </cell>
          <cell r="F866" t="str">
            <v>Consumer</v>
          </cell>
          <cell r="H866" t="str">
            <v>Tamil Nadu</v>
          </cell>
          <cell r="I866" t="str">
            <v>Chennai</v>
          </cell>
          <cell r="J866" t="str">
            <v>Technology</v>
          </cell>
          <cell r="K866" t="str">
            <v>Phones</v>
          </cell>
          <cell r="T866" t="str">
            <v>Paid</v>
          </cell>
          <cell r="U866" t="str">
            <v>Completed</v>
          </cell>
        </row>
        <row r="867">
          <cell r="E867" t="str">
            <v>Kabir Singh</v>
          </cell>
          <cell r="F867" t="str">
            <v>Consumer</v>
          </cell>
          <cell r="H867" t="str">
            <v>Maharashtra</v>
          </cell>
          <cell r="I867" t="str">
            <v>Mumbai</v>
          </cell>
          <cell r="J867" t="str">
            <v>Office Supplies</v>
          </cell>
          <cell r="K867" t="str">
            <v>Labels</v>
          </cell>
          <cell r="T867" t="str">
            <v>Paid</v>
          </cell>
          <cell r="U867" t="str">
            <v>Completed</v>
          </cell>
        </row>
        <row r="868">
          <cell r="E868" t="str">
            <v>Priya Menon</v>
          </cell>
          <cell r="F868" t="str">
            <v>Consumer</v>
          </cell>
          <cell r="H868" t="str">
            <v>Bihar</v>
          </cell>
          <cell r="I868" t="str">
            <v>Patna</v>
          </cell>
          <cell r="J868" t="str">
            <v>Furniture</v>
          </cell>
          <cell r="K868" t="str">
            <v>Bookcases</v>
          </cell>
          <cell r="T868" t="str">
            <v>Pending</v>
          </cell>
          <cell r="U868" t="str">
            <v>Cancelled</v>
          </cell>
        </row>
        <row r="869">
          <cell r="E869" t="str">
            <v>Rahul Verma</v>
          </cell>
          <cell r="F869" t="str">
            <v>Home Office</v>
          </cell>
          <cell r="H869" t="str">
            <v>Andhra Pradesh</v>
          </cell>
          <cell r="I869" t="str">
            <v>Vijayawada</v>
          </cell>
          <cell r="J869" t="str">
            <v>Technology</v>
          </cell>
          <cell r="K869" t="str">
            <v>Accessories</v>
          </cell>
          <cell r="T869" t="str">
            <v>Failed</v>
          </cell>
          <cell r="U869" t="str">
            <v>Cancelled</v>
          </cell>
        </row>
        <row r="870">
          <cell r="E870" t="str">
            <v>Vikram Iyer</v>
          </cell>
          <cell r="F870" t="str">
            <v>Home Office</v>
          </cell>
          <cell r="H870" t="str">
            <v>Karnataka</v>
          </cell>
          <cell r="I870" t="str">
            <v>Bengaluru</v>
          </cell>
          <cell r="J870" t="str">
            <v>Office Supplies</v>
          </cell>
          <cell r="K870" t="str">
            <v>Storage</v>
          </cell>
          <cell r="T870" t="str">
            <v>Paid</v>
          </cell>
          <cell r="U870" t="str">
            <v>Completed</v>
          </cell>
        </row>
        <row r="871">
          <cell r="E871" t="str">
            <v>Rohan Mehta</v>
          </cell>
          <cell r="F871" t="str">
            <v>Home Office</v>
          </cell>
          <cell r="H871" t="str">
            <v>Delhi</v>
          </cell>
          <cell r="I871" t="str">
            <v>New Delhi</v>
          </cell>
          <cell r="J871" t="str">
            <v>Furniture</v>
          </cell>
          <cell r="K871" t="str">
            <v>Chairs</v>
          </cell>
          <cell r="T871" t="str">
            <v>Paid</v>
          </cell>
          <cell r="U871" t="str">
            <v>Completed</v>
          </cell>
        </row>
        <row r="872">
          <cell r="E872" t="str">
            <v>Vikram Iyer</v>
          </cell>
          <cell r="F872" t="str">
            <v>Corporate</v>
          </cell>
          <cell r="H872" t="str">
            <v>Goa</v>
          </cell>
          <cell r="I872" t="str">
            <v>Panaji</v>
          </cell>
          <cell r="J872" t="str">
            <v>Furniture</v>
          </cell>
          <cell r="K872" t="str">
            <v>Tables</v>
          </cell>
          <cell r="T872" t="str">
            <v>Paid</v>
          </cell>
          <cell r="U872" t="str">
            <v>Cancelled</v>
          </cell>
        </row>
        <row r="873">
          <cell r="E873" t="str">
            <v>Neha Gupta</v>
          </cell>
          <cell r="F873" t="str">
            <v>Small Business</v>
          </cell>
          <cell r="H873" t="str">
            <v>Telangana</v>
          </cell>
          <cell r="I873" t="str">
            <v>Hyderabad</v>
          </cell>
          <cell r="J873" t="str">
            <v>Technology</v>
          </cell>
          <cell r="K873" t="str">
            <v>Accessories</v>
          </cell>
          <cell r="T873" t="str">
            <v>Refunded</v>
          </cell>
          <cell r="U873" t="str">
            <v>Cancelled</v>
          </cell>
        </row>
        <row r="874">
          <cell r="E874" t="str">
            <v>Karan Malhotra</v>
          </cell>
          <cell r="F874" t="str">
            <v>Corporate</v>
          </cell>
          <cell r="H874" t="str">
            <v>West Bengal</v>
          </cell>
          <cell r="I874" t="str">
            <v>Kolkata</v>
          </cell>
          <cell r="J874" t="str">
            <v>Furniture</v>
          </cell>
          <cell r="K874" t="str">
            <v>Furnishings</v>
          </cell>
          <cell r="T874" t="str">
            <v>Paid</v>
          </cell>
          <cell r="U874" t="str">
            <v>Completed</v>
          </cell>
        </row>
        <row r="875">
          <cell r="E875" t="str">
            <v>Aditi Sen</v>
          </cell>
          <cell r="F875" t="str">
            <v>Home Office</v>
          </cell>
          <cell r="H875" t="str">
            <v>Gujarat</v>
          </cell>
          <cell r="I875" t="str">
            <v>Ahmedabad</v>
          </cell>
          <cell r="J875" t="str">
            <v>Office Supplies</v>
          </cell>
          <cell r="K875" t="str">
            <v>Storage</v>
          </cell>
          <cell r="T875" t="str">
            <v>Paid</v>
          </cell>
          <cell r="U875" t="str">
            <v>Completed</v>
          </cell>
        </row>
        <row r="876">
          <cell r="E876" t="str">
            <v>Vikram Iyer</v>
          </cell>
          <cell r="F876" t="str">
            <v>Small Business</v>
          </cell>
          <cell r="H876" t="str">
            <v>Maharashtra</v>
          </cell>
          <cell r="I876" t="str">
            <v>Mumbai</v>
          </cell>
          <cell r="J876" t="str">
            <v>Office Supplies</v>
          </cell>
          <cell r="K876" t="str">
            <v>Paper</v>
          </cell>
          <cell r="T876" t="str">
            <v>Paid</v>
          </cell>
          <cell r="U876" t="str">
            <v>Completed</v>
          </cell>
        </row>
        <row r="877">
          <cell r="E877" t="str">
            <v>Mira Das</v>
          </cell>
          <cell r="F877" t="str">
            <v>Corporate</v>
          </cell>
          <cell r="H877" t="str">
            <v>Maharashtra</v>
          </cell>
          <cell r="I877" t="str">
            <v>Mumbai</v>
          </cell>
          <cell r="J877" t="str">
            <v>Technology</v>
          </cell>
          <cell r="K877" t="str">
            <v>Copiers</v>
          </cell>
          <cell r="T877" t="str">
            <v>Paid</v>
          </cell>
          <cell r="U877" t="str">
            <v>Completed</v>
          </cell>
        </row>
        <row r="878">
          <cell r="E878" t="str">
            <v>Priya Menon</v>
          </cell>
          <cell r="F878" t="str">
            <v>Consumer</v>
          </cell>
          <cell r="H878" t="str">
            <v>Rajasthan</v>
          </cell>
          <cell r="I878" t="str">
            <v>Udaipur</v>
          </cell>
          <cell r="J878" t="str">
            <v>Furniture</v>
          </cell>
          <cell r="K878" t="str">
            <v>Chairs</v>
          </cell>
          <cell r="T878" t="str">
            <v>Paid</v>
          </cell>
          <cell r="U878" t="str">
            <v>Completed</v>
          </cell>
        </row>
        <row r="879">
          <cell r="E879" t="str">
            <v>Aarav Sharma</v>
          </cell>
          <cell r="F879" t="str">
            <v>Consumer</v>
          </cell>
          <cell r="H879" t="str">
            <v>Rajasthan</v>
          </cell>
          <cell r="I879" t="str">
            <v>Udaipur</v>
          </cell>
          <cell r="J879" t="str">
            <v>Office Supplies</v>
          </cell>
          <cell r="K879" t="str">
            <v>Storage</v>
          </cell>
          <cell r="T879" t="str">
            <v>Paid</v>
          </cell>
          <cell r="U879" t="str">
            <v>Completed</v>
          </cell>
        </row>
        <row r="880">
          <cell r="E880" t="str">
            <v>Karan Malhotra</v>
          </cell>
          <cell r="F880" t="str">
            <v>Corporate</v>
          </cell>
          <cell r="H880" t="str">
            <v>West Bengal</v>
          </cell>
          <cell r="I880" t="str">
            <v>Kolkata</v>
          </cell>
          <cell r="J880" t="str">
            <v>Office Supplies</v>
          </cell>
          <cell r="K880" t="str">
            <v>Paper</v>
          </cell>
          <cell r="T880" t="str">
            <v>Paid</v>
          </cell>
          <cell r="U880" t="str">
            <v>Completed</v>
          </cell>
        </row>
        <row r="881">
          <cell r="E881" t="str">
            <v>Ananya Rao</v>
          </cell>
          <cell r="F881" t="str">
            <v>Home Office</v>
          </cell>
          <cell r="H881" t="str">
            <v>Uttar Pradesh</v>
          </cell>
          <cell r="I881" t="str">
            <v>Noida</v>
          </cell>
          <cell r="J881" t="str">
            <v>Office Supplies</v>
          </cell>
          <cell r="K881" t="str">
            <v>Art</v>
          </cell>
          <cell r="T881" t="str">
            <v>Paid</v>
          </cell>
          <cell r="U881" t="str">
            <v>Completed</v>
          </cell>
        </row>
        <row r="882">
          <cell r="E882" t="str">
            <v>Aarav Sharma</v>
          </cell>
          <cell r="F882" t="str">
            <v>Small Business</v>
          </cell>
          <cell r="H882" t="str">
            <v>Punjab</v>
          </cell>
          <cell r="I882" t="str">
            <v>Ludhiana</v>
          </cell>
          <cell r="J882" t="str">
            <v>Furniture</v>
          </cell>
          <cell r="K882" t="str">
            <v>Chairs</v>
          </cell>
          <cell r="T882" t="str">
            <v>Paid</v>
          </cell>
          <cell r="U882" t="str">
            <v>Completed</v>
          </cell>
        </row>
        <row r="883">
          <cell r="E883" t="str">
            <v>Ananya Rao</v>
          </cell>
          <cell r="F883" t="str">
            <v>Small Business</v>
          </cell>
          <cell r="H883" t="str">
            <v>Andhra Pradesh</v>
          </cell>
          <cell r="I883" t="str">
            <v>Vijayawada</v>
          </cell>
          <cell r="J883" t="str">
            <v>Technology</v>
          </cell>
          <cell r="K883" t="str">
            <v>Copiers</v>
          </cell>
          <cell r="T883" t="str">
            <v>Paid</v>
          </cell>
          <cell r="U883" t="str">
            <v>Completed</v>
          </cell>
        </row>
        <row r="884">
          <cell r="E884" t="str">
            <v>Sneha Kapoor</v>
          </cell>
          <cell r="F884" t="str">
            <v>Corporate</v>
          </cell>
          <cell r="H884" t="str">
            <v>Bihar</v>
          </cell>
          <cell r="I884" t="str">
            <v>Patna</v>
          </cell>
          <cell r="J884" t="str">
            <v>Technology</v>
          </cell>
          <cell r="K884" t="str">
            <v>Accessories</v>
          </cell>
          <cell r="T884" t="str">
            <v>Pending</v>
          </cell>
          <cell r="U884" t="str">
            <v>Returned</v>
          </cell>
        </row>
        <row r="885">
          <cell r="E885" t="str">
            <v>Aarav Sharma</v>
          </cell>
          <cell r="F885" t="str">
            <v>Small Business</v>
          </cell>
          <cell r="H885" t="str">
            <v>Goa</v>
          </cell>
          <cell r="I885" t="str">
            <v>Panaji</v>
          </cell>
          <cell r="J885" t="str">
            <v>Office Supplies</v>
          </cell>
          <cell r="K885" t="str">
            <v>Storage</v>
          </cell>
          <cell r="T885" t="str">
            <v>Paid</v>
          </cell>
          <cell r="U885" t="str">
            <v>Completed</v>
          </cell>
        </row>
        <row r="886">
          <cell r="E886" t="str">
            <v>Neha Gupta</v>
          </cell>
          <cell r="F886" t="str">
            <v>Home Office</v>
          </cell>
          <cell r="H886" t="str">
            <v>Karnataka</v>
          </cell>
          <cell r="I886" t="str">
            <v>Bengaluru</v>
          </cell>
          <cell r="J886" t="str">
            <v>Office Supplies</v>
          </cell>
          <cell r="K886" t="str">
            <v>Storage</v>
          </cell>
          <cell r="T886" t="str">
            <v>Paid</v>
          </cell>
          <cell r="U886" t="str">
            <v>Completed</v>
          </cell>
        </row>
        <row r="887">
          <cell r="E887" t="str">
            <v>Diya Patel</v>
          </cell>
          <cell r="F887" t="str">
            <v>Consumer</v>
          </cell>
          <cell r="H887" t="str">
            <v>Rajasthan</v>
          </cell>
          <cell r="I887" t="str">
            <v>Jaipur</v>
          </cell>
          <cell r="J887" t="str">
            <v>Furniture</v>
          </cell>
          <cell r="K887" t="str">
            <v>Tables</v>
          </cell>
          <cell r="T887" t="str">
            <v>Paid</v>
          </cell>
          <cell r="U887" t="str">
            <v>Completed</v>
          </cell>
        </row>
        <row r="888">
          <cell r="E888" t="str">
            <v>Arjun Bose</v>
          </cell>
          <cell r="F888" t="str">
            <v>Home Office</v>
          </cell>
          <cell r="H888" t="str">
            <v>Tamil Nadu</v>
          </cell>
          <cell r="I888" t="str">
            <v>Chennai</v>
          </cell>
          <cell r="J888" t="str">
            <v>Technology</v>
          </cell>
          <cell r="K888" t="str">
            <v>Accessories</v>
          </cell>
          <cell r="T888" t="str">
            <v>Paid</v>
          </cell>
          <cell r="U888" t="str">
            <v>Cancelled</v>
          </cell>
        </row>
        <row r="889">
          <cell r="E889" t="str">
            <v>Aarav Sharma</v>
          </cell>
          <cell r="F889" t="str">
            <v>Small Business</v>
          </cell>
          <cell r="H889" t="str">
            <v>Andhra Pradesh</v>
          </cell>
          <cell r="I889" t="str">
            <v>Vijayawada</v>
          </cell>
          <cell r="J889" t="str">
            <v>Office Supplies</v>
          </cell>
          <cell r="K889" t="str">
            <v>Art</v>
          </cell>
          <cell r="T889" t="str">
            <v>Paid</v>
          </cell>
          <cell r="U889" t="str">
            <v>Completed</v>
          </cell>
        </row>
        <row r="890">
          <cell r="E890" t="str">
            <v>Rahul Verma</v>
          </cell>
          <cell r="F890" t="str">
            <v>Small Business</v>
          </cell>
          <cell r="H890" t="str">
            <v>Maharashtra</v>
          </cell>
          <cell r="I890" t="str">
            <v>Mumbai</v>
          </cell>
          <cell r="J890" t="str">
            <v>Office Supplies</v>
          </cell>
          <cell r="K890" t="str">
            <v>Art</v>
          </cell>
          <cell r="T890" t="str">
            <v>Refunded</v>
          </cell>
          <cell r="U890" t="str">
            <v>Cancelled</v>
          </cell>
        </row>
        <row r="891">
          <cell r="E891" t="str">
            <v>Aditi Sen</v>
          </cell>
          <cell r="F891" t="str">
            <v>Home Office</v>
          </cell>
          <cell r="H891" t="str">
            <v>Madhya Pradesh</v>
          </cell>
          <cell r="I891" t="str">
            <v>Indore</v>
          </cell>
          <cell r="J891" t="str">
            <v>Office Supplies</v>
          </cell>
          <cell r="K891" t="str">
            <v>Storage</v>
          </cell>
          <cell r="T891" t="str">
            <v>Paid</v>
          </cell>
          <cell r="U891" t="str">
            <v>Returned</v>
          </cell>
        </row>
        <row r="892">
          <cell r="E892" t="str">
            <v>Karan Malhotra</v>
          </cell>
          <cell r="F892" t="str">
            <v>Consumer</v>
          </cell>
          <cell r="H892" t="str">
            <v>Goa</v>
          </cell>
          <cell r="I892" t="str">
            <v>Panaji</v>
          </cell>
          <cell r="J892" t="str">
            <v>Office Supplies</v>
          </cell>
          <cell r="K892" t="str">
            <v>Storage</v>
          </cell>
          <cell r="T892" t="str">
            <v>Paid</v>
          </cell>
          <cell r="U892" t="str">
            <v>Completed</v>
          </cell>
        </row>
        <row r="893">
          <cell r="E893" t="str">
            <v>Kabir Singh</v>
          </cell>
          <cell r="F893" t="str">
            <v>Corporate</v>
          </cell>
          <cell r="H893" t="str">
            <v>Tamil Nadu</v>
          </cell>
          <cell r="I893" t="str">
            <v>Chennai</v>
          </cell>
          <cell r="J893" t="str">
            <v>Technology</v>
          </cell>
          <cell r="K893" t="str">
            <v>Machines</v>
          </cell>
          <cell r="T893" t="str">
            <v>Failed</v>
          </cell>
          <cell r="U893" t="str">
            <v>Cancelled</v>
          </cell>
        </row>
        <row r="894">
          <cell r="E894" t="str">
            <v>Isha Nair</v>
          </cell>
          <cell r="F894" t="str">
            <v>Small Business</v>
          </cell>
          <cell r="H894" t="str">
            <v>Jharkhand</v>
          </cell>
          <cell r="I894" t="str">
            <v>Ranchi</v>
          </cell>
          <cell r="J894" t="str">
            <v>Technology</v>
          </cell>
          <cell r="K894" t="str">
            <v>Copiers</v>
          </cell>
          <cell r="T894" t="str">
            <v>Paid</v>
          </cell>
          <cell r="U894" t="str">
            <v>Completed</v>
          </cell>
        </row>
        <row r="895">
          <cell r="E895" t="str">
            <v>Aarav Sharma</v>
          </cell>
          <cell r="F895" t="str">
            <v>Corporate</v>
          </cell>
          <cell r="H895" t="str">
            <v>Karnataka</v>
          </cell>
          <cell r="I895" t="str">
            <v>Bengaluru</v>
          </cell>
          <cell r="J895" t="str">
            <v>Furniture</v>
          </cell>
          <cell r="K895" t="str">
            <v>Tables</v>
          </cell>
          <cell r="T895" t="str">
            <v>Paid</v>
          </cell>
          <cell r="U895" t="str">
            <v>Returned</v>
          </cell>
        </row>
        <row r="896">
          <cell r="E896" t="str">
            <v>Isha Nair</v>
          </cell>
          <cell r="F896" t="str">
            <v>Home Office</v>
          </cell>
          <cell r="H896" t="str">
            <v>Telangana</v>
          </cell>
          <cell r="I896" t="str">
            <v>Hyderabad</v>
          </cell>
          <cell r="J896" t="str">
            <v>Furniture</v>
          </cell>
          <cell r="K896" t="str">
            <v>Tables</v>
          </cell>
          <cell r="T896" t="str">
            <v>Paid</v>
          </cell>
          <cell r="U896" t="str">
            <v>Completed</v>
          </cell>
        </row>
        <row r="897">
          <cell r="E897" t="str">
            <v>Arjun Bose</v>
          </cell>
          <cell r="F897" t="str">
            <v>Consumer</v>
          </cell>
          <cell r="H897" t="str">
            <v>Kerala</v>
          </cell>
          <cell r="I897" t="str">
            <v>Kochi</v>
          </cell>
          <cell r="J897" t="str">
            <v>Furniture</v>
          </cell>
          <cell r="K897" t="str">
            <v>Chairs</v>
          </cell>
          <cell r="T897" t="str">
            <v>Pending</v>
          </cell>
          <cell r="U897" t="str">
            <v>Returned</v>
          </cell>
        </row>
        <row r="898">
          <cell r="E898" t="str">
            <v>Ananya Rao</v>
          </cell>
          <cell r="F898" t="str">
            <v>Small Business</v>
          </cell>
          <cell r="H898" t="str">
            <v>Tamil Nadu</v>
          </cell>
          <cell r="I898" t="str">
            <v>Chennai</v>
          </cell>
          <cell r="J898" t="str">
            <v>Technology</v>
          </cell>
          <cell r="K898" t="str">
            <v>Copiers</v>
          </cell>
          <cell r="T898" t="str">
            <v>Failed</v>
          </cell>
          <cell r="U898" t="str">
            <v>Returned</v>
          </cell>
        </row>
        <row r="899">
          <cell r="E899" t="str">
            <v>Rohan Mehta</v>
          </cell>
          <cell r="F899" t="str">
            <v>Corporate</v>
          </cell>
          <cell r="H899" t="str">
            <v>Haryana</v>
          </cell>
          <cell r="I899" t="str">
            <v>Gurugram</v>
          </cell>
          <cell r="J899" t="str">
            <v>Office Supplies</v>
          </cell>
          <cell r="K899" t="str">
            <v>Paper</v>
          </cell>
          <cell r="T899" t="str">
            <v>Paid</v>
          </cell>
          <cell r="U899" t="str">
            <v>Completed</v>
          </cell>
        </row>
        <row r="900">
          <cell r="E900" t="str">
            <v>Vikram Iyer</v>
          </cell>
          <cell r="F900" t="str">
            <v>Consumer</v>
          </cell>
          <cell r="H900" t="str">
            <v>Delhi</v>
          </cell>
          <cell r="I900" t="str">
            <v>New Delhi</v>
          </cell>
          <cell r="J900" t="str">
            <v>Furniture</v>
          </cell>
          <cell r="K900" t="str">
            <v>Tables</v>
          </cell>
          <cell r="T900" t="str">
            <v>Paid</v>
          </cell>
          <cell r="U900" t="str">
            <v>Completed</v>
          </cell>
        </row>
        <row r="901">
          <cell r="E901" t="str">
            <v>Karan Malhotra</v>
          </cell>
          <cell r="F901" t="str">
            <v>Consumer</v>
          </cell>
          <cell r="H901" t="str">
            <v>Punjab</v>
          </cell>
          <cell r="I901" t="str">
            <v>Ludhiana</v>
          </cell>
          <cell r="J901" t="str">
            <v>Furniture</v>
          </cell>
          <cell r="K901" t="str">
            <v>Chairs</v>
          </cell>
          <cell r="T901" t="str">
            <v>Failed</v>
          </cell>
          <cell r="U901" t="str">
            <v>Cancelled</v>
          </cell>
        </row>
        <row r="902">
          <cell r="E902" t="str">
            <v>Priya Menon</v>
          </cell>
          <cell r="F902" t="str">
            <v>Small Business</v>
          </cell>
          <cell r="H902" t="str">
            <v>Odisha</v>
          </cell>
          <cell r="I902" t="str">
            <v>Bhubaneswar</v>
          </cell>
          <cell r="J902" t="str">
            <v>Technology</v>
          </cell>
          <cell r="K902" t="str">
            <v>Copiers</v>
          </cell>
          <cell r="T902" t="str">
            <v>Paid</v>
          </cell>
          <cell r="U902" t="str">
            <v>Completed</v>
          </cell>
        </row>
        <row r="903">
          <cell r="E903" t="str">
            <v>Ananya Rao</v>
          </cell>
          <cell r="F903" t="str">
            <v>Corporate</v>
          </cell>
          <cell r="H903" t="str">
            <v>West Bengal</v>
          </cell>
          <cell r="I903" t="str">
            <v>Kolkata</v>
          </cell>
          <cell r="J903" t="str">
            <v>Technology</v>
          </cell>
          <cell r="K903" t="str">
            <v>Copiers</v>
          </cell>
          <cell r="T903" t="str">
            <v>Paid</v>
          </cell>
          <cell r="U903" t="str">
            <v>Completed</v>
          </cell>
        </row>
        <row r="904">
          <cell r="E904" t="str">
            <v>Isha Nair</v>
          </cell>
          <cell r="F904" t="str">
            <v>Consumer</v>
          </cell>
          <cell r="H904" t="str">
            <v>Andhra Pradesh</v>
          </cell>
          <cell r="I904" t="str">
            <v>Vijayawada</v>
          </cell>
          <cell r="J904" t="str">
            <v>Office Supplies</v>
          </cell>
          <cell r="K904" t="str">
            <v>Storage</v>
          </cell>
          <cell r="T904" t="str">
            <v>Paid</v>
          </cell>
          <cell r="U904" t="str">
            <v>Completed</v>
          </cell>
        </row>
        <row r="905">
          <cell r="E905" t="str">
            <v>Priya Menon</v>
          </cell>
          <cell r="F905" t="str">
            <v>Home Office</v>
          </cell>
          <cell r="H905" t="str">
            <v>Tamil Nadu</v>
          </cell>
          <cell r="I905" t="str">
            <v>Chennai</v>
          </cell>
          <cell r="J905" t="str">
            <v>Furniture</v>
          </cell>
          <cell r="K905" t="str">
            <v>Bookcases</v>
          </cell>
          <cell r="T905" t="str">
            <v>Paid</v>
          </cell>
          <cell r="U905" t="str">
            <v>Completed</v>
          </cell>
        </row>
        <row r="906">
          <cell r="E906" t="str">
            <v>Aarav Sharma</v>
          </cell>
          <cell r="F906" t="str">
            <v>Small Business</v>
          </cell>
          <cell r="H906" t="str">
            <v>Assam</v>
          </cell>
          <cell r="I906" t="str">
            <v>Guwahati</v>
          </cell>
          <cell r="J906" t="str">
            <v>Furniture</v>
          </cell>
          <cell r="K906" t="str">
            <v>Chairs</v>
          </cell>
          <cell r="T906" t="str">
            <v>Paid</v>
          </cell>
          <cell r="U906" t="str">
            <v>Completed</v>
          </cell>
        </row>
        <row r="907">
          <cell r="E907" t="str">
            <v>Sneha Kapoor</v>
          </cell>
          <cell r="F907" t="str">
            <v>Small Business</v>
          </cell>
          <cell r="H907" t="str">
            <v>Karnataka</v>
          </cell>
          <cell r="I907" t="str">
            <v>Bengaluru</v>
          </cell>
          <cell r="J907" t="str">
            <v>Furniture</v>
          </cell>
          <cell r="K907" t="str">
            <v>Furnishings</v>
          </cell>
          <cell r="T907" t="str">
            <v>Paid</v>
          </cell>
          <cell r="U907" t="str">
            <v>Completed</v>
          </cell>
        </row>
        <row r="908">
          <cell r="E908" t="str">
            <v>Ananya Rao</v>
          </cell>
          <cell r="F908" t="str">
            <v>Corporate</v>
          </cell>
          <cell r="H908" t="str">
            <v>Tamil Nadu</v>
          </cell>
          <cell r="I908" t="str">
            <v>Chennai</v>
          </cell>
          <cell r="J908" t="str">
            <v>Technology</v>
          </cell>
          <cell r="K908" t="str">
            <v>Machines</v>
          </cell>
          <cell r="T908" t="str">
            <v>Paid</v>
          </cell>
          <cell r="U908" t="str">
            <v>Completed</v>
          </cell>
        </row>
        <row r="909">
          <cell r="E909" t="str">
            <v>Karan Malhotra</v>
          </cell>
          <cell r="F909" t="str">
            <v>Consumer</v>
          </cell>
          <cell r="H909" t="str">
            <v>Goa</v>
          </cell>
          <cell r="I909" t="str">
            <v>Panaji</v>
          </cell>
          <cell r="J909" t="str">
            <v>Technology</v>
          </cell>
          <cell r="K909" t="str">
            <v>Phones</v>
          </cell>
          <cell r="T909" t="str">
            <v>Paid</v>
          </cell>
          <cell r="U909" t="str">
            <v>Completed</v>
          </cell>
        </row>
        <row r="910">
          <cell r="E910" t="str">
            <v>Kabir Singh</v>
          </cell>
          <cell r="F910" t="str">
            <v>Corporate</v>
          </cell>
          <cell r="H910" t="str">
            <v>Gujarat</v>
          </cell>
          <cell r="I910" t="str">
            <v>Ahmedabad</v>
          </cell>
          <cell r="J910" t="str">
            <v>Office Supplies</v>
          </cell>
          <cell r="K910" t="str">
            <v>Art</v>
          </cell>
          <cell r="T910" t="str">
            <v>Paid</v>
          </cell>
          <cell r="U910" t="str">
            <v>Completed</v>
          </cell>
        </row>
        <row r="911">
          <cell r="E911" t="str">
            <v>Diya Patel</v>
          </cell>
          <cell r="F911" t="str">
            <v>Small Business</v>
          </cell>
          <cell r="H911" t="str">
            <v>Andhra Pradesh</v>
          </cell>
          <cell r="I911" t="str">
            <v>Vijayawada</v>
          </cell>
          <cell r="J911" t="str">
            <v>Office Supplies</v>
          </cell>
          <cell r="K911" t="str">
            <v>Paper</v>
          </cell>
          <cell r="T911" t="str">
            <v>Paid</v>
          </cell>
          <cell r="U911" t="str">
            <v>Completed</v>
          </cell>
        </row>
        <row r="912">
          <cell r="E912" t="str">
            <v>Sneha Kapoor</v>
          </cell>
          <cell r="F912" t="str">
            <v>Small Business</v>
          </cell>
          <cell r="H912" t="str">
            <v>Punjab</v>
          </cell>
          <cell r="I912" t="str">
            <v>Ludhiana</v>
          </cell>
          <cell r="J912" t="str">
            <v>Technology</v>
          </cell>
          <cell r="K912" t="str">
            <v>Copiers</v>
          </cell>
          <cell r="T912" t="str">
            <v>Refunded</v>
          </cell>
          <cell r="U912" t="str">
            <v>Cancelled</v>
          </cell>
        </row>
        <row r="913">
          <cell r="E913" t="str">
            <v>Arjun Bose</v>
          </cell>
          <cell r="F913" t="str">
            <v>Small Business</v>
          </cell>
          <cell r="H913" t="str">
            <v>West Bengal</v>
          </cell>
          <cell r="I913" t="str">
            <v>Kolkata</v>
          </cell>
          <cell r="J913" t="str">
            <v>Furniture</v>
          </cell>
          <cell r="K913" t="str">
            <v>Furnishings</v>
          </cell>
          <cell r="T913" t="str">
            <v>Pending</v>
          </cell>
          <cell r="U913" t="str">
            <v>Returned</v>
          </cell>
        </row>
        <row r="914">
          <cell r="E914" t="str">
            <v>Kabir Singh</v>
          </cell>
          <cell r="F914" t="str">
            <v>Small Business</v>
          </cell>
          <cell r="H914" t="str">
            <v>Odisha</v>
          </cell>
          <cell r="I914" t="str">
            <v>Bhubaneswar</v>
          </cell>
          <cell r="J914" t="str">
            <v>Office Supplies</v>
          </cell>
          <cell r="K914" t="str">
            <v>storage</v>
          </cell>
          <cell r="T914" t="str">
            <v>Paid</v>
          </cell>
          <cell r="U914" t="str">
            <v>Completed</v>
          </cell>
        </row>
        <row r="915">
          <cell r="E915" t="str">
            <v>Aditi Sen</v>
          </cell>
          <cell r="F915" t="str">
            <v>Consumer</v>
          </cell>
          <cell r="H915" t="str">
            <v>Karnataka</v>
          </cell>
          <cell r="I915" t="str">
            <v>Bengaluru</v>
          </cell>
          <cell r="J915" t="str">
            <v>Technology</v>
          </cell>
          <cell r="K915" t="str">
            <v>Copiers</v>
          </cell>
          <cell r="T915" t="str">
            <v>Paid</v>
          </cell>
          <cell r="U915" t="str">
            <v>Completed</v>
          </cell>
        </row>
        <row r="916">
          <cell r="E916" t="str">
            <v>Isha Nair</v>
          </cell>
          <cell r="F916" t="str">
            <v>Home Office</v>
          </cell>
          <cell r="H916" t="str">
            <v>Madhya Pradesh</v>
          </cell>
          <cell r="I916" t="str">
            <v>Indore</v>
          </cell>
          <cell r="J916" t="str">
            <v>Furniture</v>
          </cell>
          <cell r="K916" t="str">
            <v>Chairs</v>
          </cell>
          <cell r="T916" t="str">
            <v>Paid</v>
          </cell>
          <cell r="U916" t="str">
            <v>Completed</v>
          </cell>
        </row>
        <row r="917">
          <cell r="E917" t="str">
            <v>Mira Das</v>
          </cell>
          <cell r="F917" t="str">
            <v>Corporate</v>
          </cell>
          <cell r="H917" t="str">
            <v>Telangana</v>
          </cell>
          <cell r="I917" t="str">
            <v>Hyderabad</v>
          </cell>
          <cell r="J917" t="str">
            <v>Office Supplies</v>
          </cell>
          <cell r="K917" t="str">
            <v>Art</v>
          </cell>
          <cell r="T917" t="str">
            <v>Paid</v>
          </cell>
          <cell r="U917" t="str">
            <v>Completed</v>
          </cell>
        </row>
        <row r="918">
          <cell r="E918" t="str">
            <v>Isha Nair</v>
          </cell>
          <cell r="F918" t="str">
            <v>Home Office</v>
          </cell>
          <cell r="H918" t="str">
            <v>Gujarat</v>
          </cell>
          <cell r="I918" t="str">
            <v>Ahmedabad</v>
          </cell>
          <cell r="J918" t="str">
            <v>Furniture</v>
          </cell>
          <cell r="K918" t="str">
            <v>Bookcases</v>
          </cell>
          <cell r="T918" t="str">
            <v>Paid</v>
          </cell>
          <cell r="U918" t="str">
            <v>Completed</v>
          </cell>
        </row>
        <row r="919">
          <cell r="E919" t="str">
            <v>Priya Menon</v>
          </cell>
          <cell r="F919" t="str">
            <v>Corporate</v>
          </cell>
          <cell r="H919" t="str">
            <v>Madhya Pradesh</v>
          </cell>
          <cell r="I919" t="str">
            <v>Indore</v>
          </cell>
          <cell r="J919" t="str">
            <v>Office Supplies</v>
          </cell>
          <cell r="K919" t="str">
            <v>Storage</v>
          </cell>
          <cell r="T919" t="str">
            <v>Paid</v>
          </cell>
          <cell r="U919" t="str">
            <v>Completed</v>
          </cell>
        </row>
        <row r="920">
          <cell r="E920" t="str">
            <v>Rahul Verma</v>
          </cell>
          <cell r="F920" t="str">
            <v>Small Business</v>
          </cell>
          <cell r="H920" t="str">
            <v>Delhi</v>
          </cell>
          <cell r="I920" t="str">
            <v>New Delhi</v>
          </cell>
          <cell r="J920" t="str">
            <v>Technology</v>
          </cell>
          <cell r="K920" t="str">
            <v>Phones</v>
          </cell>
          <cell r="T920" t="str">
            <v>Paid</v>
          </cell>
          <cell r="U920" t="str">
            <v>Completed</v>
          </cell>
        </row>
        <row r="921">
          <cell r="E921" t="str">
            <v>Neha Gupta</v>
          </cell>
          <cell r="F921" t="str">
            <v>Consumer</v>
          </cell>
          <cell r="H921" t="str">
            <v>Odisha</v>
          </cell>
          <cell r="I921" t="str">
            <v>Bhubaneswar</v>
          </cell>
          <cell r="J921" t="str">
            <v>Technology</v>
          </cell>
          <cell r="K921" t="str">
            <v>Copiers</v>
          </cell>
          <cell r="T921" t="str">
            <v>Paid</v>
          </cell>
          <cell r="U921" t="str">
            <v>Completed</v>
          </cell>
        </row>
        <row r="922">
          <cell r="E922" t="str">
            <v>Sneha Kapoor</v>
          </cell>
          <cell r="F922" t="str">
            <v>Home Office</v>
          </cell>
          <cell r="H922" t="str">
            <v>Odisha</v>
          </cell>
          <cell r="I922" t="str">
            <v>Bhubaneswar</v>
          </cell>
          <cell r="J922" t="str">
            <v>Office Supplies</v>
          </cell>
          <cell r="K922" t="str">
            <v>Binders</v>
          </cell>
          <cell r="T922" t="str">
            <v>Paid</v>
          </cell>
          <cell r="U922" t="str">
            <v>Completed</v>
          </cell>
        </row>
        <row r="923">
          <cell r="E923" t="str">
            <v>Aarav Sharma</v>
          </cell>
          <cell r="F923" t="str">
            <v>Small Business</v>
          </cell>
          <cell r="H923" t="str">
            <v>Bihar</v>
          </cell>
          <cell r="I923" t="str">
            <v>Patna</v>
          </cell>
          <cell r="J923" t="str">
            <v>Technology</v>
          </cell>
          <cell r="K923" t="str">
            <v>Copiers</v>
          </cell>
          <cell r="T923" t="str">
            <v>Paid</v>
          </cell>
          <cell r="U923" t="str">
            <v>Returned</v>
          </cell>
        </row>
        <row r="924">
          <cell r="E924" t="str">
            <v>Sneha Kapoor</v>
          </cell>
          <cell r="F924" t="str">
            <v>Small Business</v>
          </cell>
          <cell r="H924" t="str">
            <v>Uttar Pradesh</v>
          </cell>
          <cell r="I924" t="str">
            <v>Noida</v>
          </cell>
          <cell r="J924" t="str">
            <v>Office Supplies</v>
          </cell>
          <cell r="K924" t="str">
            <v>Storage</v>
          </cell>
          <cell r="T924" t="str">
            <v>Paid</v>
          </cell>
          <cell r="U924" t="str">
            <v>Returned</v>
          </cell>
        </row>
        <row r="925">
          <cell r="E925" t="str">
            <v>Isha Nair</v>
          </cell>
          <cell r="F925" t="str">
            <v>Small Business</v>
          </cell>
          <cell r="H925" t="str">
            <v>Punjab</v>
          </cell>
          <cell r="I925" t="str">
            <v>Ludhiana</v>
          </cell>
          <cell r="J925" t="str">
            <v>Furniture</v>
          </cell>
          <cell r="K925" t="str">
            <v>Furnishings</v>
          </cell>
          <cell r="T925" t="str">
            <v>Paid</v>
          </cell>
          <cell r="U925" t="str">
            <v>Returned</v>
          </cell>
        </row>
        <row r="926">
          <cell r="E926" t="str">
            <v>Isha Nair</v>
          </cell>
          <cell r="F926" t="str">
            <v>Corporate</v>
          </cell>
          <cell r="H926" t="str">
            <v>Madhya Pradesh</v>
          </cell>
          <cell r="I926" t="str">
            <v>Indore</v>
          </cell>
          <cell r="J926" t="str">
            <v>Office Supplies</v>
          </cell>
          <cell r="K926" t="str">
            <v>Labels</v>
          </cell>
          <cell r="T926" t="str">
            <v>Failed</v>
          </cell>
          <cell r="U926" t="str">
            <v>Completed</v>
          </cell>
        </row>
        <row r="927">
          <cell r="E927" t="str">
            <v>Rohan Mehta</v>
          </cell>
          <cell r="F927" t="str">
            <v>Corporate</v>
          </cell>
          <cell r="H927" t="str">
            <v>Bihar</v>
          </cell>
          <cell r="I927" t="str">
            <v>Patna</v>
          </cell>
          <cell r="J927" t="str">
            <v>Technology</v>
          </cell>
          <cell r="K927" t="str">
            <v>Copiers</v>
          </cell>
          <cell r="T927" t="str">
            <v>Paid</v>
          </cell>
          <cell r="U927" t="str">
            <v>Returned</v>
          </cell>
        </row>
        <row r="928">
          <cell r="E928" t="str">
            <v>Diya Patel</v>
          </cell>
          <cell r="F928" t="str">
            <v>Consumer</v>
          </cell>
          <cell r="H928" t="str">
            <v>Kerala</v>
          </cell>
          <cell r="I928" t="str">
            <v>Kochi</v>
          </cell>
          <cell r="J928" t="str">
            <v>Technology</v>
          </cell>
          <cell r="K928" t="str">
            <v>Accessories</v>
          </cell>
          <cell r="T928" t="str">
            <v>Paid</v>
          </cell>
          <cell r="U928" t="str">
            <v>Returned</v>
          </cell>
        </row>
        <row r="929">
          <cell r="E929" t="str">
            <v>Priya Menon</v>
          </cell>
          <cell r="F929" t="str">
            <v>Small Business</v>
          </cell>
          <cell r="H929" t="str">
            <v>Uttar Pradesh</v>
          </cell>
          <cell r="I929" t="str">
            <v>Noida</v>
          </cell>
          <cell r="J929" t="str">
            <v>Technology</v>
          </cell>
          <cell r="K929" t="str">
            <v>Phones</v>
          </cell>
          <cell r="T929" t="str">
            <v>Failed</v>
          </cell>
          <cell r="U929" t="str">
            <v>Completed</v>
          </cell>
        </row>
        <row r="930">
          <cell r="E930" t="str">
            <v>Aditi Sen</v>
          </cell>
          <cell r="F930" t="str">
            <v>Home Office</v>
          </cell>
          <cell r="H930" t="str">
            <v>Rajasthan</v>
          </cell>
          <cell r="I930" t="str">
            <v>Jaipur</v>
          </cell>
          <cell r="J930" t="str">
            <v>Technology</v>
          </cell>
          <cell r="K930" t="str">
            <v>Phones</v>
          </cell>
          <cell r="T930" t="str">
            <v>Paid</v>
          </cell>
          <cell r="U930" t="str">
            <v>Returned</v>
          </cell>
        </row>
        <row r="931">
          <cell r="E931" t="str">
            <v>Arjun Bose</v>
          </cell>
          <cell r="F931" t="str">
            <v>Consumer</v>
          </cell>
          <cell r="H931" t="str">
            <v>Andhra Pradesh</v>
          </cell>
          <cell r="I931" t="str">
            <v>Vijayawada</v>
          </cell>
          <cell r="J931" t="str">
            <v>Furniture</v>
          </cell>
          <cell r="K931" t="str">
            <v>Chairs</v>
          </cell>
          <cell r="T931" t="str">
            <v>Paid</v>
          </cell>
          <cell r="U931" t="str">
            <v>Returned</v>
          </cell>
        </row>
        <row r="932">
          <cell r="E932" t="str">
            <v>Sneha Kapoor</v>
          </cell>
          <cell r="F932" t="str">
            <v>Small Business</v>
          </cell>
          <cell r="H932" t="str">
            <v>Punjab</v>
          </cell>
          <cell r="I932" t="str">
            <v>Ludhiana</v>
          </cell>
          <cell r="J932" t="str">
            <v>Technology</v>
          </cell>
          <cell r="K932" t="str">
            <v>Copiers</v>
          </cell>
          <cell r="T932" t="str">
            <v>Refunded</v>
          </cell>
          <cell r="U932" t="str">
            <v>Returned</v>
          </cell>
        </row>
        <row r="933">
          <cell r="E933" t="str">
            <v>Rahul Verma</v>
          </cell>
          <cell r="F933" t="str">
            <v>Home Office</v>
          </cell>
          <cell r="H933" t="str">
            <v>Madhya Pradesh</v>
          </cell>
          <cell r="I933" t="str">
            <v>Indore</v>
          </cell>
          <cell r="J933" t="str">
            <v>Office Supplies</v>
          </cell>
          <cell r="K933" t="str">
            <v>Paper</v>
          </cell>
          <cell r="T933" t="str">
            <v>Paid</v>
          </cell>
          <cell r="U933" t="str">
            <v>Returned</v>
          </cell>
        </row>
      </sheetData>
      <sheetData sheetId="1">
        <row r="2">
          <cell r="G2" t="str">
            <v>North</v>
          </cell>
          <cell r="M2" t="str">
            <v>Second Class</v>
          </cell>
          <cell r="N2">
            <v>8</v>
          </cell>
          <cell r="P2">
            <v>0.2</v>
          </cell>
        </row>
        <row r="3">
          <cell r="G3" t="str">
            <v>East</v>
          </cell>
          <cell r="M3" t="str">
            <v>Same Day</v>
          </cell>
          <cell r="N3">
            <v>3</v>
          </cell>
          <cell r="P3">
            <v>0</v>
          </cell>
        </row>
        <row r="4">
          <cell r="G4" t="str">
            <v>East</v>
          </cell>
          <cell r="M4" t="str">
            <v>First Class</v>
          </cell>
          <cell r="N4">
            <v>4</v>
          </cell>
          <cell r="P4">
            <v>0.55000000000000004</v>
          </cell>
        </row>
        <row r="5">
          <cell r="G5" t="str">
            <v>South</v>
          </cell>
          <cell r="M5" t="str">
            <v>Standard Class</v>
          </cell>
          <cell r="N5">
            <v>6</v>
          </cell>
          <cell r="P5">
            <v>0.25</v>
          </cell>
        </row>
        <row r="6">
          <cell r="G6" t="str">
            <v>West</v>
          </cell>
          <cell r="M6" t="str">
            <v>First Class</v>
          </cell>
          <cell r="N6">
            <v>7</v>
          </cell>
          <cell r="P6">
            <v>0</v>
          </cell>
        </row>
        <row r="7">
          <cell r="G7" t="str">
            <v>West</v>
          </cell>
          <cell r="M7" t="str">
            <v>Same Day</v>
          </cell>
          <cell r="N7">
            <v>3</v>
          </cell>
          <cell r="P7">
            <v>0.2</v>
          </cell>
        </row>
        <row r="8">
          <cell r="G8" t="str">
            <v>East</v>
          </cell>
          <cell r="M8" t="str">
            <v>Standard Class</v>
          </cell>
          <cell r="N8">
            <v>4</v>
          </cell>
          <cell r="P8">
            <v>0.15</v>
          </cell>
        </row>
        <row r="9">
          <cell r="G9" t="str">
            <v>South</v>
          </cell>
          <cell r="M9" t="str">
            <v>First Class</v>
          </cell>
          <cell r="N9">
            <v>1</v>
          </cell>
          <cell r="P9">
            <v>0</v>
          </cell>
        </row>
        <row r="10">
          <cell r="G10" t="str">
            <v>South</v>
          </cell>
          <cell r="M10" t="str">
            <v>First Class</v>
          </cell>
          <cell r="N10">
            <v>8</v>
          </cell>
          <cell r="P10">
            <v>0</v>
          </cell>
        </row>
        <row r="11">
          <cell r="G11" t="str">
            <v>South</v>
          </cell>
          <cell r="M11" t="str">
            <v>Second Class</v>
          </cell>
          <cell r="N11">
            <v>9</v>
          </cell>
          <cell r="P11">
            <v>0.2</v>
          </cell>
        </row>
        <row r="12">
          <cell r="G12" t="str">
            <v>East</v>
          </cell>
          <cell r="M12" t="str">
            <v>Second Class</v>
          </cell>
          <cell r="N12">
            <v>3</v>
          </cell>
          <cell r="P12">
            <v>0.05</v>
          </cell>
        </row>
        <row r="13">
          <cell r="G13" t="str">
            <v>East</v>
          </cell>
          <cell r="M13" t="str">
            <v>Same Day</v>
          </cell>
          <cell r="N13">
            <v>6</v>
          </cell>
          <cell r="P13">
            <v>0.2</v>
          </cell>
        </row>
        <row r="14">
          <cell r="G14" t="str">
            <v>West</v>
          </cell>
          <cell r="M14" t="str">
            <v>First Class</v>
          </cell>
          <cell r="N14">
            <v>1</v>
          </cell>
          <cell r="P14">
            <v>0.15</v>
          </cell>
        </row>
        <row r="15">
          <cell r="G15" t="str">
            <v>West</v>
          </cell>
          <cell r="M15" t="str">
            <v>Second Class</v>
          </cell>
          <cell r="N15">
            <v>7</v>
          </cell>
          <cell r="P15">
            <v>0.05</v>
          </cell>
        </row>
        <row r="16">
          <cell r="G16" t="str">
            <v>West</v>
          </cell>
          <cell r="M16" t="str">
            <v>Standard Class</v>
          </cell>
          <cell r="N16">
            <v>2</v>
          </cell>
          <cell r="P16">
            <v>0.25</v>
          </cell>
        </row>
        <row r="17">
          <cell r="G17" t="str">
            <v>North</v>
          </cell>
          <cell r="M17" t="str">
            <v>Second Class</v>
          </cell>
          <cell r="N17">
            <v>6</v>
          </cell>
          <cell r="P17">
            <v>0</v>
          </cell>
        </row>
        <row r="18">
          <cell r="G18" t="str">
            <v>South</v>
          </cell>
          <cell r="M18" t="str">
            <v>First Class</v>
          </cell>
          <cell r="N18">
            <v>4</v>
          </cell>
          <cell r="P18">
            <v>0.25</v>
          </cell>
        </row>
        <row r="19">
          <cell r="G19" t="str">
            <v>North</v>
          </cell>
          <cell r="M19" t="str">
            <v>Same Day</v>
          </cell>
          <cell r="N19">
            <v>5</v>
          </cell>
          <cell r="P19">
            <v>0</v>
          </cell>
        </row>
        <row r="20">
          <cell r="G20" t="str">
            <v>North</v>
          </cell>
          <cell r="M20" t="str">
            <v>First Class</v>
          </cell>
          <cell r="N20">
            <v>2</v>
          </cell>
          <cell r="P20">
            <v>0</v>
          </cell>
        </row>
        <row r="21">
          <cell r="G21" t="str">
            <v>West</v>
          </cell>
          <cell r="M21" t="str">
            <v>Second Class</v>
          </cell>
          <cell r="N21">
            <v>3</v>
          </cell>
          <cell r="P21">
            <v>-0.19</v>
          </cell>
        </row>
        <row r="22">
          <cell r="G22" t="str">
            <v>East</v>
          </cell>
          <cell r="M22" t="str">
            <v>First Class</v>
          </cell>
          <cell r="N22">
            <v>5</v>
          </cell>
          <cell r="P22">
            <v>0.25</v>
          </cell>
        </row>
        <row r="23">
          <cell r="G23" t="str">
            <v>West</v>
          </cell>
          <cell r="M23" t="str">
            <v>Second Class</v>
          </cell>
          <cell r="N23">
            <v>4</v>
          </cell>
          <cell r="P23">
            <v>-0.23</v>
          </cell>
        </row>
        <row r="24">
          <cell r="G24" t="str">
            <v>South</v>
          </cell>
          <cell r="M24" t="str">
            <v>Standard Class</v>
          </cell>
          <cell r="N24">
            <v>8</v>
          </cell>
          <cell r="P24">
            <v>0.15</v>
          </cell>
        </row>
        <row r="25">
          <cell r="G25" t="str">
            <v>East</v>
          </cell>
          <cell r="M25" t="str">
            <v>First Class</v>
          </cell>
          <cell r="N25">
            <v>4</v>
          </cell>
          <cell r="P25">
            <v>0.2</v>
          </cell>
        </row>
        <row r="26">
          <cell r="G26" t="str">
            <v>North</v>
          </cell>
          <cell r="M26" t="str">
            <v>Standard Class</v>
          </cell>
          <cell r="N26">
            <v>4</v>
          </cell>
          <cell r="P26">
            <v>0.25</v>
          </cell>
        </row>
        <row r="27">
          <cell r="G27" t="str">
            <v>East</v>
          </cell>
          <cell r="M27" t="str">
            <v>First Class</v>
          </cell>
          <cell r="N27">
            <v>2</v>
          </cell>
          <cell r="P27">
            <v>0.15</v>
          </cell>
        </row>
        <row r="28">
          <cell r="G28" t="str">
            <v>North</v>
          </cell>
          <cell r="M28" t="str">
            <v>Standard Class</v>
          </cell>
          <cell r="N28">
            <v>4</v>
          </cell>
          <cell r="P28">
            <v>0.1</v>
          </cell>
        </row>
        <row r="29">
          <cell r="G29" t="str">
            <v>South</v>
          </cell>
          <cell r="M29" t="str">
            <v>Second Class</v>
          </cell>
          <cell r="N29">
            <v>5</v>
          </cell>
          <cell r="P29">
            <v>0.25</v>
          </cell>
        </row>
        <row r="30">
          <cell r="G30" t="str">
            <v>West</v>
          </cell>
          <cell r="M30" t="str">
            <v>Second Class</v>
          </cell>
          <cell r="N30">
            <v>2</v>
          </cell>
          <cell r="P30">
            <v>0.25</v>
          </cell>
        </row>
        <row r="31">
          <cell r="G31" t="str">
            <v>South</v>
          </cell>
          <cell r="M31" t="str">
            <v>Standard Class</v>
          </cell>
          <cell r="N31">
            <v>1</v>
          </cell>
          <cell r="P31">
            <v>0.15</v>
          </cell>
        </row>
        <row r="32">
          <cell r="G32" t="str">
            <v>West</v>
          </cell>
          <cell r="M32" t="str">
            <v>First Class</v>
          </cell>
          <cell r="N32">
            <v>1</v>
          </cell>
          <cell r="P32">
            <v>0.1</v>
          </cell>
        </row>
        <row r="33">
          <cell r="G33" t="str">
            <v>West</v>
          </cell>
          <cell r="M33" t="str">
            <v>Second Class</v>
          </cell>
          <cell r="N33">
            <v>9</v>
          </cell>
          <cell r="P33">
            <v>0</v>
          </cell>
        </row>
        <row r="34">
          <cell r="G34" t="str">
            <v>South</v>
          </cell>
          <cell r="M34" t="str">
            <v>Second Class</v>
          </cell>
          <cell r="N34">
            <v>3</v>
          </cell>
        </row>
        <row r="35">
          <cell r="G35" t="str">
            <v>West</v>
          </cell>
          <cell r="M35" t="str">
            <v>Same Day</v>
          </cell>
          <cell r="N35">
            <v>7</v>
          </cell>
          <cell r="P35">
            <v>0.25</v>
          </cell>
        </row>
        <row r="36">
          <cell r="G36" t="str">
            <v>East</v>
          </cell>
          <cell r="M36" t="str">
            <v/>
          </cell>
          <cell r="N36">
            <v>2</v>
          </cell>
          <cell r="P36">
            <v>0.2</v>
          </cell>
        </row>
        <row r="37">
          <cell r="G37" t="str">
            <v>West</v>
          </cell>
          <cell r="M37" t="str">
            <v>Second Class</v>
          </cell>
          <cell r="N37">
            <v>8</v>
          </cell>
          <cell r="P37">
            <v>0.05</v>
          </cell>
        </row>
        <row r="38">
          <cell r="G38" t="str">
            <v>West</v>
          </cell>
          <cell r="M38" t="str">
            <v>Second Class</v>
          </cell>
          <cell r="N38">
            <v>3</v>
          </cell>
          <cell r="P38">
            <v>0</v>
          </cell>
        </row>
        <row r="39">
          <cell r="G39" t="str">
            <v>West</v>
          </cell>
          <cell r="M39" t="str">
            <v>Standard Class</v>
          </cell>
          <cell r="N39">
            <v>4</v>
          </cell>
          <cell r="P39">
            <v>0.2</v>
          </cell>
        </row>
        <row r="40">
          <cell r="G40" t="str">
            <v>West</v>
          </cell>
          <cell r="M40" t="str">
            <v>First Class</v>
          </cell>
          <cell r="N40">
            <v>7</v>
          </cell>
          <cell r="P40">
            <v>0.1</v>
          </cell>
        </row>
        <row r="41">
          <cell r="G41" t="str">
            <v>West</v>
          </cell>
          <cell r="M41" t="str">
            <v>First Class</v>
          </cell>
          <cell r="N41">
            <v>4</v>
          </cell>
          <cell r="P41">
            <v>0.1</v>
          </cell>
        </row>
        <row r="42">
          <cell r="G42" t="str">
            <v>West</v>
          </cell>
          <cell r="M42" t="str">
            <v>Standard Class</v>
          </cell>
          <cell r="N42">
            <v>7</v>
          </cell>
          <cell r="P42">
            <v>0.2</v>
          </cell>
        </row>
        <row r="43">
          <cell r="G43" t="str">
            <v>East</v>
          </cell>
          <cell r="M43" t="str">
            <v>Same Day</v>
          </cell>
          <cell r="N43">
            <v>8</v>
          </cell>
          <cell r="P43">
            <v>0</v>
          </cell>
        </row>
        <row r="44">
          <cell r="G44" t="str">
            <v>East</v>
          </cell>
          <cell r="M44" t="str">
            <v>Standard Class</v>
          </cell>
          <cell r="N44">
            <v>8</v>
          </cell>
          <cell r="P44">
            <v>0.05</v>
          </cell>
        </row>
        <row r="45">
          <cell r="G45" t="str">
            <v>East</v>
          </cell>
          <cell r="M45" t="str">
            <v>Same Day</v>
          </cell>
          <cell r="N45">
            <v>3</v>
          </cell>
          <cell r="P45">
            <v>0</v>
          </cell>
        </row>
        <row r="46">
          <cell r="G46" t="str">
            <v>North</v>
          </cell>
          <cell r="M46" t="str">
            <v>Standard Class</v>
          </cell>
          <cell r="N46">
            <v>9</v>
          </cell>
          <cell r="P46">
            <v>0.1</v>
          </cell>
        </row>
        <row r="47">
          <cell r="G47" t="str">
            <v>East</v>
          </cell>
          <cell r="M47" t="str">
            <v>Second Class</v>
          </cell>
          <cell r="N47">
            <v>8</v>
          </cell>
          <cell r="P47">
            <v>0.05</v>
          </cell>
        </row>
        <row r="48">
          <cell r="G48" t="str">
            <v>South</v>
          </cell>
          <cell r="M48" t="str">
            <v>Standard Class</v>
          </cell>
          <cell r="N48">
            <v>9</v>
          </cell>
          <cell r="P48">
            <v>0.25</v>
          </cell>
        </row>
        <row r="49">
          <cell r="G49" t="str">
            <v>South</v>
          </cell>
          <cell r="M49" t="str">
            <v>Standard Class</v>
          </cell>
          <cell r="N49">
            <v>8</v>
          </cell>
          <cell r="P49">
            <v>0.1</v>
          </cell>
        </row>
        <row r="50">
          <cell r="G50" t="str">
            <v>West</v>
          </cell>
          <cell r="M50" t="str">
            <v>Second Class</v>
          </cell>
          <cell r="N50">
            <v>7</v>
          </cell>
          <cell r="P50">
            <v>0</v>
          </cell>
        </row>
        <row r="51">
          <cell r="G51" t="str">
            <v>North</v>
          </cell>
          <cell r="M51" t="str">
            <v>Second Class</v>
          </cell>
          <cell r="N51">
            <v>9</v>
          </cell>
          <cell r="P51">
            <v>0.05</v>
          </cell>
        </row>
        <row r="52">
          <cell r="G52" t="str">
            <v>East</v>
          </cell>
          <cell r="M52" t="str">
            <v>Standard Class</v>
          </cell>
          <cell r="N52">
            <v>1</v>
          </cell>
          <cell r="P52">
            <v>0.15</v>
          </cell>
        </row>
        <row r="53">
          <cell r="G53" t="str">
            <v>South</v>
          </cell>
          <cell r="M53" t="str">
            <v>Standard Class</v>
          </cell>
          <cell r="N53">
            <v>6</v>
          </cell>
          <cell r="P53">
            <v>0</v>
          </cell>
        </row>
        <row r="54">
          <cell r="G54" t="str">
            <v>North</v>
          </cell>
          <cell r="M54" t="str">
            <v>First Class</v>
          </cell>
          <cell r="N54">
            <v>9</v>
          </cell>
          <cell r="P54">
            <v>0</v>
          </cell>
        </row>
        <row r="55">
          <cell r="G55" t="str">
            <v>West</v>
          </cell>
          <cell r="M55" t="str">
            <v>First Class</v>
          </cell>
          <cell r="N55">
            <v>5</v>
          </cell>
          <cell r="P55">
            <v>0.15</v>
          </cell>
        </row>
        <row r="56">
          <cell r="G56" t="str">
            <v>South</v>
          </cell>
          <cell r="M56" t="str">
            <v>Same Day</v>
          </cell>
          <cell r="N56">
            <v>8</v>
          </cell>
          <cell r="P56">
            <v>0.1</v>
          </cell>
        </row>
        <row r="57">
          <cell r="G57" t="str">
            <v>South</v>
          </cell>
          <cell r="M57" t="str">
            <v>Same Day</v>
          </cell>
          <cell r="N57">
            <v>3</v>
          </cell>
          <cell r="P57">
            <v>0.25</v>
          </cell>
        </row>
        <row r="58">
          <cell r="G58" t="str">
            <v>South</v>
          </cell>
          <cell r="M58" t="str">
            <v>Second Class</v>
          </cell>
          <cell r="N58">
            <v>3</v>
          </cell>
          <cell r="P58">
            <v>0</v>
          </cell>
        </row>
        <row r="59">
          <cell r="G59" t="str">
            <v>West</v>
          </cell>
          <cell r="M59" t="str">
            <v>Same Day</v>
          </cell>
          <cell r="N59">
            <v>5</v>
          </cell>
          <cell r="P59">
            <v>0</v>
          </cell>
        </row>
        <row r="60">
          <cell r="G60" t="str">
            <v>North</v>
          </cell>
          <cell r="M60" t="str">
            <v/>
          </cell>
          <cell r="N60">
            <v>9</v>
          </cell>
          <cell r="P60">
            <v>0.1</v>
          </cell>
        </row>
        <row r="61">
          <cell r="G61" t="str">
            <v>East</v>
          </cell>
          <cell r="M61" t="str">
            <v>Same Day</v>
          </cell>
          <cell r="N61">
            <v>5</v>
          </cell>
          <cell r="P61">
            <v>0.2</v>
          </cell>
        </row>
        <row r="62">
          <cell r="G62" t="str">
            <v>East</v>
          </cell>
          <cell r="M62" t="str">
            <v>Same Day</v>
          </cell>
          <cell r="N62">
            <v>3</v>
          </cell>
          <cell r="P62">
            <v>0.2</v>
          </cell>
        </row>
        <row r="63">
          <cell r="G63" t="str">
            <v>East</v>
          </cell>
          <cell r="M63" t="str">
            <v>Standard Class</v>
          </cell>
          <cell r="N63">
            <v>1</v>
          </cell>
          <cell r="P63">
            <v>0</v>
          </cell>
        </row>
        <row r="64">
          <cell r="G64" t="str">
            <v>North</v>
          </cell>
          <cell r="M64" t="str">
            <v>Standard Class</v>
          </cell>
          <cell r="N64">
            <v>9</v>
          </cell>
          <cell r="P64">
            <v>0.2</v>
          </cell>
        </row>
        <row r="65">
          <cell r="G65" t="str">
            <v>North</v>
          </cell>
          <cell r="M65" t="str">
            <v>Same Day</v>
          </cell>
          <cell r="N65">
            <v>2</v>
          </cell>
          <cell r="P65">
            <v>0.15</v>
          </cell>
        </row>
        <row r="66">
          <cell r="G66" t="str">
            <v>East</v>
          </cell>
          <cell r="M66" t="str">
            <v>First Class</v>
          </cell>
          <cell r="N66">
            <v>7</v>
          </cell>
          <cell r="P66">
            <v>0</v>
          </cell>
        </row>
        <row r="67">
          <cell r="G67" t="str">
            <v>West</v>
          </cell>
          <cell r="M67" t="str">
            <v>Second Class</v>
          </cell>
          <cell r="N67">
            <v>1</v>
          </cell>
          <cell r="P67">
            <v>0.05</v>
          </cell>
        </row>
        <row r="68">
          <cell r="G68" t="str">
            <v>South</v>
          </cell>
          <cell r="M68" t="str">
            <v>Same Day</v>
          </cell>
          <cell r="N68">
            <v>7</v>
          </cell>
          <cell r="P68">
            <v>0.05</v>
          </cell>
        </row>
        <row r="69">
          <cell r="G69" t="str">
            <v>North</v>
          </cell>
          <cell r="M69" t="str">
            <v>First Class</v>
          </cell>
          <cell r="N69">
            <v>7</v>
          </cell>
          <cell r="P69">
            <v>0.05</v>
          </cell>
        </row>
        <row r="70">
          <cell r="G70" t="str">
            <v>East</v>
          </cell>
          <cell r="M70" t="str">
            <v>Second Class</v>
          </cell>
          <cell r="N70">
            <v>9</v>
          </cell>
          <cell r="P70">
            <v>0</v>
          </cell>
        </row>
        <row r="71">
          <cell r="G71" t="str">
            <v>West</v>
          </cell>
          <cell r="M71" t="str">
            <v>Same Day</v>
          </cell>
          <cell r="N71">
            <v>7</v>
          </cell>
          <cell r="P71">
            <v>0.1</v>
          </cell>
        </row>
        <row r="72">
          <cell r="G72" t="str">
            <v>South</v>
          </cell>
          <cell r="M72" t="str">
            <v>First Class</v>
          </cell>
          <cell r="N72">
            <v>2</v>
          </cell>
          <cell r="P72">
            <v>0.15</v>
          </cell>
        </row>
        <row r="73">
          <cell r="G73" t="str">
            <v>West</v>
          </cell>
          <cell r="M73" t="str">
            <v>Standard Class</v>
          </cell>
          <cell r="N73">
            <v>6</v>
          </cell>
          <cell r="P73">
            <v>0.1</v>
          </cell>
        </row>
        <row r="74">
          <cell r="G74" t="str">
            <v>South</v>
          </cell>
          <cell r="M74" t="str">
            <v>First Class</v>
          </cell>
          <cell r="N74">
            <v>7</v>
          </cell>
          <cell r="P74">
            <v>0.15</v>
          </cell>
        </row>
        <row r="75">
          <cell r="G75" t="str">
            <v>East</v>
          </cell>
          <cell r="M75" t="str">
            <v>First Class</v>
          </cell>
          <cell r="N75">
            <v>5</v>
          </cell>
          <cell r="P75">
            <v>0</v>
          </cell>
        </row>
        <row r="76">
          <cell r="G76" t="str">
            <v>East</v>
          </cell>
          <cell r="M76" t="str">
            <v>Standard Class</v>
          </cell>
          <cell r="N76">
            <v>6</v>
          </cell>
          <cell r="P76">
            <v>0</v>
          </cell>
        </row>
        <row r="77">
          <cell r="G77" t="str">
            <v>East</v>
          </cell>
          <cell r="M77" t="str">
            <v>First Class</v>
          </cell>
          <cell r="N77">
            <v>3</v>
          </cell>
          <cell r="P77">
            <v>0.2</v>
          </cell>
        </row>
        <row r="78">
          <cell r="G78" t="str">
            <v>East</v>
          </cell>
          <cell r="M78" t="str">
            <v>Second Class</v>
          </cell>
          <cell r="N78">
            <v>3</v>
          </cell>
          <cell r="P78">
            <v>0</v>
          </cell>
        </row>
        <row r="79">
          <cell r="G79" t="str">
            <v>North</v>
          </cell>
          <cell r="M79" t="str">
            <v>Standard Class</v>
          </cell>
          <cell r="N79">
            <v>1</v>
          </cell>
          <cell r="P79">
            <v>0.15</v>
          </cell>
        </row>
        <row r="80">
          <cell r="G80" t="str">
            <v>East</v>
          </cell>
          <cell r="M80" t="str">
            <v>First Class</v>
          </cell>
          <cell r="N80">
            <v>5</v>
          </cell>
          <cell r="P80">
            <v>0.15</v>
          </cell>
        </row>
        <row r="81">
          <cell r="G81" t="str">
            <v>South</v>
          </cell>
          <cell r="M81" t="str">
            <v>Same Day</v>
          </cell>
          <cell r="N81">
            <v>9</v>
          </cell>
          <cell r="P81">
            <v>0.1</v>
          </cell>
        </row>
        <row r="82">
          <cell r="G82" t="str">
            <v>North</v>
          </cell>
          <cell r="M82" t="str">
            <v>Second Class</v>
          </cell>
          <cell r="N82">
            <v>4</v>
          </cell>
          <cell r="P82">
            <v>0.1</v>
          </cell>
        </row>
        <row r="83">
          <cell r="G83" t="str">
            <v>West</v>
          </cell>
          <cell r="M83" t="str">
            <v>Same Day</v>
          </cell>
          <cell r="N83">
            <v>3</v>
          </cell>
          <cell r="P83">
            <v>0</v>
          </cell>
        </row>
        <row r="84">
          <cell r="G84" t="str">
            <v>North</v>
          </cell>
          <cell r="M84" t="str">
            <v>Second Class</v>
          </cell>
          <cell r="N84">
            <v>6</v>
          </cell>
          <cell r="P84">
            <v>0</v>
          </cell>
        </row>
        <row r="85">
          <cell r="G85" t="str">
            <v>West</v>
          </cell>
          <cell r="M85" t="str">
            <v>Second Class</v>
          </cell>
          <cell r="N85">
            <v>9</v>
          </cell>
          <cell r="P85">
            <v>0.2</v>
          </cell>
        </row>
        <row r="86">
          <cell r="G86" t="str">
            <v>South</v>
          </cell>
          <cell r="M86" t="str">
            <v>Second Class</v>
          </cell>
          <cell r="N86">
            <v>6</v>
          </cell>
          <cell r="P86">
            <v>0.2</v>
          </cell>
        </row>
        <row r="87">
          <cell r="G87" t="str">
            <v>North</v>
          </cell>
          <cell r="M87" t="str">
            <v>Standard Class</v>
          </cell>
          <cell r="N87">
            <v>1</v>
          </cell>
          <cell r="P87">
            <v>0</v>
          </cell>
        </row>
        <row r="88">
          <cell r="G88" t="str">
            <v>North</v>
          </cell>
          <cell r="M88" t="str">
            <v>Second Class</v>
          </cell>
          <cell r="N88">
            <v>3</v>
          </cell>
          <cell r="P88">
            <v>0.1</v>
          </cell>
        </row>
        <row r="89">
          <cell r="G89" t="str">
            <v>East</v>
          </cell>
          <cell r="M89" t="str">
            <v>Standard Class</v>
          </cell>
          <cell r="N89">
            <v>7</v>
          </cell>
          <cell r="P89">
            <v>0</v>
          </cell>
        </row>
        <row r="90">
          <cell r="G90" t="str">
            <v>West</v>
          </cell>
          <cell r="M90" t="str">
            <v>Standard Class</v>
          </cell>
          <cell r="N90">
            <v>2</v>
          </cell>
          <cell r="P90">
            <v>0.05</v>
          </cell>
        </row>
        <row r="91">
          <cell r="G91" t="str">
            <v>South</v>
          </cell>
          <cell r="M91" t="str">
            <v>Standard Class</v>
          </cell>
          <cell r="N91">
            <v>7</v>
          </cell>
          <cell r="P91">
            <v>0.2</v>
          </cell>
        </row>
        <row r="92">
          <cell r="G92" t="str">
            <v>East</v>
          </cell>
          <cell r="M92" t="str">
            <v>First Class</v>
          </cell>
          <cell r="N92">
            <v>3</v>
          </cell>
          <cell r="P92">
            <v>0.15</v>
          </cell>
        </row>
        <row r="93">
          <cell r="G93" t="str">
            <v>West</v>
          </cell>
          <cell r="M93" t="str">
            <v>Second Class</v>
          </cell>
          <cell r="N93">
            <v>9</v>
          </cell>
          <cell r="P93">
            <v>0</v>
          </cell>
        </row>
        <row r="94">
          <cell r="G94" t="str">
            <v>West</v>
          </cell>
          <cell r="M94" t="str">
            <v>Standard Class</v>
          </cell>
          <cell r="N94">
            <v>9</v>
          </cell>
          <cell r="P94">
            <v>0.1</v>
          </cell>
        </row>
        <row r="95">
          <cell r="G95" t="str">
            <v>North</v>
          </cell>
          <cell r="M95" t="str">
            <v>Standard Class</v>
          </cell>
          <cell r="N95">
            <v>7</v>
          </cell>
          <cell r="P95">
            <v>-0.09</v>
          </cell>
        </row>
        <row r="96">
          <cell r="G96" t="str">
            <v>North</v>
          </cell>
          <cell r="M96" t="str">
            <v>Second Class</v>
          </cell>
          <cell r="N96">
            <v>7</v>
          </cell>
          <cell r="P96">
            <v>0</v>
          </cell>
        </row>
        <row r="97">
          <cell r="G97" t="str">
            <v>West</v>
          </cell>
          <cell r="M97" t="str">
            <v>Same Day</v>
          </cell>
          <cell r="N97">
            <v>6</v>
          </cell>
          <cell r="P97">
            <v>0</v>
          </cell>
        </row>
        <row r="98">
          <cell r="G98" t="str">
            <v>East</v>
          </cell>
          <cell r="M98" t="str">
            <v>Second Class</v>
          </cell>
          <cell r="N98">
            <v>2</v>
          </cell>
          <cell r="P98">
            <v>0.15</v>
          </cell>
        </row>
        <row r="99">
          <cell r="G99" t="str">
            <v>West</v>
          </cell>
          <cell r="M99" t="str">
            <v>Same Day</v>
          </cell>
          <cell r="N99">
            <v>5</v>
          </cell>
          <cell r="P99">
            <v>0.2</v>
          </cell>
        </row>
        <row r="100">
          <cell r="G100" t="str">
            <v>South</v>
          </cell>
          <cell r="M100" t="str">
            <v/>
          </cell>
          <cell r="N100">
            <v>8</v>
          </cell>
          <cell r="P100">
            <v>0.1</v>
          </cell>
        </row>
        <row r="101">
          <cell r="G101" t="str">
            <v>West</v>
          </cell>
          <cell r="M101" t="str">
            <v>Same Day</v>
          </cell>
          <cell r="N101">
            <v>3</v>
          </cell>
          <cell r="P101">
            <v>0</v>
          </cell>
        </row>
        <row r="102">
          <cell r="G102" t="str">
            <v>South</v>
          </cell>
          <cell r="M102" t="str">
            <v>Standard Class</v>
          </cell>
          <cell r="N102">
            <v>6</v>
          </cell>
          <cell r="P102">
            <v>0.05</v>
          </cell>
        </row>
        <row r="103">
          <cell r="G103" t="str">
            <v>East</v>
          </cell>
          <cell r="M103" t="str">
            <v>First Class</v>
          </cell>
          <cell r="N103">
            <v>5</v>
          </cell>
          <cell r="P103">
            <v>0.25</v>
          </cell>
        </row>
        <row r="104">
          <cell r="G104" t="str">
            <v>South</v>
          </cell>
          <cell r="M104" t="str">
            <v>First Class</v>
          </cell>
          <cell r="N104">
            <v>4</v>
          </cell>
          <cell r="P104">
            <v>0</v>
          </cell>
        </row>
        <row r="105">
          <cell r="G105" t="str">
            <v>West</v>
          </cell>
          <cell r="M105" t="str">
            <v>First Class</v>
          </cell>
          <cell r="N105">
            <v>4</v>
          </cell>
          <cell r="P105">
            <v>0.2</v>
          </cell>
        </row>
        <row r="106">
          <cell r="G106" t="str">
            <v>South</v>
          </cell>
          <cell r="M106" t="str">
            <v>Same Day</v>
          </cell>
          <cell r="N106">
            <v>5</v>
          </cell>
          <cell r="P106">
            <v>0.25</v>
          </cell>
        </row>
        <row r="107">
          <cell r="G107" t="str">
            <v>East</v>
          </cell>
          <cell r="M107" t="str">
            <v>Second Class</v>
          </cell>
          <cell r="N107">
            <v>2</v>
          </cell>
          <cell r="P107">
            <v>0.1</v>
          </cell>
        </row>
        <row r="108">
          <cell r="G108" t="str">
            <v>East</v>
          </cell>
          <cell r="M108" t="str">
            <v>Standard Class</v>
          </cell>
          <cell r="N108">
            <v>2</v>
          </cell>
        </row>
        <row r="109">
          <cell r="G109" t="str">
            <v>East</v>
          </cell>
          <cell r="M109" t="str">
            <v>First Class</v>
          </cell>
          <cell r="N109">
            <v>3</v>
          </cell>
          <cell r="P109">
            <v>0.05</v>
          </cell>
        </row>
        <row r="110">
          <cell r="G110" t="str">
            <v>East</v>
          </cell>
          <cell r="M110" t="str">
            <v>Same Day</v>
          </cell>
          <cell r="N110">
            <v>2</v>
          </cell>
          <cell r="P110">
            <v>0.25</v>
          </cell>
        </row>
        <row r="111">
          <cell r="G111" t="str">
            <v>North</v>
          </cell>
          <cell r="M111" t="str">
            <v>Second Class</v>
          </cell>
          <cell r="N111">
            <v>1</v>
          </cell>
          <cell r="P111">
            <v>0.25</v>
          </cell>
        </row>
        <row r="112">
          <cell r="G112" t="str">
            <v>South</v>
          </cell>
          <cell r="M112" t="str">
            <v>First Class</v>
          </cell>
          <cell r="N112">
            <v>2</v>
          </cell>
          <cell r="P112">
            <v>0</v>
          </cell>
        </row>
        <row r="113">
          <cell r="G113" t="str">
            <v>East</v>
          </cell>
          <cell r="M113" t="str">
            <v>First Class</v>
          </cell>
          <cell r="N113">
            <v>1</v>
          </cell>
          <cell r="P113">
            <v>0.05</v>
          </cell>
        </row>
        <row r="114">
          <cell r="G114" t="str">
            <v/>
          </cell>
          <cell r="M114" t="str">
            <v>Standard Class</v>
          </cell>
          <cell r="N114">
            <v>3</v>
          </cell>
          <cell r="P114">
            <v>0.05</v>
          </cell>
        </row>
        <row r="115">
          <cell r="G115" t="str">
            <v>South</v>
          </cell>
          <cell r="M115" t="str">
            <v>Standard Class</v>
          </cell>
          <cell r="N115">
            <v>3</v>
          </cell>
          <cell r="P115">
            <v>0.25</v>
          </cell>
        </row>
        <row r="116">
          <cell r="G116" t="str">
            <v>North</v>
          </cell>
          <cell r="M116" t="str">
            <v>Second Class</v>
          </cell>
          <cell r="N116">
            <v>1</v>
          </cell>
          <cell r="P116">
            <v>0.1</v>
          </cell>
        </row>
        <row r="117">
          <cell r="G117" t="str">
            <v>South</v>
          </cell>
          <cell r="M117" t="str">
            <v>Same Day</v>
          </cell>
          <cell r="N117">
            <v>2</v>
          </cell>
          <cell r="P117">
            <v>0.15</v>
          </cell>
        </row>
        <row r="118">
          <cell r="G118" t="str">
            <v/>
          </cell>
          <cell r="M118" t="str">
            <v>First Class</v>
          </cell>
          <cell r="N118">
            <v>9</v>
          </cell>
          <cell r="P118">
            <v>0.25</v>
          </cell>
        </row>
        <row r="119">
          <cell r="G119" t="str">
            <v>South</v>
          </cell>
          <cell r="M119" t="str">
            <v>Standard Class</v>
          </cell>
          <cell r="N119">
            <v>9</v>
          </cell>
          <cell r="P119" t="str">
            <v>70%</v>
          </cell>
        </row>
        <row r="120">
          <cell r="G120" t="str">
            <v>South</v>
          </cell>
          <cell r="M120" t="str">
            <v>Same Day</v>
          </cell>
          <cell r="N120">
            <v>5</v>
          </cell>
          <cell r="P120">
            <v>0.2</v>
          </cell>
        </row>
        <row r="121">
          <cell r="G121" t="str">
            <v>South</v>
          </cell>
          <cell r="M121" t="str">
            <v>Standard Class</v>
          </cell>
          <cell r="N121">
            <v>8</v>
          </cell>
          <cell r="P121">
            <v>0.25</v>
          </cell>
        </row>
        <row r="122">
          <cell r="G122" t="str">
            <v>East</v>
          </cell>
          <cell r="M122" t="str">
            <v>Standard Class</v>
          </cell>
          <cell r="N122">
            <v>1</v>
          </cell>
          <cell r="P122">
            <v>0.2</v>
          </cell>
        </row>
        <row r="123">
          <cell r="G123" t="str">
            <v>South</v>
          </cell>
          <cell r="M123" t="str">
            <v>Second Class</v>
          </cell>
          <cell r="N123">
            <v>5</v>
          </cell>
          <cell r="P123">
            <v>0</v>
          </cell>
        </row>
        <row r="124">
          <cell r="G124" t="str">
            <v>East</v>
          </cell>
          <cell r="M124" t="str">
            <v>Second Class</v>
          </cell>
          <cell r="N124">
            <v>3</v>
          </cell>
          <cell r="P124">
            <v>0</v>
          </cell>
        </row>
        <row r="125">
          <cell r="G125" t="str">
            <v>North</v>
          </cell>
          <cell r="M125" t="str">
            <v>Same Day</v>
          </cell>
          <cell r="N125">
            <v>1</v>
          </cell>
          <cell r="P125">
            <v>0</v>
          </cell>
        </row>
        <row r="126">
          <cell r="G126" t="str">
            <v>South</v>
          </cell>
          <cell r="M126" t="str">
            <v>Standard Class</v>
          </cell>
          <cell r="N126">
            <v>9</v>
          </cell>
          <cell r="P126">
            <v>-0.15</v>
          </cell>
        </row>
        <row r="127">
          <cell r="G127" t="str">
            <v>West</v>
          </cell>
          <cell r="M127" t="str">
            <v>Same Day</v>
          </cell>
          <cell r="N127">
            <v>6</v>
          </cell>
          <cell r="P127">
            <v>0.25</v>
          </cell>
        </row>
        <row r="128">
          <cell r="G128" t="str">
            <v>North</v>
          </cell>
          <cell r="M128" t="str">
            <v>Standard Class</v>
          </cell>
          <cell r="N128">
            <v>3</v>
          </cell>
          <cell r="P128">
            <v>0.1</v>
          </cell>
        </row>
        <row r="129">
          <cell r="G129" t="str">
            <v>West</v>
          </cell>
          <cell r="M129" t="str">
            <v>Second Class</v>
          </cell>
          <cell r="N129">
            <v>2</v>
          </cell>
          <cell r="P129">
            <v>0.05</v>
          </cell>
        </row>
        <row r="130">
          <cell r="G130" t="str">
            <v>East</v>
          </cell>
          <cell r="M130" t="str">
            <v>Standard Class</v>
          </cell>
          <cell r="N130">
            <v>5</v>
          </cell>
          <cell r="P130">
            <v>0.05</v>
          </cell>
        </row>
        <row r="131">
          <cell r="G131" t="str">
            <v>West</v>
          </cell>
          <cell r="M131" t="str">
            <v>Standard Class</v>
          </cell>
          <cell r="N131">
            <v>7</v>
          </cell>
          <cell r="P131">
            <v>0.05</v>
          </cell>
        </row>
        <row r="132">
          <cell r="G132" t="str">
            <v>West</v>
          </cell>
          <cell r="M132" t="str">
            <v>Same Day</v>
          </cell>
          <cell r="N132">
            <v>5</v>
          </cell>
          <cell r="P132">
            <v>0.2</v>
          </cell>
        </row>
        <row r="133">
          <cell r="G133" t="str">
            <v>East</v>
          </cell>
          <cell r="M133" t="str">
            <v>Same Day</v>
          </cell>
          <cell r="N133">
            <v>9</v>
          </cell>
          <cell r="P133">
            <v>0.2</v>
          </cell>
        </row>
        <row r="134">
          <cell r="G134" t="str">
            <v>East</v>
          </cell>
          <cell r="M134" t="str">
            <v>First Class</v>
          </cell>
          <cell r="N134">
            <v>2</v>
          </cell>
          <cell r="P134">
            <v>0</v>
          </cell>
        </row>
        <row r="135">
          <cell r="G135" t="str">
            <v>West</v>
          </cell>
          <cell r="M135" t="str">
            <v>Second Class</v>
          </cell>
          <cell r="N135">
            <v>8</v>
          </cell>
          <cell r="P135">
            <v>0.15</v>
          </cell>
        </row>
        <row r="136">
          <cell r="G136" t="str">
            <v>East</v>
          </cell>
          <cell r="M136" t="str">
            <v/>
          </cell>
          <cell r="N136">
            <v>5</v>
          </cell>
          <cell r="P136">
            <v>0.25</v>
          </cell>
        </row>
        <row r="137">
          <cell r="G137" t="str">
            <v>South</v>
          </cell>
          <cell r="M137" t="str">
            <v>Standard Class</v>
          </cell>
          <cell r="N137">
            <v>1</v>
          </cell>
          <cell r="P137">
            <v>0</v>
          </cell>
        </row>
        <row r="138">
          <cell r="G138" t="str">
            <v>East</v>
          </cell>
          <cell r="M138" t="str">
            <v>Standard Class</v>
          </cell>
          <cell r="N138">
            <v>9</v>
          </cell>
          <cell r="P138">
            <v>0.2</v>
          </cell>
        </row>
        <row r="139">
          <cell r="G139" t="str">
            <v>North</v>
          </cell>
          <cell r="M139" t="str">
            <v>Same Day</v>
          </cell>
          <cell r="N139">
            <v>8</v>
          </cell>
          <cell r="P139">
            <v>0.1</v>
          </cell>
        </row>
        <row r="140">
          <cell r="G140" t="str">
            <v>East</v>
          </cell>
          <cell r="M140" t="str">
            <v>Standard Class</v>
          </cell>
          <cell r="N140">
            <v>8</v>
          </cell>
          <cell r="P140">
            <v>0.25</v>
          </cell>
        </row>
        <row r="141">
          <cell r="G141" t="str">
            <v>South</v>
          </cell>
          <cell r="M141" t="str">
            <v>Standard Class</v>
          </cell>
          <cell r="N141">
            <v>8</v>
          </cell>
          <cell r="P141">
            <v>0</v>
          </cell>
        </row>
        <row r="142">
          <cell r="G142" t="str">
            <v>South</v>
          </cell>
          <cell r="M142" t="str">
            <v>Same Day</v>
          </cell>
          <cell r="N142">
            <v>3</v>
          </cell>
          <cell r="P142">
            <v>0</v>
          </cell>
        </row>
        <row r="143">
          <cell r="G143" t="str">
            <v>North</v>
          </cell>
          <cell r="M143" t="str">
            <v>Same Day</v>
          </cell>
          <cell r="N143">
            <v>7</v>
          </cell>
          <cell r="P143">
            <v>0.1</v>
          </cell>
        </row>
        <row r="144">
          <cell r="G144" t="str">
            <v>North</v>
          </cell>
          <cell r="M144" t="str">
            <v>Second Class</v>
          </cell>
          <cell r="N144">
            <v>5</v>
          </cell>
          <cell r="P144">
            <v>0.15</v>
          </cell>
        </row>
        <row r="145">
          <cell r="G145" t="str">
            <v>West</v>
          </cell>
          <cell r="M145" t="str">
            <v>Second Class</v>
          </cell>
          <cell r="N145">
            <v>1</v>
          </cell>
          <cell r="P145">
            <v>0.1</v>
          </cell>
        </row>
        <row r="146">
          <cell r="G146" t="str">
            <v>South</v>
          </cell>
          <cell r="M146" t="str">
            <v>First Class</v>
          </cell>
          <cell r="N146">
            <v>7</v>
          </cell>
          <cell r="P146">
            <v>0.25</v>
          </cell>
        </row>
        <row r="147">
          <cell r="G147" t="str">
            <v>West</v>
          </cell>
          <cell r="M147" t="str">
            <v>Standard Class</v>
          </cell>
          <cell r="N147">
            <v>4</v>
          </cell>
          <cell r="P147">
            <v>0.1</v>
          </cell>
        </row>
        <row r="148">
          <cell r="G148" t="str">
            <v>South</v>
          </cell>
          <cell r="M148" t="str">
            <v>Same Day</v>
          </cell>
          <cell r="N148">
            <v>9</v>
          </cell>
          <cell r="P148">
            <v>0.1</v>
          </cell>
        </row>
        <row r="149">
          <cell r="G149" t="str">
            <v>West</v>
          </cell>
          <cell r="M149" t="str">
            <v>First Class</v>
          </cell>
          <cell r="N149">
            <v>8</v>
          </cell>
          <cell r="P149">
            <v>0.1</v>
          </cell>
        </row>
        <row r="150">
          <cell r="G150" t="str">
            <v>West</v>
          </cell>
          <cell r="M150" t="str">
            <v/>
          </cell>
          <cell r="N150">
            <v>8</v>
          </cell>
          <cell r="P150">
            <v>0.25</v>
          </cell>
        </row>
        <row r="151">
          <cell r="G151" t="str">
            <v>West</v>
          </cell>
          <cell r="M151" t="str">
            <v>Same Day</v>
          </cell>
          <cell r="N151">
            <v>7</v>
          </cell>
          <cell r="P151">
            <v>0.25</v>
          </cell>
        </row>
        <row r="152">
          <cell r="G152" t="str">
            <v/>
          </cell>
          <cell r="M152" t="str">
            <v>First Class</v>
          </cell>
          <cell r="N152">
            <v>1</v>
          </cell>
          <cell r="P152">
            <v>0.1</v>
          </cell>
        </row>
        <row r="153">
          <cell r="G153" t="str">
            <v/>
          </cell>
          <cell r="M153" t="str">
            <v>Standard Class</v>
          </cell>
          <cell r="N153">
            <v>2</v>
          </cell>
          <cell r="P153">
            <v>0</v>
          </cell>
        </row>
        <row r="154">
          <cell r="G154" t="str">
            <v>South</v>
          </cell>
          <cell r="M154" t="str">
            <v>Second Class</v>
          </cell>
          <cell r="N154">
            <v>6</v>
          </cell>
          <cell r="P154">
            <v>0.1</v>
          </cell>
        </row>
        <row r="155">
          <cell r="G155" t="str">
            <v>East</v>
          </cell>
          <cell r="M155" t="str">
            <v>Standard Class</v>
          </cell>
          <cell r="N155">
            <v>7</v>
          </cell>
          <cell r="P155">
            <v>0</v>
          </cell>
        </row>
        <row r="156">
          <cell r="G156" t="str">
            <v>South</v>
          </cell>
          <cell r="M156" t="str">
            <v>Same Day</v>
          </cell>
          <cell r="N156">
            <v>1</v>
          </cell>
          <cell r="P156">
            <v>0.15</v>
          </cell>
        </row>
        <row r="157">
          <cell r="G157" t="str">
            <v>West</v>
          </cell>
          <cell r="M157" t="str">
            <v>Same Day</v>
          </cell>
          <cell r="N157">
            <v>3</v>
          </cell>
          <cell r="P157">
            <v>0.1</v>
          </cell>
        </row>
        <row r="158">
          <cell r="G158" t="str">
            <v>East</v>
          </cell>
          <cell r="M158" t="str">
            <v>Second Class</v>
          </cell>
          <cell r="N158">
            <v>7</v>
          </cell>
          <cell r="P158">
            <v>0.25</v>
          </cell>
        </row>
        <row r="159">
          <cell r="G159" t="str">
            <v>South</v>
          </cell>
          <cell r="M159" t="str">
            <v>Standard Class</v>
          </cell>
          <cell r="N159">
            <v>3</v>
          </cell>
          <cell r="P159">
            <v>0.15</v>
          </cell>
        </row>
        <row r="160">
          <cell r="G160" t="str">
            <v>South</v>
          </cell>
          <cell r="M160" t="str">
            <v>First Class</v>
          </cell>
          <cell r="N160">
            <v>1</v>
          </cell>
          <cell r="P160">
            <v>0.05</v>
          </cell>
        </row>
        <row r="161">
          <cell r="G161" t="str">
            <v>North</v>
          </cell>
          <cell r="M161" t="str">
            <v>Same Day</v>
          </cell>
          <cell r="N161">
            <v>9</v>
          </cell>
          <cell r="P161">
            <v>0.15</v>
          </cell>
        </row>
        <row r="162">
          <cell r="G162" t="str">
            <v>West</v>
          </cell>
          <cell r="M162" t="str">
            <v>Second Class</v>
          </cell>
          <cell r="N162">
            <v>4</v>
          </cell>
          <cell r="P162">
            <v>0.05</v>
          </cell>
        </row>
        <row r="163">
          <cell r="G163" t="str">
            <v>West</v>
          </cell>
          <cell r="M163" t="str">
            <v>Standard Class</v>
          </cell>
          <cell r="N163">
            <v>1</v>
          </cell>
          <cell r="P163">
            <v>0</v>
          </cell>
        </row>
        <row r="164">
          <cell r="G164" t="str">
            <v>West</v>
          </cell>
          <cell r="M164" t="str">
            <v>Second Class</v>
          </cell>
          <cell r="N164">
            <v>8</v>
          </cell>
          <cell r="P164">
            <v>0</v>
          </cell>
        </row>
        <row r="165">
          <cell r="G165" t="str">
            <v>West</v>
          </cell>
          <cell r="M165" t="str">
            <v/>
          </cell>
          <cell r="N165">
            <v>6</v>
          </cell>
          <cell r="P165">
            <v>0.1</v>
          </cell>
        </row>
        <row r="166">
          <cell r="G166" t="str">
            <v>East</v>
          </cell>
          <cell r="M166" t="str">
            <v>Second Class</v>
          </cell>
          <cell r="N166">
            <v>1</v>
          </cell>
          <cell r="P166">
            <v>0.25</v>
          </cell>
        </row>
        <row r="167">
          <cell r="G167" t="str">
            <v>East</v>
          </cell>
          <cell r="M167" t="str">
            <v>Standard Class</v>
          </cell>
          <cell r="N167">
            <v>4</v>
          </cell>
          <cell r="P167">
            <v>0.25</v>
          </cell>
        </row>
        <row r="168">
          <cell r="G168" t="str">
            <v>West</v>
          </cell>
          <cell r="M168" t="str">
            <v>First Class</v>
          </cell>
          <cell r="N168">
            <v>1</v>
          </cell>
          <cell r="P168">
            <v>0.2</v>
          </cell>
        </row>
        <row r="169">
          <cell r="G169" t="str">
            <v>South</v>
          </cell>
          <cell r="M169" t="str">
            <v>First Class</v>
          </cell>
          <cell r="N169">
            <v>9</v>
          </cell>
          <cell r="P169">
            <v>0.15</v>
          </cell>
        </row>
        <row r="170">
          <cell r="G170" t="str">
            <v>West</v>
          </cell>
          <cell r="M170" t="str">
            <v>Same Day</v>
          </cell>
          <cell r="N170">
            <v>5</v>
          </cell>
          <cell r="P170">
            <v>0.2</v>
          </cell>
        </row>
        <row r="171">
          <cell r="G171" t="str">
            <v>East</v>
          </cell>
          <cell r="M171" t="str">
            <v>Standard Class</v>
          </cell>
          <cell r="N171">
            <v>8</v>
          </cell>
          <cell r="P171">
            <v>0.05</v>
          </cell>
        </row>
        <row r="172">
          <cell r="G172" t="str">
            <v>East</v>
          </cell>
          <cell r="M172" t="str">
            <v>Standard Class</v>
          </cell>
          <cell r="N172">
            <v>3</v>
          </cell>
          <cell r="P172">
            <v>0</v>
          </cell>
        </row>
        <row r="173">
          <cell r="G173" t="str">
            <v>East</v>
          </cell>
          <cell r="M173" t="str">
            <v>Same Day</v>
          </cell>
          <cell r="N173">
            <v>5</v>
          </cell>
          <cell r="P173">
            <v>0.25</v>
          </cell>
        </row>
        <row r="174">
          <cell r="G174" t="str">
            <v>North</v>
          </cell>
          <cell r="M174" t="str">
            <v>Same Day</v>
          </cell>
          <cell r="N174">
            <v>9</v>
          </cell>
          <cell r="P174">
            <v>0.1</v>
          </cell>
        </row>
        <row r="175">
          <cell r="G175" t="str">
            <v>North</v>
          </cell>
          <cell r="M175" t="str">
            <v>Second Class</v>
          </cell>
          <cell r="N175">
            <v>1</v>
          </cell>
          <cell r="P175">
            <v>0.25</v>
          </cell>
        </row>
        <row r="176">
          <cell r="G176" t="str">
            <v>South</v>
          </cell>
          <cell r="M176" t="str">
            <v>First Class</v>
          </cell>
          <cell r="N176">
            <v>6</v>
          </cell>
          <cell r="P176">
            <v>0.15</v>
          </cell>
        </row>
        <row r="177">
          <cell r="G177" t="str">
            <v>East</v>
          </cell>
          <cell r="M177" t="str">
            <v>Same Day</v>
          </cell>
          <cell r="N177">
            <v>7</v>
          </cell>
          <cell r="P177">
            <v>0.15</v>
          </cell>
        </row>
        <row r="178">
          <cell r="G178" t="str">
            <v>East</v>
          </cell>
          <cell r="M178" t="str">
            <v>Standard Class</v>
          </cell>
          <cell r="N178">
            <v>8</v>
          </cell>
          <cell r="P178">
            <v>0.15</v>
          </cell>
        </row>
        <row r="179">
          <cell r="G179" t="str">
            <v/>
          </cell>
          <cell r="M179" t="str">
            <v>Same Day</v>
          </cell>
          <cell r="N179">
            <v>8</v>
          </cell>
          <cell r="P179">
            <v>0</v>
          </cell>
        </row>
        <row r="180">
          <cell r="G180" t="str">
            <v>South</v>
          </cell>
          <cell r="M180" t="str">
            <v>Standard Class</v>
          </cell>
          <cell r="N180">
            <v>4</v>
          </cell>
          <cell r="P180">
            <v>0</v>
          </cell>
        </row>
        <row r="181">
          <cell r="G181" t="str">
            <v>South</v>
          </cell>
          <cell r="M181" t="str">
            <v>Standard Class</v>
          </cell>
          <cell r="N181">
            <v>4</v>
          </cell>
          <cell r="P181">
            <v>0.25</v>
          </cell>
        </row>
        <row r="182">
          <cell r="G182" t="str">
            <v>North</v>
          </cell>
          <cell r="M182" t="str">
            <v>First Class</v>
          </cell>
          <cell r="N182">
            <v>7</v>
          </cell>
          <cell r="P182">
            <v>0.1</v>
          </cell>
        </row>
        <row r="183">
          <cell r="G183" t="str">
            <v>South</v>
          </cell>
          <cell r="M183" t="str">
            <v>Second Class</v>
          </cell>
          <cell r="N183">
            <v>4</v>
          </cell>
          <cell r="P183">
            <v>0</v>
          </cell>
        </row>
        <row r="184">
          <cell r="G184" t="str">
            <v>East</v>
          </cell>
          <cell r="M184" t="str">
            <v>Standard Class</v>
          </cell>
          <cell r="N184">
            <v>7</v>
          </cell>
          <cell r="P184">
            <v>0</v>
          </cell>
        </row>
        <row r="185">
          <cell r="G185" t="str">
            <v>South</v>
          </cell>
          <cell r="M185" t="str">
            <v>Standard Class</v>
          </cell>
          <cell r="N185">
            <v>7</v>
          </cell>
          <cell r="P185">
            <v>0.2</v>
          </cell>
        </row>
        <row r="186">
          <cell r="G186" t="str">
            <v>West</v>
          </cell>
          <cell r="M186" t="str">
            <v>Standard Class</v>
          </cell>
          <cell r="N186">
            <v>2</v>
          </cell>
          <cell r="P186">
            <v>0</v>
          </cell>
        </row>
        <row r="187">
          <cell r="G187" t="str">
            <v/>
          </cell>
          <cell r="M187" t="str">
            <v>Second Class</v>
          </cell>
          <cell r="N187">
            <v>2</v>
          </cell>
          <cell r="P187">
            <v>0.2</v>
          </cell>
        </row>
        <row r="188">
          <cell r="G188" t="str">
            <v>South</v>
          </cell>
          <cell r="M188" t="str">
            <v>First Class</v>
          </cell>
          <cell r="N188">
            <v>7</v>
          </cell>
          <cell r="P188">
            <v>0.05</v>
          </cell>
        </row>
        <row r="189">
          <cell r="G189" t="str">
            <v>West</v>
          </cell>
          <cell r="M189" t="str">
            <v>Same Day</v>
          </cell>
          <cell r="N189">
            <v>3</v>
          </cell>
          <cell r="P189">
            <v>0</v>
          </cell>
        </row>
        <row r="190">
          <cell r="G190" t="str">
            <v>East</v>
          </cell>
          <cell r="M190" t="str">
            <v>Same Day</v>
          </cell>
          <cell r="N190">
            <v>2</v>
          </cell>
          <cell r="P190">
            <v>0.1</v>
          </cell>
        </row>
        <row r="191">
          <cell r="G191" t="str">
            <v>West</v>
          </cell>
          <cell r="M191" t="str">
            <v>First Class</v>
          </cell>
          <cell r="N191">
            <v>9</v>
          </cell>
        </row>
        <row r="192">
          <cell r="G192" t="str">
            <v>South</v>
          </cell>
          <cell r="M192" t="str">
            <v>First Class</v>
          </cell>
          <cell r="N192">
            <v>3</v>
          </cell>
          <cell r="P192">
            <v>0.1</v>
          </cell>
        </row>
        <row r="193">
          <cell r="G193" t="str">
            <v>South</v>
          </cell>
          <cell r="M193" t="str">
            <v>Second Class</v>
          </cell>
          <cell r="N193">
            <v>6</v>
          </cell>
          <cell r="P193">
            <v>0.65</v>
          </cell>
        </row>
        <row r="194">
          <cell r="G194" t="str">
            <v>West</v>
          </cell>
          <cell r="M194" t="str">
            <v>First Class</v>
          </cell>
          <cell r="N194">
            <v>4</v>
          </cell>
          <cell r="P194">
            <v>0</v>
          </cell>
        </row>
        <row r="195">
          <cell r="G195" t="str">
            <v>North</v>
          </cell>
          <cell r="M195" t="str">
            <v>Same Day</v>
          </cell>
          <cell r="N195">
            <v>6</v>
          </cell>
          <cell r="P195">
            <v>0.2</v>
          </cell>
        </row>
        <row r="196">
          <cell r="G196" t="str">
            <v>West</v>
          </cell>
          <cell r="M196" t="str">
            <v>First Class</v>
          </cell>
          <cell r="N196">
            <v>9</v>
          </cell>
          <cell r="P196">
            <v>0.05</v>
          </cell>
        </row>
        <row r="197">
          <cell r="G197" t="str">
            <v>South</v>
          </cell>
          <cell r="M197" t="str">
            <v>Same Day</v>
          </cell>
          <cell r="N197">
            <v>5</v>
          </cell>
          <cell r="P197">
            <v>0</v>
          </cell>
        </row>
        <row r="198">
          <cell r="G198" t="str">
            <v>North</v>
          </cell>
          <cell r="M198" t="str">
            <v>First Class</v>
          </cell>
          <cell r="N198">
            <v>3</v>
          </cell>
          <cell r="P198">
            <v>0.1</v>
          </cell>
        </row>
        <row r="199">
          <cell r="G199" t="str">
            <v>East</v>
          </cell>
          <cell r="M199" t="str">
            <v>Second Class</v>
          </cell>
          <cell r="N199">
            <v>5</v>
          </cell>
          <cell r="P199">
            <v>0.15</v>
          </cell>
        </row>
        <row r="200">
          <cell r="G200" t="str">
            <v>West</v>
          </cell>
          <cell r="M200" t="str">
            <v>Second Class</v>
          </cell>
          <cell r="N200">
            <v>1</v>
          </cell>
          <cell r="P200">
            <v>0.05</v>
          </cell>
        </row>
        <row r="201">
          <cell r="G201" t="str">
            <v>East</v>
          </cell>
          <cell r="M201" t="str">
            <v/>
          </cell>
          <cell r="N201">
            <v>6</v>
          </cell>
          <cell r="P201">
            <v>0.25</v>
          </cell>
        </row>
        <row r="202">
          <cell r="G202" t="str">
            <v>North</v>
          </cell>
          <cell r="M202" t="str">
            <v>First Class</v>
          </cell>
          <cell r="N202">
            <v>5</v>
          </cell>
          <cell r="P202">
            <v>0.1</v>
          </cell>
        </row>
        <row r="203">
          <cell r="G203" t="str">
            <v>West</v>
          </cell>
          <cell r="M203" t="str">
            <v>Second Class</v>
          </cell>
          <cell r="N203">
            <v>2</v>
          </cell>
          <cell r="P203">
            <v>-0.16</v>
          </cell>
        </row>
        <row r="204">
          <cell r="G204" t="str">
            <v>West</v>
          </cell>
          <cell r="M204" t="str">
            <v>Standard Class</v>
          </cell>
          <cell r="N204">
            <v>8</v>
          </cell>
          <cell r="P204">
            <v>0.05</v>
          </cell>
        </row>
        <row r="205">
          <cell r="G205" t="str">
            <v>West</v>
          </cell>
          <cell r="M205" t="str">
            <v>Second Class</v>
          </cell>
          <cell r="N205">
            <v>1</v>
          </cell>
          <cell r="P205">
            <v>0.15</v>
          </cell>
        </row>
        <row r="206">
          <cell r="G206" t="str">
            <v>East</v>
          </cell>
          <cell r="M206" t="str">
            <v>Second Class</v>
          </cell>
          <cell r="N206">
            <v>4</v>
          </cell>
          <cell r="P206">
            <v>0.15</v>
          </cell>
        </row>
        <row r="207">
          <cell r="G207" t="str">
            <v>West</v>
          </cell>
          <cell r="M207" t="str">
            <v>Same Day</v>
          </cell>
          <cell r="N207">
            <v>6</v>
          </cell>
          <cell r="P207">
            <v>0.2</v>
          </cell>
        </row>
        <row r="208">
          <cell r="G208" t="str">
            <v>North</v>
          </cell>
          <cell r="M208" t="str">
            <v>First Class</v>
          </cell>
          <cell r="N208">
            <v>2</v>
          </cell>
          <cell r="P208">
            <v>0</v>
          </cell>
        </row>
        <row r="209">
          <cell r="G209" t="str">
            <v>West</v>
          </cell>
          <cell r="M209" t="str">
            <v>Second Class</v>
          </cell>
          <cell r="N209">
            <v>2</v>
          </cell>
          <cell r="P209">
            <v>0.2</v>
          </cell>
        </row>
        <row r="210">
          <cell r="G210" t="str">
            <v>North</v>
          </cell>
          <cell r="M210" t="str">
            <v>Same Day</v>
          </cell>
          <cell r="N210">
            <v>1</v>
          </cell>
          <cell r="P210">
            <v>0</v>
          </cell>
        </row>
        <row r="211">
          <cell r="G211" t="str">
            <v>South</v>
          </cell>
          <cell r="M211" t="str">
            <v>First Class</v>
          </cell>
          <cell r="N211">
            <v>9</v>
          </cell>
          <cell r="P211">
            <v>0.1</v>
          </cell>
        </row>
        <row r="212">
          <cell r="G212" t="str">
            <v>South</v>
          </cell>
          <cell r="M212" t="str">
            <v>Second Class</v>
          </cell>
          <cell r="N212">
            <v>1</v>
          </cell>
          <cell r="P212">
            <v>0</v>
          </cell>
        </row>
        <row r="213">
          <cell r="G213" t="str">
            <v>East</v>
          </cell>
          <cell r="M213" t="str">
            <v>Second Class</v>
          </cell>
          <cell r="N213">
            <v>8</v>
          </cell>
          <cell r="P213">
            <v>0.2</v>
          </cell>
        </row>
        <row r="214">
          <cell r="G214" t="str">
            <v>East</v>
          </cell>
          <cell r="M214" t="str">
            <v>Same Day</v>
          </cell>
          <cell r="N214">
            <v>2</v>
          </cell>
          <cell r="P214">
            <v>0.15</v>
          </cell>
        </row>
        <row r="215">
          <cell r="G215" t="str">
            <v>East</v>
          </cell>
          <cell r="M215" t="str">
            <v>Second Class</v>
          </cell>
          <cell r="N215">
            <v>4</v>
          </cell>
          <cell r="P215">
            <v>0.2</v>
          </cell>
        </row>
        <row r="216">
          <cell r="G216" t="str">
            <v>North</v>
          </cell>
          <cell r="M216" t="str">
            <v>First Class</v>
          </cell>
          <cell r="N216">
            <v>3</v>
          </cell>
          <cell r="P216">
            <v>0.05</v>
          </cell>
        </row>
        <row r="217">
          <cell r="G217" t="str">
            <v>West</v>
          </cell>
          <cell r="M217" t="str">
            <v>First Class</v>
          </cell>
          <cell r="N217">
            <v>8</v>
          </cell>
          <cell r="P217">
            <v>0.25</v>
          </cell>
        </row>
        <row r="218">
          <cell r="G218" t="str">
            <v>West</v>
          </cell>
          <cell r="M218" t="str">
            <v>Standard Class</v>
          </cell>
          <cell r="N218">
            <v>8</v>
          </cell>
          <cell r="P218">
            <v>0.25</v>
          </cell>
        </row>
        <row r="219">
          <cell r="G219" t="str">
            <v>East</v>
          </cell>
          <cell r="M219" t="str">
            <v>Second Class</v>
          </cell>
          <cell r="N219">
            <v>5</v>
          </cell>
          <cell r="P219">
            <v>0.1</v>
          </cell>
        </row>
        <row r="220">
          <cell r="G220" t="str">
            <v>West</v>
          </cell>
          <cell r="M220" t="str">
            <v>Standard Class</v>
          </cell>
          <cell r="N220">
            <v>5</v>
          </cell>
          <cell r="P220">
            <v>0</v>
          </cell>
        </row>
        <row r="221">
          <cell r="G221" t="str">
            <v>East</v>
          </cell>
          <cell r="M221" t="str">
            <v>First Class</v>
          </cell>
          <cell r="N221">
            <v>2</v>
          </cell>
          <cell r="P221" t="str">
            <v>85%</v>
          </cell>
        </row>
        <row r="222">
          <cell r="G222" t="str">
            <v>South</v>
          </cell>
          <cell r="M222" t="str">
            <v>First Class</v>
          </cell>
          <cell r="N222">
            <v>4</v>
          </cell>
          <cell r="P222">
            <v>0.15</v>
          </cell>
        </row>
        <row r="223">
          <cell r="G223" t="str">
            <v>South</v>
          </cell>
          <cell r="M223" t="str">
            <v>Same Day</v>
          </cell>
          <cell r="N223">
            <v>4</v>
          </cell>
          <cell r="P223">
            <v>0.2</v>
          </cell>
        </row>
        <row r="224">
          <cell r="G224" t="str">
            <v>West</v>
          </cell>
          <cell r="M224" t="str">
            <v>First Class</v>
          </cell>
          <cell r="N224">
            <v>6</v>
          </cell>
          <cell r="P224">
            <v>0</v>
          </cell>
        </row>
        <row r="225">
          <cell r="G225" t="str">
            <v>West</v>
          </cell>
          <cell r="M225" t="str">
            <v>First Class</v>
          </cell>
          <cell r="N225">
            <v>3</v>
          </cell>
          <cell r="P225">
            <v>0.2</v>
          </cell>
        </row>
        <row r="226">
          <cell r="G226" t="str">
            <v>North</v>
          </cell>
          <cell r="M226" t="str">
            <v>Standard Class</v>
          </cell>
          <cell r="N226">
            <v>4</v>
          </cell>
          <cell r="P226">
            <v>0.25</v>
          </cell>
        </row>
        <row r="227">
          <cell r="G227" t="str">
            <v>West</v>
          </cell>
          <cell r="M227" t="str">
            <v>Standard Class</v>
          </cell>
          <cell r="N227">
            <v>6</v>
          </cell>
          <cell r="P227">
            <v>0.15</v>
          </cell>
        </row>
        <row r="228">
          <cell r="G228" t="str">
            <v/>
          </cell>
          <cell r="M228" t="str">
            <v>Same Day</v>
          </cell>
          <cell r="N228">
            <v>1</v>
          </cell>
          <cell r="P228">
            <v>0.1</v>
          </cell>
        </row>
        <row r="229">
          <cell r="G229" t="str">
            <v>West</v>
          </cell>
          <cell r="M229" t="str">
            <v>First Class</v>
          </cell>
          <cell r="N229">
            <v>3</v>
          </cell>
          <cell r="P229">
            <v>0.15</v>
          </cell>
        </row>
        <row r="230">
          <cell r="G230" t="str">
            <v>South</v>
          </cell>
          <cell r="M230" t="str">
            <v>Second Class</v>
          </cell>
          <cell r="N230">
            <v>1</v>
          </cell>
          <cell r="P230">
            <v>0.15</v>
          </cell>
        </row>
        <row r="231">
          <cell r="G231" t="str">
            <v>South</v>
          </cell>
          <cell r="M231" t="str">
            <v>First Class</v>
          </cell>
          <cell r="N231">
            <v>3</v>
          </cell>
          <cell r="P231">
            <v>0</v>
          </cell>
        </row>
        <row r="232">
          <cell r="G232" t="str">
            <v>North</v>
          </cell>
          <cell r="M232" t="str">
            <v>Standard Class</v>
          </cell>
          <cell r="N232">
            <v>8</v>
          </cell>
          <cell r="P232">
            <v>0.1</v>
          </cell>
        </row>
        <row r="233">
          <cell r="G233" t="str">
            <v>North</v>
          </cell>
          <cell r="M233" t="str">
            <v>First Class</v>
          </cell>
          <cell r="N233">
            <v>7</v>
          </cell>
          <cell r="P233">
            <v>0.25</v>
          </cell>
        </row>
        <row r="234">
          <cell r="G234" t="str">
            <v>South</v>
          </cell>
          <cell r="M234" t="str">
            <v>Standard Class</v>
          </cell>
          <cell r="N234">
            <v>4</v>
          </cell>
          <cell r="P234">
            <v>0.25</v>
          </cell>
        </row>
        <row r="235">
          <cell r="G235" t="str">
            <v>South</v>
          </cell>
          <cell r="M235" t="str">
            <v/>
          </cell>
          <cell r="N235">
            <v>8</v>
          </cell>
          <cell r="P235">
            <v>0</v>
          </cell>
        </row>
        <row r="236">
          <cell r="G236" t="str">
            <v>North</v>
          </cell>
          <cell r="M236" t="str">
            <v>First Class</v>
          </cell>
          <cell r="N236">
            <v>9</v>
          </cell>
          <cell r="P236">
            <v>0.1</v>
          </cell>
        </row>
        <row r="237">
          <cell r="G237" t="str">
            <v>West</v>
          </cell>
          <cell r="M237" t="str">
            <v>Standard Class</v>
          </cell>
          <cell r="N237">
            <v>6</v>
          </cell>
          <cell r="P237">
            <v>0.05</v>
          </cell>
        </row>
        <row r="238">
          <cell r="G238" t="str">
            <v>North</v>
          </cell>
          <cell r="M238" t="str">
            <v>First Class</v>
          </cell>
          <cell r="N238">
            <v>6</v>
          </cell>
          <cell r="P238">
            <v>0</v>
          </cell>
        </row>
        <row r="239">
          <cell r="G239" t="str">
            <v>North</v>
          </cell>
          <cell r="M239" t="str">
            <v>Standard Class</v>
          </cell>
          <cell r="N239">
            <v>9</v>
          </cell>
          <cell r="P239">
            <v>0</v>
          </cell>
        </row>
        <row r="240">
          <cell r="G240" t="str">
            <v>South</v>
          </cell>
          <cell r="M240" t="str">
            <v>First Class</v>
          </cell>
          <cell r="N240">
            <v>7</v>
          </cell>
          <cell r="P240">
            <v>0.55000000000000004</v>
          </cell>
        </row>
        <row r="241">
          <cell r="G241" t="str">
            <v>South</v>
          </cell>
          <cell r="M241" t="str">
            <v>First Class</v>
          </cell>
          <cell r="N241">
            <v>2</v>
          </cell>
          <cell r="P241">
            <v>0.2</v>
          </cell>
        </row>
        <row r="242">
          <cell r="G242" t="str">
            <v>South</v>
          </cell>
          <cell r="M242" t="str">
            <v>First Class</v>
          </cell>
          <cell r="N242">
            <v>9</v>
          </cell>
          <cell r="P242">
            <v>0</v>
          </cell>
        </row>
        <row r="243">
          <cell r="G243" t="str">
            <v>North</v>
          </cell>
          <cell r="M243" t="str">
            <v>Standard Class</v>
          </cell>
          <cell r="N243">
            <v>1</v>
          </cell>
          <cell r="P243">
            <v>0.25</v>
          </cell>
        </row>
        <row r="244">
          <cell r="G244" t="str">
            <v>North</v>
          </cell>
          <cell r="M244" t="str">
            <v>Second Class</v>
          </cell>
          <cell r="N244">
            <v>3</v>
          </cell>
          <cell r="P244">
            <v>0.05</v>
          </cell>
        </row>
        <row r="245">
          <cell r="G245" t="str">
            <v/>
          </cell>
          <cell r="M245" t="str">
            <v>First Class</v>
          </cell>
          <cell r="N245">
            <v>1</v>
          </cell>
          <cell r="P245">
            <v>0.1</v>
          </cell>
        </row>
        <row r="246">
          <cell r="G246" t="str">
            <v>South</v>
          </cell>
          <cell r="M246" t="str">
            <v>Same Day</v>
          </cell>
          <cell r="N246">
            <v>6</v>
          </cell>
          <cell r="P246">
            <v>0</v>
          </cell>
        </row>
        <row r="247">
          <cell r="G247" t="str">
            <v>South</v>
          </cell>
          <cell r="M247" t="str">
            <v>Second Class</v>
          </cell>
          <cell r="N247">
            <v>3</v>
          </cell>
          <cell r="P247">
            <v>0</v>
          </cell>
        </row>
        <row r="248">
          <cell r="G248" t="str">
            <v>North</v>
          </cell>
          <cell r="M248" t="str">
            <v>Same Day</v>
          </cell>
          <cell r="N248">
            <v>3</v>
          </cell>
          <cell r="P248">
            <v>0.25</v>
          </cell>
        </row>
        <row r="249">
          <cell r="G249" t="str">
            <v>North</v>
          </cell>
          <cell r="M249" t="str">
            <v>Second Class</v>
          </cell>
          <cell r="N249">
            <v>8</v>
          </cell>
          <cell r="P249">
            <v>0.25</v>
          </cell>
        </row>
        <row r="250">
          <cell r="G250" t="str">
            <v>East</v>
          </cell>
          <cell r="M250" t="str">
            <v>Second Class</v>
          </cell>
          <cell r="N250">
            <v>9</v>
          </cell>
          <cell r="P250">
            <v>0.15</v>
          </cell>
        </row>
        <row r="251">
          <cell r="G251" t="str">
            <v>North</v>
          </cell>
          <cell r="M251" t="str">
            <v>First Class</v>
          </cell>
          <cell r="N251">
            <v>4</v>
          </cell>
          <cell r="P251">
            <v>0.2</v>
          </cell>
        </row>
        <row r="252">
          <cell r="G252" t="str">
            <v>East</v>
          </cell>
          <cell r="M252" t="str">
            <v>Standard Class</v>
          </cell>
          <cell r="N252">
            <v>5</v>
          </cell>
          <cell r="P252">
            <v>0.15</v>
          </cell>
        </row>
        <row r="253">
          <cell r="G253" t="str">
            <v>West</v>
          </cell>
          <cell r="M253" t="str">
            <v>Second Class</v>
          </cell>
          <cell r="N253">
            <v>6</v>
          </cell>
          <cell r="P253">
            <v>0</v>
          </cell>
        </row>
        <row r="254">
          <cell r="G254" t="str">
            <v>North</v>
          </cell>
          <cell r="M254" t="str">
            <v>First Class</v>
          </cell>
          <cell r="N254">
            <v>2</v>
          </cell>
          <cell r="P254">
            <v>0.2</v>
          </cell>
        </row>
        <row r="255">
          <cell r="G255" t="str">
            <v>North</v>
          </cell>
          <cell r="M255" t="str">
            <v>Same Day</v>
          </cell>
          <cell r="N255">
            <v>6</v>
          </cell>
          <cell r="P255">
            <v>0.05</v>
          </cell>
        </row>
        <row r="256">
          <cell r="G256" t="str">
            <v>West</v>
          </cell>
          <cell r="M256" t="str">
            <v>Same Day</v>
          </cell>
          <cell r="N256">
            <v>7</v>
          </cell>
          <cell r="P256">
            <v>0.2</v>
          </cell>
        </row>
        <row r="257">
          <cell r="G257" t="str">
            <v>West</v>
          </cell>
          <cell r="M257" t="str">
            <v>First Class</v>
          </cell>
          <cell r="N257">
            <v>7</v>
          </cell>
          <cell r="P257">
            <v>0</v>
          </cell>
        </row>
        <row r="258">
          <cell r="G258" t="str">
            <v>East</v>
          </cell>
          <cell r="M258" t="str">
            <v>First Class</v>
          </cell>
          <cell r="N258">
            <v>9</v>
          </cell>
          <cell r="P258">
            <v>0.05</v>
          </cell>
        </row>
        <row r="259">
          <cell r="G259" t="str">
            <v>South</v>
          </cell>
          <cell r="M259" t="str">
            <v>Second Class</v>
          </cell>
          <cell r="N259">
            <v>2</v>
          </cell>
          <cell r="P259">
            <v>0</v>
          </cell>
        </row>
        <row r="260">
          <cell r="G260" t="str">
            <v>South</v>
          </cell>
          <cell r="M260" t="str">
            <v>Same Day</v>
          </cell>
          <cell r="N260">
            <v>2</v>
          </cell>
          <cell r="P260">
            <v>0.25</v>
          </cell>
        </row>
        <row r="261">
          <cell r="G261" t="str">
            <v>South</v>
          </cell>
          <cell r="M261" t="str">
            <v>Standard Class</v>
          </cell>
          <cell r="N261">
            <v>8</v>
          </cell>
          <cell r="P261">
            <v>0.2</v>
          </cell>
        </row>
        <row r="262">
          <cell r="G262" t="str">
            <v>East</v>
          </cell>
          <cell r="M262" t="str">
            <v>Same Day</v>
          </cell>
          <cell r="N262">
            <v>7</v>
          </cell>
          <cell r="P262">
            <v>0.25</v>
          </cell>
        </row>
        <row r="263">
          <cell r="G263" t="str">
            <v>North</v>
          </cell>
          <cell r="M263" t="str">
            <v>Standard Class</v>
          </cell>
          <cell r="N263">
            <v>3</v>
          </cell>
          <cell r="P263">
            <v>0.2</v>
          </cell>
        </row>
        <row r="264">
          <cell r="G264" t="str">
            <v>North</v>
          </cell>
          <cell r="M264" t="str">
            <v>Same Day</v>
          </cell>
          <cell r="N264">
            <v>4</v>
          </cell>
          <cell r="P264">
            <v>0</v>
          </cell>
        </row>
        <row r="265">
          <cell r="G265" t="str">
            <v>North</v>
          </cell>
          <cell r="M265" t="str">
            <v>Second Class</v>
          </cell>
          <cell r="N265">
            <v>9</v>
          </cell>
          <cell r="P265">
            <v>0.1</v>
          </cell>
        </row>
        <row r="266">
          <cell r="G266" t="str">
            <v>East</v>
          </cell>
          <cell r="M266" t="str">
            <v>Standard Class</v>
          </cell>
          <cell r="N266">
            <v>4</v>
          </cell>
          <cell r="P266">
            <v>0</v>
          </cell>
        </row>
        <row r="267">
          <cell r="G267" t="str">
            <v>East</v>
          </cell>
          <cell r="M267" t="str">
            <v>Same Day</v>
          </cell>
          <cell r="N267">
            <v>1</v>
          </cell>
          <cell r="P267">
            <v>0.15</v>
          </cell>
        </row>
        <row r="268">
          <cell r="G268" t="str">
            <v>West</v>
          </cell>
          <cell r="M268" t="str">
            <v>Second Class</v>
          </cell>
          <cell r="N268">
            <v>3</v>
          </cell>
          <cell r="P268">
            <v>0</v>
          </cell>
        </row>
        <row r="269">
          <cell r="G269" t="str">
            <v>East</v>
          </cell>
          <cell r="M269" t="str">
            <v>First Class</v>
          </cell>
          <cell r="N269">
            <v>4</v>
          </cell>
          <cell r="P269">
            <v>0.25</v>
          </cell>
        </row>
        <row r="270">
          <cell r="G270" t="str">
            <v>North</v>
          </cell>
          <cell r="M270" t="str">
            <v>First Class</v>
          </cell>
          <cell r="N270">
            <v>7</v>
          </cell>
          <cell r="P270">
            <v>0.25</v>
          </cell>
        </row>
        <row r="271">
          <cell r="G271" t="str">
            <v>West</v>
          </cell>
          <cell r="M271" t="str">
            <v>Same Day</v>
          </cell>
          <cell r="N271">
            <v>1</v>
          </cell>
          <cell r="P271">
            <v>0</v>
          </cell>
        </row>
        <row r="272">
          <cell r="G272" t="str">
            <v>North</v>
          </cell>
          <cell r="M272" t="str">
            <v>Same Day</v>
          </cell>
          <cell r="N272">
            <v>3</v>
          </cell>
          <cell r="P272">
            <v>0</v>
          </cell>
        </row>
        <row r="273">
          <cell r="G273" t="str">
            <v>South</v>
          </cell>
          <cell r="M273" t="str">
            <v>Standard Class</v>
          </cell>
          <cell r="N273">
            <v>7</v>
          </cell>
          <cell r="P273">
            <v>0</v>
          </cell>
        </row>
        <row r="274">
          <cell r="G274" t="str">
            <v>South</v>
          </cell>
          <cell r="M274" t="str">
            <v>First Class</v>
          </cell>
          <cell r="N274">
            <v>7</v>
          </cell>
          <cell r="P274">
            <v>0.1</v>
          </cell>
        </row>
        <row r="275">
          <cell r="G275" t="str">
            <v>East</v>
          </cell>
          <cell r="M275" t="str">
            <v>Second Class</v>
          </cell>
          <cell r="N275">
            <v>9</v>
          </cell>
          <cell r="P275">
            <v>0</v>
          </cell>
        </row>
        <row r="276">
          <cell r="G276" t="str">
            <v>South</v>
          </cell>
          <cell r="M276" t="str">
            <v>Standard Class</v>
          </cell>
          <cell r="N276">
            <v>6</v>
          </cell>
          <cell r="P276">
            <v>0.15</v>
          </cell>
        </row>
        <row r="277">
          <cell r="G277" t="str">
            <v>East</v>
          </cell>
          <cell r="M277" t="str">
            <v>Same Day</v>
          </cell>
          <cell r="N277">
            <v>1</v>
          </cell>
          <cell r="P277">
            <v>0</v>
          </cell>
        </row>
        <row r="278">
          <cell r="G278" t="str">
            <v/>
          </cell>
          <cell r="M278" t="str">
            <v>Second Class</v>
          </cell>
          <cell r="N278">
            <v>6</v>
          </cell>
          <cell r="P278">
            <v>-0.14000000000000001</v>
          </cell>
        </row>
        <row r="279">
          <cell r="G279" t="str">
            <v>North</v>
          </cell>
          <cell r="M279" t="str">
            <v>Second Class</v>
          </cell>
          <cell r="N279">
            <v>1</v>
          </cell>
          <cell r="P279">
            <v>0.15</v>
          </cell>
        </row>
        <row r="280">
          <cell r="G280" t="str">
            <v>North</v>
          </cell>
          <cell r="M280" t="str">
            <v>Same Day</v>
          </cell>
          <cell r="N280">
            <v>1</v>
          </cell>
          <cell r="P280">
            <v>0.05</v>
          </cell>
        </row>
        <row r="281">
          <cell r="G281" t="str">
            <v>West</v>
          </cell>
          <cell r="M281" t="str">
            <v>First Class</v>
          </cell>
          <cell r="N281">
            <v>1</v>
          </cell>
          <cell r="P281">
            <v>0.05</v>
          </cell>
        </row>
        <row r="282">
          <cell r="G282" t="str">
            <v>South</v>
          </cell>
          <cell r="M282" t="str">
            <v>Standard Class</v>
          </cell>
          <cell r="N282">
            <v>9</v>
          </cell>
          <cell r="P282">
            <v>0</v>
          </cell>
        </row>
        <row r="283">
          <cell r="G283" t="str">
            <v>East</v>
          </cell>
          <cell r="M283" t="str">
            <v>Second Class</v>
          </cell>
          <cell r="N283">
            <v>6</v>
          </cell>
          <cell r="P283">
            <v>0.2</v>
          </cell>
        </row>
        <row r="284">
          <cell r="G284" t="str">
            <v>East</v>
          </cell>
          <cell r="M284" t="str">
            <v>Second Class</v>
          </cell>
          <cell r="N284">
            <v>2</v>
          </cell>
          <cell r="P284">
            <v>0</v>
          </cell>
        </row>
        <row r="285">
          <cell r="G285" t="str">
            <v>West</v>
          </cell>
          <cell r="M285" t="str">
            <v>First Class</v>
          </cell>
          <cell r="N285">
            <v>1</v>
          </cell>
          <cell r="P285">
            <v>0</v>
          </cell>
        </row>
        <row r="286">
          <cell r="G286" t="str">
            <v>East</v>
          </cell>
          <cell r="M286" t="str">
            <v>Same Day</v>
          </cell>
          <cell r="N286">
            <v>3</v>
          </cell>
          <cell r="P286">
            <v>0</v>
          </cell>
        </row>
        <row r="287">
          <cell r="G287" t="str">
            <v>North</v>
          </cell>
          <cell r="M287" t="str">
            <v>Standard Class</v>
          </cell>
          <cell r="N287">
            <v>9</v>
          </cell>
          <cell r="P287">
            <v>0</v>
          </cell>
        </row>
        <row r="288">
          <cell r="G288" t="str">
            <v>North</v>
          </cell>
          <cell r="M288" t="str">
            <v>First Class</v>
          </cell>
          <cell r="N288">
            <v>7</v>
          </cell>
          <cell r="P288">
            <v>0.1</v>
          </cell>
        </row>
        <row r="289">
          <cell r="G289" t="str">
            <v>South</v>
          </cell>
          <cell r="M289" t="str">
            <v>Standard Class</v>
          </cell>
          <cell r="N289">
            <v>3</v>
          </cell>
          <cell r="P289">
            <v>0.15</v>
          </cell>
        </row>
        <row r="290">
          <cell r="G290" t="str">
            <v>East</v>
          </cell>
          <cell r="M290" t="str">
            <v>Same Day</v>
          </cell>
          <cell r="N290">
            <v>2</v>
          </cell>
          <cell r="P290">
            <v>0.15</v>
          </cell>
        </row>
        <row r="291">
          <cell r="G291" t="str">
            <v>South</v>
          </cell>
          <cell r="M291" t="str">
            <v>First Class</v>
          </cell>
          <cell r="N291">
            <v>2</v>
          </cell>
          <cell r="P291">
            <v>0.05</v>
          </cell>
        </row>
        <row r="292">
          <cell r="G292" t="str">
            <v>East</v>
          </cell>
          <cell r="M292" t="str">
            <v>Standard Class</v>
          </cell>
          <cell r="N292">
            <v>1</v>
          </cell>
          <cell r="P292">
            <v>0.1</v>
          </cell>
        </row>
        <row r="293">
          <cell r="G293" t="str">
            <v>North</v>
          </cell>
          <cell r="M293" t="str">
            <v>Standard Class</v>
          </cell>
          <cell r="N293">
            <v>4</v>
          </cell>
          <cell r="P293">
            <v>0.25</v>
          </cell>
        </row>
        <row r="294">
          <cell r="G294" t="str">
            <v>North</v>
          </cell>
          <cell r="M294" t="str">
            <v>Same Day</v>
          </cell>
          <cell r="N294">
            <v>9</v>
          </cell>
          <cell r="P294">
            <v>0</v>
          </cell>
        </row>
        <row r="295">
          <cell r="G295" t="str">
            <v>South</v>
          </cell>
          <cell r="M295" t="str">
            <v>First Class</v>
          </cell>
          <cell r="N295">
            <v>2</v>
          </cell>
          <cell r="P295">
            <v>0.65</v>
          </cell>
        </row>
        <row r="296">
          <cell r="G296" t="str">
            <v>East</v>
          </cell>
          <cell r="M296" t="str">
            <v>Second Class</v>
          </cell>
          <cell r="N296">
            <v>6</v>
          </cell>
          <cell r="P296">
            <v>0.25</v>
          </cell>
        </row>
        <row r="297">
          <cell r="G297" t="str">
            <v>East</v>
          </cell>
          <cell r="M297" t="str">
            <v>Standard Class</v>
          </cell>
          <cell r="N297">
            <v>3</v>
          </cell>
          <cell r="P297">
            <v>0.1</v>
          </cell>
        </row>
        <row r="298">
          <cell r="G298" t="str">
            <v>North</v>
          </cell>
          <cell r="M298" t="str">
            <v>Same Day</v>
          </cell>
          <cell r="N298">
            <v>6</v>
          </cell>
          <cell r="P298">
            <v>0.15</v>
          </cell>
        </row>
        <row r="299">
          <cell r="G299" t="str">
            <v>South</v>
          </cell>
          <cell r="M299" t="str">
            <v>Same Day</v>
          </cell>
          <cell r="N299">
            <v>6</v>
          </cell>
          <cell r="P299">
            <v>0.15</v>
          </cell>
        </row>
        <row r="300">
          <cell r="G300" t="str">
            <v>South</v>
          </cell>
          <cell r="M300" t="str">
            <v>First Class</v>
          </cell>
          <cell r="N300">
            <v>7</v>
          </cell>
          <cell r="P300">
            <v>0.2</v>
          </cell>
        </row>
        <row r="301">
          <cell r="G301" t="str">
            <v>West</v>
          </cell>
          <cell r="M301" t="str">
            <v>Standard Class</v>
          </cell>
          <cell r="N301">
            <v>7</v>
          </cell>
          <cell r="P301">
            <v>0.1</v>
          </cell>
        </row>
        <row r="302">
          <cell r="G302" t="str">
            <v>North</v>
          </cell>
          <cell r="M302" t="str">
            <v>Second Class</v>
          </cell>
          <cell r="N302">
            <v>9</v>
          </cell>
          <cell r="P302">
            <v>0.1</v>
          </cell>
        </row>
        <row r="303">
          <cell r="G303" t="str">
            <v>East</v>
          </cell>
          <cell r="M303" t="str">
            <v>Same Day</v>
          </cell>
          <cell r="N303">
            <v>4</v>
          </cell>
          <cell r="P303">
            <v>0.05</v>
          </cell>
        </row>
        <row r="304">
          <cell r="G304" t="str">
            <v>West</v>
          </cell>
          <cell r="M304" t="str">
            <v>Same Day</v>
          </cell>
          <cell r="N304">
            <v>2</v>
          </cell>
          <cell r="P304">
            <v>0.25</v>
          </cell>
        </row>
        <row r="305">
          <cell r="G305" t="str">
            <v>West</v>
          </cell>
          <cell r="M305" t="str">
            <v>Standard Class</v>
          </cell>
          <cell r="N305">
            <v>2</v>
          </cell>
          <cell r="P305">
            <v>0.1</v>
          </cell>
        </row>
        <row r="306">
          <cell r="G306" t="str">
            <v>North</v>
          </cell>
          <cell r="M306" t="str">
            <v>Standard Class</v>
          </cell>
          <cell r="N306">
            <v>6</v>
          </cell>
          <cell r="P306">
            <v>0.1</v>
          </cell>
        </row>
        <row r="307">
          <cell r="G307" t="str">
            <v>East</v>
          </cell>
          <cell r="M307" t="str">
            <v>First Class</v>
          </cell>
          <cell r="N307">
            <v>4</v>
          </cell>
          <cell r="P307">
            <v>0.55000000000000004</v>
          </cell>
        </row>
        <row r="308">
          <cell r="G308" t="str">
            <v>North</v>
          </cell>
          <cell r="M308" t="str">
            <v>Second Class</v>
          </cell>
          <cell r="N308">
            <v>4</v>
          </cell>
          <cell r="P308">
            <v>0</v>
          </cell>
        </row>
        <row r="309">
          <cell r="G309" t="str">
            <v>North</v>
          </cell>
          <cell r="M309" t="str">
            <v>First Class</v>
          </cell>
          <cell r="N309">
            <v>9</v>
          </cell>
          <cell r="P309">
            <v>0.2</v>
          </cell>
        </row>
        <row r="310">
          <cell r="G310" t="str">
            <v>North</v>
          </cell>
          <cell r="M310" t="str">
            <v>First Class</v>
          </cell>
          <cell r="N310">
            <v>4</v>
          </cell>
          <cell r="P310">
            <v>0.2</v>
          </cell>
        </row>
        <row r="311">
          <cell r="G311" t="str">
            <v>South</v>
          </cell>
          <cell r="M311" t="str">
            <v>First Class</v>
          </cell>
          <cell r="N311">
            <v>7</v>
          </cell>
          <cell r="P311">
            <v>0.1</v>
          </cell>
        </row>
        <row r="312">
          <cell r="G312" t="str">
            <v>South</v>
          </cell>
          <cell r="M312" t="str">
            <v>First Class</v>
          </cell>
          <cell r="N312">
            <v>8</v>
          </cell>
          <cell r="P312">
            <v>0</v>
          </cell>
        </row>
        <row r="313">
          <cell r="G313" t="str">
            <v>South</v>
          </cell>
          <cell r="M313" t="str">
            <v>Second Class</v>
          </cell>
          <cell r="N313">
            <v>5</v>
          </cell>
          <cell r="P313">
            <v>0.1</v>
          </cell>
        </row>
        <row r="314">
          <cell r="G314" t="str">
            <v>East</v>
          </cell>
          <cell r="M314" t="str">
            <v>Standard Class</v>
          </cell>
          <cell r="N314">
            <v>8</v>
          </cell>
        </row>
        <row r="315">
          <cell r="G315" t="str">
            <v>North</v>
          </cell>
          <cell r="M315" t="str">
            <v>First Class</v>
          </cell>
          <cell r="N315">
            <v>8</v>
          </cell>
          <cell r="P315">
            <v>0.25</v>
          </cell>
        </row>
        <row r="316">
          <cell r="G316" t="str">
            <v>West</v>
          </cell>
          <cell r="M316" t="str">
            <v>Standard Class</v>
          </cell>
          <cell r="N316">
            <v>9</v>
          </cell>
          <cell r="P316">
            <v>0.15</v>
          </cell>
        </row>
        <row r="317">
          <cell r="G317" t="str">
            <v>North</v>
          </cell>
          <cell r="M317" t="str">
            <v>Standard Class</v>
          </cell>
          <cell r="N317">
            <v>9</v>
          </cell>
          <cell r="P317">
            <v>0.05</v>
          </cell>
        </row>
        <row r="318">
          <cell r="G318" t="str">
            <v>North</v>
          </cell>
          <cell r="M318" t="str">
            <v>Standard Class</v>
          </cell>
          <cell r="N318">
            <v>2</v>
          </cell>
          <cell r="P318">
            <v>0.2</v>
          </cell>
        </row>
        <row r="319">
          <cell r="G319" t="str">
            <v>South</v>
          </cell>
          <cell r="M319" t="str">
            <v>First Class</v>
          </cell>
          <cell r="N319">
            <v>9</v>
          </cell>
          <cell r="P319">
            <v>0.15</v>
          </cell>
        </row>
        <row r="320">
          <cell r="G320" t="str">
            <v>South</v>
          </cell>
          <cell r="M320" t="str">
            <v>Standard Class</v>
          </cell>
          <cell r="N320">
            <v>3</v>
          </cell>
          <cell r="P320">
            <v>0.1</v>
          </cell>
        </row>
        <row r="321">
          <cell r="G321" t="str">
            <v>West</v>
          </cell>
          <cell r="M321" t="str">
            <v>First Class</v>
          </cell>
          <cell r="N321">
            <v>1</v>
          </cell>
          <cell r="P321">
            <v>0</v>
          </cell>
        </row>
        <row r="322">
          <cell r="G322" t="str">
            <v>East</v>
          </cell>
          <cell r="M322" t="str">
            <v>Second Class</v>
          </cell>
          <cell r="N322">
            <v>3</v>
          </cell>
          <cell r="P322" t="str">
            <v>70%</v>
          </cell>
        </row>
        <row r="323">
          <cell r="G323" t="str">
            <v>West</v>
          </cell>
          <cell r="M323" t="str">
            <v>Same Day</v>
          </cell>
          <cell r="N323">
            <v>4</v>
          </cell>
          <cell r="P323">
            <v>0</v>
          </cell>
        </row>
        <row r="324">
          <cell r="G324" t="str">
            <v>North</v>
          </cell>
          <cell r="M324" t="str">
            <v>Second Class</v>
          </cell>
          <cell r="N324">
            <v>6</v>
          </cell>
          <cell r="P324">
            <v>0.15</v>
          </cell>
        </row>
        <row r="325">
          <cell r="G325" t="str">
            <v>West</v>
          </cell>
          <cell r="M325" t="str">
            <v>Standard Class</v>
          </cell>
          <cell r="N325">
            <v>9</v>
          </cell>
          <cell r="P325">
            <v>0.15</v>
          </cell>
        </row>
        <row r="326">
          <cell r="G326" t="str">
            <v>South</v>
          </cell>
          <cell r="M326" t="str">
            <v>Same Day</v>
          </cell>
          <cell r="N326">
            <v>1</v>
          </cell>
          <cell r="P326">
            <v>0.15</v>
          </cell>
        </row>
        <row r="327">
          <cell r="G327" t="str">
            <v>East</v>
          </cell>
          <cell r="M327" t="str">
            <v>Second Class</v>
          </cell>
          <cell r="N327">
            <v>5</v>
          </cell>
          <cell r="P327">
            <v>0.15</v>
          </cell>
        </row>
        <row r="328">
          <cell r="G328" t="str">
            <v>East</v>
          </cell>
          <cell r="M328" t="str">
            <v>Same Day</v>
          </cell>
          <cell r="N328">
            <v>5</v>
          </cell>
          <cell r="P328">
            <v>0.05</v>
          </cell>
        </row>
        <row r="329">
          <cell r="G329" t="str">
            <v>West</v>
          </cell>
          <cell r="M329" t="str">
            <v>Second Class</v>
          </cell>
          <cell r="N329">
            <v>3</v>
          </cell>
          <cell r="P329">
            <v>0.2</v>
          </cell>
        </row>
        <row r="330">
          <cell r="G330" t="str">
            <v>West</v>
          </cell>
          <cell r="M330" t="str">
            <v>First Class</v>
          </cell>
          <cell r="N330">
            <v>6</v>
          </cell>
          <cell r="P330">
            <v>0</v>
          </cell>
        </row>
        <row r="331">
          <cell r="G331" t="str">
            <v>West</v>
          </cell>
          <cell r="M331" t="str">
            <v>Standard Class</v>
          </cell>
          <cell r="N331">
            <v>4</v>
          </cell>
          <cell r="P331">
            <v>0.05</v>
          </cell>
        </row>
        <row r="332">
          <cell r="G332" t="str">
            <v>North</v>
          </cell>
          <cell r="M332" t="str">
            <v>Same Day</v>
          </cell>
          <cell r="N332">
            <v>1</v>
          </cell>
          <cell r="P332">
            <v>0</v>
          </cell>
        </row>
        <row r="333">
          <cell r="G333" t="str">
            <v>East</v>
          </cell>
          <cell r="M333" t="str">
            <v>Second Class</v>
          </cell>
          <cell r="N333">
            <v>4</v>
          </cell>
          <cell r="P333">
            <v>0</v>
          </cell>
        </row>
        <row r="334">
          <cell r="G334" t="str">
            <v>South</v>
          </cell>
          <cell r="M334" t="str">
            <v>Second Class</v>
          </cell>
          <cell r="N334">
            <v>2</v>
          </cell>
          <cell r="P334">
            <v>0</v>
          </cell>
        </row>
        <row r="335">
          <cell r="G335" t="str">
            <v/>
          </cell>
          <cell r="M335" t="str">
            <v>First Class</v>
          </cell>
          <cell r="N335">
            <v>2</v>
          </cell>
          <cell r="P335">
            <v>0</v>
          </cell>
        </row>
        <row r="336">
          <cell r="G336" t="str">
            <v>East</v>
          </cell>
          <cell r="M336" t="str">
            <v>First Class</v>
          </cell>
          <cell r="N336">
            <v>9</v>
          </cell>
          <cell r="P336">
            <v>0.25</v>
          </cell>
        </row>
        <row r="337">
          <cell r="G337" t="str">
            <v>West</v>
          </cell>
          <cell r="M337" t="str">
            <v>First Class</v>
          </cell>
          <cell r="N337">
            <v>3</v>
          </cell>
          <cell r="P337">
            <v>0.1</v>
          </cell>
        </row>
        <row r="338">
          <cell r="G338" t="str">
            <v>North</v>
          </cell>
          <cell r="M338" t="str">
            <v>First Class</v>
          </cell>
          <cell r="N338">
            <v>8</v>
          </cell>
          <cell r="P338">
            <v>0</v>
          </cell>
        </row>
        <row r="339">
          <cell r="G339" t="str">
            <v>East</v>
          </cell>
          <cell r="M339" t="str">
            <v>Same Day</v>
          </cell>
          <cell r="N339">
            <v>6</v>
          </cell>
          <cell r="P339">
            <v>0</v>
          </cell>
        </row>
        <row r="340">
          <cell r="G340" t="str">
            <v>South</v>
          </cell>
          <cell r="M340" t="str">
            <v>First Class</v>
          </cell>
          <cell r="N340">
            <v>8</v>
          </cell>
          <cell r="P340">
            <v>0.25</v>
          </cell>
        </row>
        <row r="341">
          <cell r="G341" t="str">
            <v>East</v>
          </cell>
          <cell r="M341" t="str">
            <v>Standard Class</v>
          </cell>
          <cell r="N341">
            <v>8</v>
          </cell>
          <cell r="P341">
            <v>0.2</v>
          </cell>
        </row>
        <row r="342">
          <cell r="G342" t="str">
            <v>South</v>
          </cell>
          <cell r="M342" t="str">
            <v>Standard Class</v>
          </cell>
          <cell r="N342">
            <v>5</v>
          </cell>
          <cell r="P342">
            <v>0.1</v>
          </cell>
        </row>
        <row r="343">
          <cell r="G343" t="str">
            <v>West</v>
          </cell>
          <cell r="M343" t="str">
            <v>Second Class</v>
          </cell>
          <cell r="N343">
            <v>2</v>
          </cell>
          <cell r="P343">
            <v>0.05</v>
          </cell>
        </row>
        <row r="344">
          <cell r="G344" t="str">
            <v>East</v>
          </cell>
          <cell r="M344" t="str">
            <v>First Class</v>
          </cell>
          <cell r="N344">
            <v>8</v>
          </cell>
          <cell r="P344">
            <v>0</v>
          </cell>
        </row>
        <row r="345">
          <cell r="G345" t="str">
            <v>West</v>
          </cell>
          <cell r="M345" t="str">
            <v>Same Day</v>
          </cell>
          <cell r="N345">
            <v>9</v>
          </cell>
          <cell r="P345">
            <v>0.1</v>
          </cell>
        </row>
        <row r="346">
          <cell r="G346" t="str">
            <v>North</v>
          </cell>
          <cell r="M346" t="str">
            <v>Same Day</v>
          </cell>
          <cell r="N346">
            <v>9</v>
          </cell>
          <cell r="P346">
            <v>0</v>
          </cell>
        </row>
        <row r="347">
          <cell r="G347" t="str">
            <v>West</v>
          </cell>
          <cell r="M347" t="str">
            <v>Second Class</v>
          </cell>
          <cell r="N347">
            <v>2</v>
          </cell>
          <cell r="P347">
            <v>0</v>
          </cell>
        </row>
        <row r="348">
          <cell r="G348" t="str">
            <v>South</v>
          </cell>
          <cell r="M348" t="str">
            <v>Second Class</v>
          </cell>
          <cell r="N348">
            <v>6</v>
          </cell>
          <cell r="P348">
            <v>0.2</v>
          </cell>
        </row>
        <row r="349">
          <cell r="G349" t="str">
            <v>West</v>
          </cell>
          <cell r="M349" t="str">
            <v>Second Class</v>
          </cell>
          <cell r="N349">
            <v>5</v>
          </cell>
          <cell r="P349">
            <v>0.2</v>
          </cell>
        </row>
        <row r="350">
          <cell r="G350" t="str">
            <v>South</v>
          </cell>
          <cell r="M350" t="str">
            <v>Same Day</v>
          </cell>
          <cell r="N350">
            <v>9</v>
          </cell>
          <cell r="P350">
            <v>0.25</v>
          </cell>
        </row>
        <row r="351">
          <cell r="G351" t="str">
            <v>East</v>
          </cell>
          <cell r="M351" t="str">
            <v>Second Class</v>
          </cell>
          <cell r="N351">
            <v>9</v>
          </cell>
          <cell r="P351">
            <v>0.25</v>
          </cell>
        </row>
        <row r="352">
          <cell r="G352" t="str">
            <v>East</v>
          </cell>
          <cell r="M352" t="str">
            <v>Second Class</v>
          </cell>
          <cell r="N352">
            <v>4</v>
          </cell>
          <cell r="P352">
            <v>0.1</v>
          </cell>
        </row>
        <row r="353">
          <cell r="G353" t="str">
            <v>South</v>
          </cell>
          <cell r="M353" t="str">
            <v>First Class</v>
          </cell>
          <cell r="N353">
            <v>6</v>
          </cell>
          <cell r="P353">
            <v>0.25</v>
          </cell>
        </row>
        <row r="354">
          <cell r="G354" t="str">
            <v>East</v>
          </cell>
          <cell r="M354" t="str">
            <v>First Class</v>
          </cell>
          <cell r="N354">
            <v>5</v>
          </cell>
          <cell r="P354">
            <v>0.25</v>
          </cell>
        </row>
        <row r="355">
          <cell r="G355" t="str">
            <v>North</v>
          </cell>
          <cell r="M355" t="str">
            <v>Same Day</v>
          </cell>
          <cell r="N355">
            <v>9</v>
          </cell>
          <cell r="P355">
            <v>0.2</v>
          </cell>
        </row>
        <row r="356">
          <cell r="G356" t="str">
            <v>North</v>
          </cell>
          <cell r="M356" t="str">
            <v>Standard Class</v>
          </cell>
          <cell r="N356">
            <v>6</v>
          </cell>
          <cell r="P356">
            <v>-0.06</v>
          </cell>
        </row>
        <row r="357">
          <cell r="G357" t="str">
            <v>West</v>
          </cell>
          <cell r="M357" t="str">
            <v>Standard Class</v>
          </cell>
          <cell r="N357">
            <v>5</v>
          </cell>
          <cell r="P357">
            <v>0</v>
          </cell>
        </row>
        <row r="358">
          <cell r="G358" t="str">
            <v>South</v>
          </cell>
          <cell r="M358" t="str">
            <v>First Class</v>
          </cell>
          <cell r="N358">
            <v>5</v>
          </cell>
          <cell r="P358">
            <v>0.2</v>
          </cell>
        </row>
        <row r="359">
          <cell r="G359" t="str">
            <v>South</v>
          </cell>
          <cell r="M359" t="str">
            <v>Second Class</v>
          </cell>
          <cell r="N359">
            <v>8</v>
          </cell>
          <cell r="P359">
            <v>0</v>
          </cell>
        </row>
        <row r="360">
          <cell r="G360" t="str">
            <v>West</v>
          </cell>
          <cell r="M360" t="str">
            <v>Second Class</v>
          </cell>
          <cell r="N360">
            <v>5</v>
          </cell>
          <cell r="P360">
            <v>0.05</v>
          </cell>
        </row>
        <row r="361">
          <cell r="G361" t="str">
            <v>South</v>
          </cell>
          <cell r="M361" t="str">
            <v>Same Day</v>
          </cell>
          <cell r="N361">
            <v>9</v>
          </cell>
          <cell r="P361">
            <v>0.1</v>
          </cell>
        </row>
        <row r="362">
          <cell r="G362" t="str">
            <v>West</v>
          </cell>
          <cell r="M362" t="str">
            <v>Standard Class</v>
          </cell>
          <cell r="N362">
            <v>7</v>
          </cell>
          <cell r="P362">
            <v>0.2</v>
          </cell>
        </row>
        <row r="363">
          <cell r="G363" t="str">
            <v>East</v>
          </cell>
          <cell r="M363" t="str">
            <v>Second Class</v>
          </cell>
          <cell r="N363">
            <v>9</v>
          </cell>
          <cell r="P363">
            <v>0.05</v>
          </cell>
        </row>
        <row r="364">
          <cell r="G364" t="str">
            <v>West</v>
          </cell>
          <cell r="M364" t="str">
            <v>Same Day</v>
          </cell>
          <cell r="N364">
            <v>4</v>
          </cell>
          <cell r="P364">
            <v>0.05</v>
          </cell>
        </row>
        <row r="365">
          <cell r="G365" t="str">
            <v>East</v>
          </cell>
          <cell r="M365" t="str">
            <v>Second Class</v>
          </cell>
          <cell r="N365">
            <v>5</v>
          </cell>
          <cell r="P365">
            <v>0.25</v>
          </cell>
        </row>
        <row r="366">
          <cell r="G366" t="str">
            <v>South</v>
          </cell>
          <cell r="M366" t="str">
            <v>Second Class</v>
          </cell>
          <cell r="N366">
            <v>5</v>
          </cell>
          <cell r="P366">
            <v>0</v>
          </cell>
        </row>
        <row r="367">
          <cell r="G367" t="str">
            <v>West</v>
          </cell>
          <cell r="M367" t="str">
            <v>First Class</v>
          </cell>
          <cell r="N367">
            <v>8</v>
          </cell>
        </row>
        <row r="368">
          <cell r="G368" t="str">
            <v>North</v>
          </cell>
          <cell r="M368" t="str">
            <v>Same Day</v>
          </cell>
          <cell r="N368">
            <v>2</v>
          </cell>
          <cell r="P368">
            <v>0</v>
          </cell>
        </row>
        <row r="369">
          <cell r="G369" t="str">
            <v>North</v>
          </cell>
          <cell r="M369" t="str">
            <v>Standard Class</v>
          </cell>
          <cell r="N369">
            <v>6</v>
          </cell>
          <cell r="P369">
            <v>0.15</v>
          </cell>
        </row>
        <row r="370">
          <cell r="G370" t="str">
            <v>North</v>
          </cell>
          <cell r="M370" t="str">
            <v>Same Day</v>
          </cell>
          <cell r="N370">
            <v>9</v>
          </cell>
          <cell r="P370">
            <v>0.05</v>
          </cell>
        </row>
        <row r="371">
          <cell r="G371" t="str">
            <v>North</v>
          </cell>
          <cell r="M371" t="str">
            <v>Standard Class</v>
          </cell>
          <cell r="N371">
            <v>9</v>
          </cell>
          <cell r="P371">
            <v>0.15</v>
          </cell>
        </row>
        <row r="372">
          <cell r="G372" t="str">
            <v>West</v>
          </cell>
          <cell r="M372" t="str">
            <v>First Class</v>
          </cell>
          <cell r="N372">
            <v>7</v>
          </cell>
          <cell r="P372">
            <v>0.2</v>
          </cell>
        </row>
        <row r="373">
          <cell r="G373" t="str">
            <v>West</v>
          </cell>
          <cell r="M373" t="str">
            <v>Standard Class</v>
          </cell>
          <cell r="N373">
            <v>6</v>
          </cell>
        </row>
        <row r="374">
          <cell r="G374" t="str">
            <v>East</v>
          </cell>
          <cell r="M374" t="str">
            <v>Same Day</v>
          </cell>
          <cell r="N374">
            <v>5</v>
          </cell>
          <cell r="P374">
            <v>0</v>
          </cell>
        </row>
        <row r="375">
          <cell r="G375" t="str">
            <v>North</v>
          </cell>
          <cell r="M375" t="str">
            <v>Second Class</v>
          </cell>
          <cell r="N375">
            <v>9</v>
          </cell>
          <cell r="P375">
            <v>0</v>
          </cell>
        </row>
        <row r="376">
          <cell r="G376" t="str">
            <v>North</v>
          </cell>
          <cell r="M376" t="str">
            <v>Standard Class</v>
          </cell>
          <cell r="N376">
            <v>6</v>
          </cell>
          <cell r="P376">
            <v>0</v>
          </cell>
        </row>
        <row r="377">
          <cell r="G377" t="str">
            <v>North</v>
          </cell>
          <cell r="M377" t="str">
            <v>Same Day</v>
          </cell>
          <cell r="N377">
            <v>3</v>
          </cell>
          <cell r="P377">
            <v>0.25</v>
          </cell>
        </row>
        <row r="378">
          <cell r="G378" t="str">
            <v>East</v>
          </cell>
          <cell r="M378" t="str">
            <v>First Class</v>
          </cell>
          <cell r="N378">
            <v>6</v>
          </cell>
          <cell r="P378">
            <v>0.2</v>
          </cell>
        </row>
        <row r="379">
          <cell r="G379" t="str">
            <v>East</v>
          </cell>
          <cell r="M379" t="str">
            <v>Same Day</v>
          </cell>
          <cell r="N379">
            <v>1</v>
          </cell>
          <cell r="P379">
            <v>0</v>
          </cell>
        </row>
        <row r="380">
          <cell r="G380" t="str">
            <v>West</v>
          </cell>
          <cell r="M380" t="str">
            <v>Standard Class</v>
          </cell>
          <cell r="N380">
            <v>2</v>
          </cell>
          <cell r="P380">
            <v>0</v>
          </cell>
        </row>
        <row r="381">
          <cell r="G381" t="str">
            <v>South</v>
          </cell>
          <cell r="M381" t="str">
            <v>Standard Class</v>
          </cell>
          <cell r="N381">
            <v>7</v>
          </cell>
        </row>
        <row r="382">
          <cell r="G382" t="str">
            <v>West</v>
          </cell>
          <cell r="M382" t="str">
            <v>Same Day</v>
          </cell>
          <cell r="N382">
            <v>5</v>
          </cell>
          <cell r="P382">
            <v>0.25</v>
          </cell>
        </row>
        <row r="383">
          <cell r="G383" t="str">
            <v>North</v>
          </cell>
          <cell r="M383" t="str">
            <v>Standard Class</v>
          </cell>
          <cell r="N383">
            <v>4</v>
          </cell>
          <cell r="P383">
            <v>0.05</v>
          </cell>
        </row>
        <row r="384">
          <cell r="G384" t="str">
            <v>East</v>
          </cell>
          <cell r="M384" t="str">
            <v>First Class</v>
          </cell>
          <cell r="N384">
            <v>3</v>
          </cell>
          <cell r="P384">
            <v>0.2</v>
          </cell>
        </row>
        <row r="385">
          <cell r="G385" t="str">
            <v>East</v>
          </cell>
          <cell r="M385" t="str">
            <v>First Class</v>
          </cell>
          <cell r="N385">
            <v>2</v>
          </cell>
          <cell r="P385">
            <v>0</v>
          </cell>
        </row>
        <row r="386">
          <cell r="G386" t="str">
            <v>East</v>
          </cell>
          <cell r="M386" t="str">
            <v>Standard Class</v>
          </cell>
          <cell r="N386">
            <v>2</v>
          </cell>
          <cell r="P386">
            <v>0.25</v>
          </cell>
        </row>
        <row r="387">
          <cell r="G387" t="str">
            <v>North</v>
          </cell>
          <cell r="M387" t="str">
            <v>Standard Class</v>
          </cell>
          <cell r="N387">
            <v>6</v>
          </cell>
          <cell r="P387">
            <v>0.1</v>
          </cell>
        </row>
        <row r="388">
          <cell r="G388" t="str">
            <v>West</v>
          </cell>
          <cell r="M388" t="str">
            <v>Second Class</v>
          </cell>
          <cell r="N388">
            <v>8</v>
          </cell>
          <cell r="P388">
            <v>0.1</v>
          </cell>
        </row>
        <row r="389">
          <cell r="G389" t="str">
            <v>West</v>
          </cell>
          <cell r="M389" t="str">
            <v>Standard Class</v>
          </cell>
          <cell r="N389">
            <v>5</v>
          </cell>
          <cell r="P389">
            <v>0</v>
          </cell>
        </row>
        <row r="390">
          <cell r="G390" t="str">
            <v>West</v>
          </cell>
          <cell r="M390" t="str">
            <v>Standard Class</v>
          </cell>
          <cell r="N390">
            <v>3</v>
          </cell>
          <cell r="P390">
            <v>0</v>
          </cell>
        </row>
        <row r="391">
          <cell r="G391" t="str">
            <v>West</v>
          </cell>
          <cell r="M391" t="str">
            <v>Second Class</v>
          </cell>
          <cell r="N391">
            <v>5</v>
          </cell>
          <cell r="P391">
            <v>0.2</v>
          </cell>
        </row>
        <row r="392">
          <cell r="G392" t="str">
            <v>West</v>
          </cell>
          <cell r="M392" t="str">
            <v>Standard Class</v>
          </cell>
          <cell r="N392">
            <v>4</v>
          </cell>
          <cell r="P392">
            <v>0.2</v>
          </cell>
        </row>
        <row r="393">
          <cell r="G393" t="str">
            <v>South</v>
          </cell>
          <cell r="M393" t="str">
            <v>First Class</v>
          </cell>
          <cell r="N393">
            <v>1</v>
          </cell>
          <cell r="P393">
            <v>0</v>
          </cell>
        </row>
        <row r="394">
          <cell r="G394" t="str">
            <v>South</v>
          </cell>
          <cell r="M394" t="str">
            <v>Same Day</v>
          </cell>
          <cell r="N394">
            <v>9</v>
          </cell>
          <cell r="P394">
            <v>0</v>
          </cell>
        </row>
        <row r="395">
          <cell r="G395" t="str">
            <v>North</v>
          </cell>
          <cell r="M395" t="str">
            <v>Same Day</v>
          </cell>
          <cell r="N395">
            <v>2</v>
          </cell>
          <cell r="P395">
            <v>0.05</v>
          </cell>
        </row>
        <row r="396">
          <cell r="G396" t="str">
            <v>West</v>
          </cell>
          <cell r="M396" t="str">
            <v>First Class</v>
          </cell>
          <cell r="N396">
            <v>7</v>
          </cell>
          <cell r="P396">
            <v>0</v>
          </cell>
        </row>
        <row r="397">
          <cell r="G397" t="str">
            <v>South</v>
          </cell>
          <cell r="M397" t="str">
            <v>Same Day</v>
          </cell>
          <cell r="N397">
            <v>7</v>
          </cell>
          <cell r="P397">
            <v>0.05</v>
          </cell>
        </row>
        <row r="398">
          <cell r="G398" t="str">
            <v>South</v>
          </cell>
          <cell r="M398" t="str">
            <v>Standard Class</v>
          </cell>
          <cell r="N398">
            <v>2</v>
          </cell>
          <cell r="P398">
            <v>0.05</v>
          </cell>
        </row>
        <row r="399">
          <cell r="G399" t="str">
            <v>North</v>
          </cell>
          <cell r="M399" t="str">
            <v>Second Class</v>
          </cell>
          <cell r="N399">
            <v>2</v>
          </cell>
          <cell r="P399">
            <v>0</v>
          </cell>
        </row>
        <row r="400">
          <cell r="G400" t="str">
            <v>North</v>
          </cell>
          <cell r="M400" t="str">
            <v>Same Day</v>
          </cell>
          <cell r="N400">
            <v>2</v>
          </cell>
          <cell r="P400">
            <v>0.2</v>
          </cell>
        </row>
        <row r="401">
          <cell r="G401" t="str">
            <v>South</v>
          </cell>
          <cell r="M401" t="str">
            <v>Same Day</v>
          </cell>
          <cell r="N401">
            <v>1</v>
          </cell>
          <cell r="P401">
            <v>0.25</v>
          </cell>
        </row>
        <row r="402">
          <cell r="G402" t="str">
            <v>North</v>
          </cell>
          <cell r="M402" t="str">
            <v>Same Day</v>
          </cell>
          <cell r="N402">
            <v>7</v>
          </cell>
          <cell r="P402">
            <v>-0.1</v>
          </cell>
        </row>
        <row r="403">
          <cell r="G403" t="str">
            <v>East</v>
          </cell>
          <cell r="M403" t="str">
            <v>Same Day</v>
          </cell>
          <cell r="N403">
            <v>3</v>
          </cell>
          <cell r="P403">
            <v>0</v>
          </cell>
        </row>
        <row r="404">
          <cell r="G404" t="str">
            <v>South</v>
          </cell>
          <cell r="M404" t="str">
            <v/>
          </cell>
          <cell r="N404">
            <v>3</v>
          </cell>
          <cell r="P404">
            <v>0</v>
          </cell>
        </row>
        <row r="405">
          <cell r="G405" t="str">
            <v>South</v>
          </cell>
          <cell r="M405" t="str">
            <v>Same Day</v>
          </cell>
          <cell r="N405">
            <v>5</v>
          </cell>
          <cell r="P405">
            <v>0.05</v>
          </cell>
        </row>
        <row r="406">
          <cell r="G406" t="str">
            <v>West</v>
          </cell>
          <cell r="M406" t="str">
            <v>Same Day</v>
          </cell>
          <cell r="N406">
            <v>3</v>
          </cell>
          <cell r="P406">
            <v>0</v>
          </cell>
        </row>
        <row r="407">
          <cell r="G407" t="str">
            <v>West</v>
          </cell>
          <cell r="M407" t="str">
            <v/>
          </cell>
          <cell r="N407">
            <v>7</v>
          </cell>
          <cell r="P407">
            <v>0.1</v>
          </cell>
        </row>
        <row r="408">
          <cell r="G408" t="str">
            <v>West</v>
          </cell>
          <cell r="M408" t="str">
            <v>Standard Class</v>
          </cell>
          <cell r="N408">
            <v>2</v>
          </cell>
          <cell r="P408">
            <v>0.25</v>
          </cell>
        </row>
        <row r="409">
          <cell r="G409" t="str">
            <v>West</v>
          </cell>
          <cell r="M409" t="str">
            <v>Second Class</v>
          </cell>
          <cell r="N409">
            <v>3</v>
          </cell>
          <cell r="P409">
            <v>0</v>
          </cell>
        </row>
        <row r="410">
          <cell r="G410" t="str">
            <v>West</v>
          </cell>
          <cell r="M410" t="str">
            <v>First Class</v>
          </cell>
          <cell r="N410">
            <v>4</v>
          </cell>
          <cell r="P410">
            <v>0</v>
          </cell>
        </row>
        <row r="411">
          <cell r="G411" t="str">
            <v>East</v>
          </cell>
          <cell r="M411" t="str">
            <v>Same Day</v>
          </cell>
          <cell r="N411">
            <v>1</v>
          </cell>
          <cell r="P411">
            <v>0.25</v>
          </cell>
        </row>
        <row r="412">
          <cell r="G412" t="str">
            <v>West</v>
          </cell>
          <cell r="M412" t="str">
            <v>First Class</v>
          </cell>
          <cell r="N412">
            <v>9</v>
          </cell>
          <cell r="P412">
            <v>0.2</v>
          </cell>
        </row>
        <row r="413">
          <cell r="G413" t="str">
            <v>West</v>
          </cell>
          <cell r="M413" t="str">
            <v>First Class</v>
          </cell>
          <cell r="N413">
            <v>1</v>
          </cell>
          <cell r="P413">
            <v>0.2</v>
          </cell>
        </row>
        <row r="414">
          <cell r="G414" t="str">
            <v>South</v>
          </cell>
          <cell r="M414" t="str">
            <v>Same Day</v>
          </cell>
          <cell r="N414">
            <v>1</v>
          </cell>
          <cell r="P414">
            <v>0.25</v>
          </cell>
        </row>
        <row r="415">
          <cell r="G415" t="str">
            <v>West</v>
          </cell>
          <cell r="M415" t="str">
            <v>Second Class</v>
          </cell>
          <cell r="N415">
            <v>8</v>
          </cell>
          <cell r="P415">
            <v>0</v>
          </cell>
        </row>
        <row r="416">
          <cell r="G416" t="str">
            <v>East</v>
          </cell>
          <cell r="M416" t="str">
            <v>First Class</v>
          </cell>
          <cell r="N416">
            <v>4</v>
          </cell>
          <cell r="P416">
            <v>0.05</v>
          </cell>
        </row>
        <row r="417">
          <cell r="G417" t="str">
            <v>South</v>
          </cell>
          <cell r="M417" t="str">
            <v>Same Day</v>
          </cell>
          <cell r="N417">
            <v>7</v>
          </cell>
          <cell r="P417">
            <v>0.15</v>
          </cell>
        </row>
        <row r="418">
          <cell r="G418" t="str">
            <v>South</v>
          </cell>
          <cell r="M418" t="str">
            <v>First Class</v>
          </cell>
          <cell r="N418">
            <v>8</v>
          </cell>
          <cell r="P418">
            <v>0.25</v>
          </cell>
        </row>
        <row r="419">
          <cell r="G419" t="str">
            <v>West</v>
          </cell>
          <cell r="M419" t="str">
            <v>First Class</v>
          </cell>
          <cell r="N419">
            <v>6</v>
          </cell>
          <cell r="P419">
            <v>0.2</v>
          </cell>
        </row>
        <row r="420">
          <cell r="G420" t="str">
            <v>East</v>
          </cell>
          <cell r="M420" t="str">
            <v>Standard Class</v>
          </cell>
          <cell r="N420">
            <v>6</v>
          </cell>
          <cell r="P420">
            <v>0</v>
          </cell>
        </row>
        <row r="421">
          <cell r="G421" t="str">
            <v>North</v>
          </cell>
          <cell r="M421" t="str">
            <v>Same Day</v>
          </cell>
          <cell r="N421">
            <v>2</v>
          </cell>
          <cell r="P421">
            <v>0.05</v>
          </cell>
        </row>
        <row r="422">
          <cell r="G422" t="str">
            <v>South</v>
          </cell>
          <cell r="M422" t="str">
            <v>Standard Class</v>
          </cell>
          <cell r="N422">
            <v>2</v>
          </cell>
          <cell r="P422">
            <v>0.25</v>
          </cell>
        </row>
        <row r="423">
          <cell r="G423" t="str">
            <v>North</v>
          </cell>
          <cell r="M423" t="str">
            <v>Same Day</v>
          </cell>
          <cell r="N423">
            <v>3</v>
          </cell>
          <cell r="P423">
            <v>0.2</v>
          </cell>
        </row>
        <row r="424">
          <cell r="G424" t="str">
            <v>West</v>
          </cell>
          <cell r="M424" t="str">
            <v>Same Day</v>
          </cell>
          <cell r="N424">
            <v>7</v>
          </cell>
          <cell r="P424">
            <v>0.15</v>
          </cell>
        </row>
        <row r="425">
          <cell r="G425" t="str">
            <v>South</v>
          </cell>
          <cell r="M425" t="str">
            <v>First Class</v>
          </cell>
          <cell r="N425">
            <v>9</v>
          </cell>
          <cell r="P425">
            <v>0.2</v>
          </cell>
        </row>
        <row r="426">
          <cell r="G426" t="str">
            <v>North</v>
          </cell>
          <cell r="M426" t="str">
            <v>Standard Class</v>
          </cell>
          <cell r="N426">
            <v>8</v>
          </cell>
          <cell r="P426">
            <v>0</v>
          </cell>
        </row>
        <row r="427">
          <cell r="G427" t="str">
            <v>North</v>
          </cell>
          <cell r="M427" t="str">
            <v>First Class</v>
          </cell>
          <cell r="N427">
            <v>2</v>
          </cell>
          <cell r="P427">
            <v>0.1</v>
          </cell>
        </row>
        <row r="428">
          <cell r="G428" t="str">
            <v>North</v>
          </cell>
          <cell r="M428" t="str">
            <v>Same Day</v>
          </cell>
          <cell r="N428">
            <v>8</v>
          </cell>
          <cell r="P428">
            <v>0.1</v>
          </cell>
        </row>
        <row r="429">
          <cell r="G429" t="str">
            <v/>
          </cell>
          <cell r="M429" t="str">
            <v>Standard Class</v>
          </cell>
          <cell r="N429">
            <v>9</v>
          </cell>
          <cell r="P429">
            <v>0</v>
          </cell>
        </row>
        <row r="430">
          <cell r="G430" t="str">
            <v>East</v>
          </cell>
          <cell r="M430" t="str">
            <v>Same Day</v>
          </cell>
          <cell r="N430">
            <v>2</v>
          </cell>
          <cell r="P430">
            <v>0.25</v>
          </cell>
        </row>
        <row r="431">
          <cell r="G431" t="str">
            <v>North</v>
          </cell>
          <cell r="M431" t="str">
            <v>Same Day</v>
          </cell>
          <cell r="N431">
            <v>8</v>
          </cell>
          <cell r="P431">
            <v>0.25</v>
          </cell>
        </row>
        <row r="432">
          <cell r="G432" t="str">
            <v>North</v>
          </cell>
          <cell r="M432" t="str">
            <v>Second Class</v>
          </cell>
          <cell r="N432">
            <v>1</v>
          </cell>
          <cell r="P432">
            <v>0.15</v>
          </cell>
        </row>
        <row r="433">
          <cell r="G433" t="str">
            <v>West</v>
          </cell>
          <cell r="M433" t="str">
            <v>Same Day</v>
          </cell>
          <cell r="N433">
            <v>2</v>
          </cell>
          <cell r="P433">
            <v>0.25</v>
          </cell>
        </row>
        <row r="434">
          <cell r="G434" t="str">
            <v>West</v>
          </cell>
          <cell r="M434" t="str">
            <v>Standard Class</v>
          </cell>
          <cell r="N434">
            <v>6</v>
          </cell>
          <cell r="P434">
            <v>0.05</v>
          </cell>
        </row>
        <row r="435">
          <cell r="G435" t="str">
            <v>South</v>
          </cell>
          <cell r="M435" t="str">
            <v>Second Class</v>
          </cell>
          <cell r="N435">
            <v>4</v>
          </cell>
          <cell r="P435">
            <v>0</v>
          </cell>
        </row>
        <row r="436">
          <cell r="G436" t="str">
            <v>North</v>
          </cell>
          <cell r="M436" t="str">
            <v>Second Class</v>
          </cell>
          <cell r="N436">
            <v>5</v>
          </cell>
          <cell r="P436">
            <v>0</v>
          </cell>
        </row>
        <row r="437">
          <cell r="G437" t="str">
            <v>North</v>
          </cell>
          <cell r="M437" t="str">
            <v>Standard Class</v>
          </cell>
          <cell r="N437">
            <v>1</v>
          </cell>
          <cell r="P437">
            <v>0.15</v>
          </cell>
        </row>
        <row r="438">
          <cell r="G438" t="str">
            <v>South</v>
          </cell>
          <cell r="M438" t="str">
            <v>Same Day</v>
          </cell>
          <cell r="N438">
            <v>6</v>
          </cell>
          <cell r="P438">
            <v>0.05</v>
          </cell>
        </row>
        <row r="439">
          <cell r="G439" t="str">
            <v>South</v>
          </cell>
          <cell r="M439" t="str">
            <v>Same Day</v>
          </cell>
          <cell r="N439">
            <v>8</v>
          </cell>
          <cell r="P439">
            <v>0.05</v>
          </cell>
        </row>
        <row r="440">
          <cell r="G440" t="str">
            <v>East</v>
          </cell>
          <cell r="M440" t="str">
            <v>Standard Class</v>
          </cell>
          <cell r="N440">
            <v>1</v>
          </cell>
          <cell r="P440">
            <v>0.2</v>
          </cell>
        </row>
        <row r="441">
          <cell r="G441" t="str">
            <v>West</v>
          </cell>
          <cell r="M441" t="str">
            <v>Same Day</v>
          </cell>
          <cell r="N441">
            <v>5</v>
          </cell>
          <cell r="P441">
            <v>0</v>
          </cell>
        </row>
        <row r="442">
          <cell r="G442" t="str">
            <v>East</v>
          </cell>
          <cell r="M442" t="str">
            <v>Second Class</v>
          </cell>
          <cell r="N442">
            <v>6</v>
          </cell>
          <cell r="P442">
            <v>0.2</v>
          </cell>
        </row>
        <row r="443">
          <cell r="G443" t="str">
            <v>East</v>
          </cell>
          <cell r="M443" t="str">
            <v>Standard Class</v>
          </cell>
          <cell r="N443">
            <v>6</v>
          </cell>
          <cell r="P443">
            <v>0</v>
          </cell>
        </row>
        <row r="444">
          <cell r="G444" t="str">
            <v>East</v>
          </cell>
          <cell r="M444" t="str">
            <v>First Class</v>
          </cell>
          <cell r="N444">
            <v>1</v>
          </cell>
          <cell r="P444">
            <v>0</v>
          </cell>
        </row>
        <row r="445">
          <cell r="G445" t="str">
            <v>East</v>
          </cell>
          <cell r="M445" t="str">
            <v>First Class</v>
          </cell>
          <cell r="N445">
            <v>1</v>
          </cell>
          <cell r="P445">
            <v>0.1</v>
          </cell>
        </row>
        <row r="446">
          <cell r="G446" t="str">
            <v>East</v>
          </cell>
          <cell r="M446" t="str">
            <v>Same Day</v>
          </cell>
          <cell r="N446">
            <v>9</v>
          </cell>
          <cell r="P446">
            <v>0.05</v>
          </cell>
        </row>
        <row r="447">
          <cell r="G447" t="str">
            <v>East</v>
          </cell>
          <cell r="M447" t="str">
            <v>Same Day</v>
          </cell>
          <cell r="N447">
            <v>2</v>
          </cell>
          <cell r="P447">
            <v>0.2</v>
          </cell>
        </row>
        <row r="448">
          <cell r="G448" t="str">
            <v>South</v>
          </cell>
          <cell r="M448" t="str">
            <v>Same Day</v>
          </cell>
          <cell r="N448">
            <v>8</v>
          </cell>
          <cell r="P448">
            <v>0</v>
          </cell>
        </row>
        <row r="449">
          <cell r="G449" t="str">
            <v>South</v>
          </cell>
          <cell r="M449" t="str">
            <v>Standard Class</v>
          </cell>
          <cell r="N449">
            <v>6</v>
          </cell>
          <cell r="P449">
            <v>0.15</v>
          </cell>
        </row>
        <row r="450">
          <cell r="G450" t="str">
            <v>South</v>
          </cell>
          <cell r="M450" t="str">
            <v>First Class</v>
          </cell>
          <cell r="N450">
            <v>2</v>
          </cell>
          <cell r="P450">
            <v>0.15</v>
          </cell>
        </row>
        <row r="451">
          <cell r="G451" t="str">
            <v>East</v>
          </cell>
          <cell r="M451" t="str">
            <v>Second Class</v>
          </cell>
          <cell r="N451">
            <v>6</v>
          </cell>
          <cell r="P451">
            <v>0</v>
          </cell>
        </row>
        <row r="452">
          <cell r="G452" t="str">
            <v>North</v>
          </cell>
          <cell r="M452" t="str">
            <v>Standard Class</v>
          </cell>
          <cell r="N452">
            <v>9</v>
          </cell>
          <cell r="P452">
            <v>0.25</v>
          </cell>
        </row>
        <row r="453">
          <cell r="G453" t="str">
            <v>North</v>
          </cell>
          <cell r="M453" t="str">
            <v>Second Class</v>
          </cell>
          <cell r="N453">
            <v>8</v>
          </cell>
          <cell r="P453">
            <v>0.15</v>
          </cell>
        </row>
        <row r="454">
          <cell r="G454" t="str">
            <v>East</v>
          </cell>
          <cell r="M454" t="str">
            <v>Second Class</v>
          </cell>
          <cell r="N454">
            <v>6</v>
          </cell>
          <cell r="P454">
            <v>0.2</v>
          </cell>
        </row>
        <row r="455">
          <cell r="G455" t="str">
            <v>West</v>
          </cell>
          <cell r="M455" t="str">
            <v>Same Day</v>
          </cell>
          <cell r="N455">
            <v>5</v>
          </cell>
          <cell r="P455">
            <v>0</v>
          </cell>
        </row>
        <row r="456">
          <cell r="G456" t="str">
            <v>North</v>
          </cell>
          <cell r="M456" t="str">
            <v>Standard Class</v>
          </cell>
          <cell r="N456">
            <v>9</v>
          </cell>
          <cell r="P456">
            <v>0.15</v>
          </cell>
        </row>
        <row r="457">
          <cell r="G457" t="str">
            <v>South</v>
          </cell>
          <cell r="M457" t="str">
            <v>Standard Class</v>
          </cell>
          <cell r="N457">
            <v>4</v>
          </cell>
          <cell r="P457">
            <v>0</v>
          </cell>
        </row>
        <row r="458">
          <cell r="G458" t="str">
            <v>North</v>
          </cell>
          <cell r="M458" t="str">
            <v>Same Day</v>
          </cell>
          <cell r="N458">
            <v>5</v>
          </cell>
          <cell r="P458">
            <v>0.15</v>
          </cell>
        </row>
        <row r="459">
          <cell r="G459" t="str">
            <v>West</v>
          </cell>
          <cell r="M459" t="str">
            <v>Standard Class</v>
          </cell>
          <cell r="N459">
            <v>7</v>
          </cell>
          <cell r="P459">
            <v>0</v>
          </cell>
        </row>
        <row r="460">
          <cell r="G460" t="str">
            <v>North</v>
          </cell>
          <cell r="M460" t="str">
            <v>Second Class</v>
          </cell>
          <cell r="N460">
            <v>3</v>
          </cell>
          <cell r="P460">
            <v>0.1</v>
          </cell>
        </row>
        <row r="461">
          <cell r="G461" t="str">
            <v>West</v>
          </cell>
          <cell r="M461" t="str">
            <v>First Class</v>
          </cell>
          <cell r="N461">
            <v>3</v>
          </cell>
          <cell r="P461">
            <v>0</v>
          </cell>
        </row>
        <row r="462">
          <cell r="G462" t="str">
            <v/>
          </cell>
          <cell r="M462" t="str">
            <v>Second Class</v>
          </cell>
          <cell r="N462">
            <v>9</v>
          </cell>
          <cell r="P462">
            <v>0.05</v>
          </cell>
        </row>
        <row r="463">
          <cell r="G463" t="str">
            <v>South</v>
          </cell>
          <cell r="M463" t="str">
            <v>Standard Class</v>
          </cell>
          <cell r="N463">
            <v>3</v>
          </cell>
          <cell r="P463">
            <v>0.15</v>
          </cell>
        </row>
        <row r="464">
          <cell r="G464" t="str">
            <v>North</v>
          </cell>
          <cell r="M464" t="str">
            <v>First Class</v>
          </cell>
          <cell r="N464">
            <v>2</v>
          </cell>
          <cell r="P464">
            <v>0.2</v>
          </cell>
        </row>
        <row r="465">
          <cell r="G465" t="str">
            <v>West</v>
          </cell>
          <cell r="M465" t="str">
            <v>Standard Class</v>
          </cell>
          <cell r="N465">
            <v>4</v>
          </cell>
          <cell r="P465">
            <v>0.2</v>
          </cell>
        </row>
        <row r="466">
          <cell r="G466" t="str">
            <v>East</v>
          </cell>
          <cell r="M466" t="str">
            <v>Same Day</v>
          </cell>
          <cell r="N466">
            <v>3</v>
          </cell>
          <cell r="P466">
            <v>0.05</v>
          </cell>
        </row>
        <row r="467">
          <cell r="G467" t="str">
            <v>West</v>
          </cell>
          <cell r="M467" t="str">
            <v>Standard Class</v>
          </cell>
          <cell r="N467">
            <v>2</v>
          </cell>
          <cell r="P467">
            <v>0</v>
          </cell>
        </row>
        <row r="468">
          <cell r="G468" t="str">
            <v>East</v>
          </cell>
          <cell r="M468" t="str">
            <v>Same Day</v>
          </cell>
          <cell r="N468">
            <v>9</v>
          </cell>
          <cell r="P468">
            <v>0.2</v>
          </cell>
        </row>
        <row r="469">
          <cell r="G469" t="str">
            <v>East</v>
          </cell>
          <cell r="M469" t="str">
            <v>First Class</v>
          </cell>
          <cell r="N469">
            <v>5</v>
          </cell>
          <cell r="P469">
            <v>0.1</v>
          </cell>
        </row>
        <row r="470">
          <cell r="G470" t="str">
            <v>East</v>
          </cell>
          <cell r="M470" t="str">
            <v>Second Class</v>
          </cell>
          <cell r="N470">
            <v>3</v>
          </cell>
          <cell r="P470">
            <v>0</v>
          </cell>
        </row>
        <row r="471">
          <cell r="G471" t="str">
            <v>West</v>
          </cell>
          <cell r="M471" t="str">
            <v>First Class</v>
          </cell>
          <cell r="N471">
            <v>3</v>
          </cell>
          <cell r="P471">
            <v>0.1</v>
          </cell>
        </row>
        <row r="472">
          <cell r="G472" t="str">
            <v>North</v>
          </cell>
          <cell r="M472" t="str">
            <v>Same Day</v>
          </cell>
          <cell r="N472">
            <v>2</v>
          </cell>
          <cell r="P472">
            <v>0.2</v>
          </cell>
        </row>
        <row r="473">
          <cell r="G473" t="str">
            <v>South</v>
          </cell>
          <cell r="M473" t="str">
            <v>Standard Class</v>
          </cell>
          <cell r="N473">
            <v>3</v>
          </cell>
          <cell r="P473">
            <v>0.25</v>
          </cell>
        </row>
        <row r="474">
          <cell r="G474" t="str">
            <v>East</v>
          </cell>
          <cell r="M474" t="str">
            <v>Standard Class</v>
          </cell>
          <cell r="N474">
            <v>7</v>
          </cell>
          <cell r="P474">
            <v>0</v>
          </cell>
        </row>
        <row r="475">
          <cell r="G475" t="str">
            <v>West</v>
          </cell>
          <cell r="M475" t="str">
            <v>Standard Class</v>
          </cell>
          <cell r="N475">
            <v>6</v>
          </cell>
          <cell r="P475">
            <v>0.2</v>
          </cell>
        </row>
        <row r="476">
          <cell r="G476" t="str">
            <v>North</v>
          </cell>
          <cell r="M476" t="str">
            <v>Standard Class</v>
          </cell>
          <cell r="N476">
            <v>3</v>
          </cell>
          <cell r="P476">
            <v>0</v>
          </cell>
        </row>
        <row r="477">
          <cell r="G477" t="str">
            <v>East</v>
          </cell>
          <cell r="M477" t="str">
            <v>Same Day</v>
          </cell>
          <cell r="N477">
            <v>8</v>
          </cell>
          <cell r="P477">
            <v>0.25</v>
          </cell>
        </row>
        <row r="478">
          <cell r="G478" t="str">
            <v>North</v>
          </cell>
          <cell r="M478" t="str">
            <v>First Class</v>
          </cell>
          <cell r="N478">
            <v>3</v>
          </cell>
          <cell r="P478">
            <v>0.1</v>
          </cell>
        </row>
        <row r="479">
          <cell r="G479" t="str">
            <v>West</v>
          </cell>
          <cell r="M479" t="str">
            <v>Standard Class</v>
          </cell>
          <cell r="N479">
            <v>6</v>
          </cell>
          <cell r="P479">
            <v>0.1</v>
          </cell>
        </row>
        <row r="480">
          <cell r="G480" t="str">
            <v/>
          </cell>
          <cell r="M480" t="str">
            <v>Same Day</v>
          </cell>
          <cell r="N480">
            <v>7</v>
          </cell>
          <cell r="P480">
            <v>0.1</v>
          </cell>
        </row>
        <row r="481">
          <cell r="G481" t="str">
            <v>East</v>
          </cell>
          <cell r="M481" t="str">
            <v>Second Class</v>
          </cell>
          <cell r="N481">
            <v>1</v>
          </cell>
        </row>
        <row r="482">
          <cell r="G482" t="str">
            <v>South</v>
          </cell>
          <cell r="M482" t="str">
            <v/>
          </cell>
          <cell r="N482">
            <v>5</v>
          </cell>
          <cell r="P482">
            <v>0</v>
          </cell>
        </row>
        <row r="483">
          <cell r="G483" t="str">
            <v>North</v>
          </cell>
          <cell r="M483" t="str">
            <v>Same Day</v>
          </cell>
          <cell r="N483">
            <v>4</v>
          </cell>
          <cell r="P483" t="str">
            <v>85%</v>
          </cell>
        </row>
        <row r="484">
          <cell r="G484" t="str">
            <v>South</v>
          </cell>
          <cell r="M484" t="str">
            <v>Second Class</v>
          </cell>
          <cell r="N484">
            <v>3</v>
          </cell>
          <cell r="P484">
            <v>0.25</v>
          </cell>
        </row>
        <row r="485">
          <cell r="G485" t="str">
            <v>East</v>
          </cell>
          <cell r="M485" t="str">
            <v>Standard Class</v>
          </cell>
          <cell r="N485">
            <v>1</v>
          </cell>
          <cell r="P485">
            <v>0.15</v>
          </cell>
        </row>
        <row r="486">
          <cell r="G486" t="str">
            <v>South</v>
          </cell>
          <cell r="M486" t="str">
            <v>First Class</v>
          </cell>
          <cell r="N486">
            <v>6</v>
          </cell>
          <cell r="P486">
            <v>0.25</v>
          </cell>
        </row>
        <row r="487">
          <cell r="G487" t="str">
            <v>West</v>
          </cell>
          <cell r="M487" t="str">
            <v>Standard Class</v>
          </cell>
          <cell r="N487">
            <v>4</v>
          </cell>
          <cell r="P487">
            <v>0.25</v>
          </cell>
        </row>
        <row r="488">
          <cell r="G488" t="str">
            <v>West</v>
          </cell>
          <cell r="M488" t="str">
            <v>Standard Class</v>
          </cell>
          <cell r="N488">
            <v>3</v>
          </cell>
          <cell r="P488">
            <v>0.2</v>
          </cell>
        </row>
        <row r="489">
          <cell r="G489" t="str">
            <v>South</v>
          </cell>
          <cell r="M489" t="str">
            <v>Standard Class</v>
          </cell>
          <cell r="N489">
            <v>5</v>
          </cell>
          <cell r="P489">
            <v>0</v>
          </cell>
        </row>
        <row r="490">
          <cell r="G490" t="str">
            <v>North</v>
          </cell>
          <cell r="M490" t="str">
            <v>Same Day</v>
          </cell>
          <cell r="N490">
            <v>7</v>
          </cell>
          <cell r="P490">
            <v>0.2</v>
          </cell>
        </row>
        <row r="491">
          <cell r="G491" t="str">
            <v>East</v>
          </cell>
          <cell r="M491" t="str">
            <v>Second Class</v>
          </cell>
          <cell r="N491">
            <v>1</v>
          </cell>
          <cell r="P491">
            <v>0.2</v>
          </cell>
        </row>
        <row r="492">
          <cell r="G492" t="str">
            <v>West</v>
          </cell>
          <cell r="M492" t="str">
            <v>First Class</v>
          </cell>
          <cell r="N492">
            <v>7</v>
          </cell>
          <cell r="P492">
            <v>0.15</v>
          </cell>
        </row>
        <row r="493">
          <cell r="G493" t="str">
            <v>South</v>
          </cell>
          <cell r="M493" t="str">
            <v>Standard Class</v>
          </cell>
          <cell r="N493">
            <v>4</v>
          </cell>
          <cell r="P493">
            <v>0.2</v>
          </cell>
        </row>
        <row r="494">
          <cell r="G494" t="str">
            <v>South</v>
          </cell>
          <cell r="M494" t="str">
            <v>Second Class</v>
          </cell>
          <cell r="N494">
            <v>2</v>
          </cell>
          <cell r="P494">
            <v>0.25</v>
          </cell>
        </row>
        <row r="495">
          <cell r="G495" t="str">
            <v>East</v>
          </cell>
          <cell r="M495" t="str">
            <v>Second Class</v>
          </cell>
          <cell r="N495">
            <v>7</v>
          </cell>
          <cell r="P495">
            <v>0.05</v>
          </cell>
        </row>
        <row r="496">
          <cell r="G496" t="str">
            <v>West</v>
          </cell>
          <cell r="M496" t="str">
            <v>Standard Class</v>
          </cell>
          <cell r="N496">
            <v>3</v>
          </cell>
          <cell r="P496">
            <v>-0.13</v>
          </cell>
        </row>
        <row r="497">
          <cell r="G497" t="str">
            <v>East</v>
          </cell>
          <cell r="M497" t="str">
            <v>Second Class</v>
          </cell>
          <cell r="N497">
            <v>4</v>
          </cell>
          <cell r="P497">
            <v>0.05</v>
          </cell>
        </row>
        <row r="498">
          <cell r="G498" t="str">
            <v>East</v>
          </cell>
          <cell r="M498" t="str">
            <v>Second Class</v>
          </cell>
          <cell r="N498">
            <v>2</v>
          </cell>
          <cell r="P498">
            <v>0.1</v>
          </cell>
        </row>
        <row r="499">
          <cell r="G499" t="str">
            <v>North</v>
          </cell>
          <cell r="M499" t="str">
            <v>Second Class</v>
          </cell>
          <cell r="N499">
            <v>1</v>
          </cell>
          <cell r="P499">
            <v>0.2</v>
          </cell>
        </row>
        <row r="500">
          <cell r="G500" t="str">
            <v>North</v>
          </cell>
          <cell r="M500" t="str">
            <v>Same Day</v>
          </cell>
          <cell r="N500">
            <v>2</v>
          </cell>
          <cell r="P500">
            <v>0.05</v>
          </cell>
        </row>
        <row r="501">
          <cell r="G501" t="str">
            <v>North</v>
          </cell>
          <cell r="M501" t="str">
            <v>Standard Class</v>
          </cell>
          <cell r="N501">
            <v>9</v>
          </cell>
        </row>
        <row r="502">
          <cell r="G502" t="str">
            <v>South</v>
          </cell>
          <cell r="M502" t="str">
            <v>Same Day</v>
          </cell>
          <cell r="N502">
            <v>9</v>
          </cell>
          <cell r="P502" t="str">
            <v>85%</v>
          </cell>
        </row>
        <row r="503">
          <cell r="G503" t="str">
            <v>East</v>
          </cell>
          <cell r="M503" t="str">
            <v>Second Class</v>
          </cell>
          <cell r="N503">
            <v>6</v>
          </cell>
          <cell r="P503">
            <v>0.15</v>
          </cell>
        </row>
        <row r="504">
          <cell r="G504" t="str">
            <v>East</v>
          </cell>
          <cell r="M504" t="str">
            <v>Second Class</v>
          </cell>
          <cell r="N504">
            <v>6</v>
          </cell>
          <cell r="P504">
            <v>0.1</v>
          </cell>
        </row>
        <row r="505">
          <cell r="G505" t="str">
            <v>South</v>
          </cell>
          <cell r="M505" t="str">
            <v>Standard Class</v>
          </cell>
          <cell r="N505">
            <v>7</v>
          </cell>
          <cell r="P505">
            <v>0.1</v>
          </cell>
        </row>
        <row r="506">
          <cell r="G506" t="str">
            <v>West</v>
          </cell>
          <cell r="M506" t="str">
            <v>Standard Class</v>
          </cell>
          <cell r="N506">
            <v>4</v>
          </cell>
          <cell r="P506">
            <v>0</v>
          </cell>
        </row>
        <row r="507">
          <cell r="G507" t="str">
            <v>West</v>
          </cell>
          <cell r="M507" t="str">
            <v>First Class</v>
          </cell>
          <cell r="N507">
            <v>9</v>
          </cell>
          <cell r="P507">
            <v>0.2</v>
          </cell>
        </row>
        <row r="508">
          <cell r="G508" t="str">
            <v>North</v>
          </cell>
          <cell r="M508" t="str">
            <v>First Class</v>
          </cell>
          <cell r="N508">
            <v>2</v>
          </cell>
          <cell r="P508">
            <v>0.1</v>
          </cell>
        </row>
        <row r="509">
          <cell r="G509" t="str">
            <v>North</v>
          </cell>
          <cell r="M509" t="str">
            <v>Same Day</v>
          </cell>
          <cell r="N509">
            <v>4</v>
          </cell>
          <cell r="P509">
            <v>0.25</v>
          </cell>
        </row>
        <row r="510">
          <cell r="G510" t="str">
            <v>North</v>
          </cell>
          <cell r="M510" t="str">
            <v>Second Class</v>
          </cell>
          <cell r="N510">
            <v>4</v>
          </cell>
          <cell r="P510">
            <v>0</v>
          </cell>
        </row>
        <row r="511">
          <cell r="G511" t="str">
            <v>West</v>
          </cell>
          <cell r="M511" t="str">
            <v>Same Day</v>
          </cell>
          <cell r="N511">
            <v>8</v>
          </cell>
          <cell r="P511">
            <v>0.2</v>
          </cell>
        </row>
        <row r="512">
          <cell r="G512" t="str">
            <v>South</v>
          </cell>
          <cell r="M512" t="str">
            <v>Second Class</v>
          </cell>
          <cell r="N512">
            <v>2</v>
          </cell>
          <cell r="P512">
            <v>0</v>
          </cell>
        </row>
        <row r="513">
          <cell r="G513" t="str">
            <v>West</v>
          </cell>
          <cell r="M513" t="str">
            <v>Standard Class</v>
          </cell>
          <cell r="N513">
            <v>9</v>
          </cell>
          <cell r="P513">
            <v>0.25</v>
          </cell>
        </row>
        <row r="514">
          <cell r="G514" t="str">
            <v>South</v>
          </cell>
          <cell r="M514" t="str">
            <v>Second Class</v>
          </cell>
          <cell r="N514">
            <v>2</v>
          </cell>
          <cell r="P514">
            <v>0.25</v>
          </cell>
        </row>
        <row r="515">
          <cell r="G515" t="str">
            <v>South</v>
          </cell>
          <cell r="M515" t="str">
            <v>First Class</v>
          </cell>
          <cell r="N515">
            <v>6</v>
          </cell>
          <cell r="P515">
            <v>0.1</v>
          </cell>
        </row>
        <row r="516">
          <cell r="G516" t="str">
            <v>South</v>
          </cell>
          <cell r="M516" t="str">
            <v>Standard Class</v>
          </cell>
          <cell r="N516">
            <v>6</v>
          </cell>
          <cell r="P516">
            <v>0.1</v>
          </cell>
        </row>
        <row r="517">
          <cell r="G517" t="str">
            <v>North</v>
          </cell>
          <cell r="M517" t="str">
            <v>Standard Class</v>
          </cell>
          <cell r="N517">
            <v>1</v>
          </cell>
          <cell r="P517">
            <v>-7.0000000000000007E-2</v>
          </cell>
        </row>
        <row r="518">
          <cell r="G518" t="str">
            <v>North</v>
          </cell>
          <cell r="M518" t="str">
            <v>Standard Class</v>
          </cell>
          <cell r="N518">
            <v>1</v>
          </cell>
          <cell r="P518">
            <v>0</v>
          </cell>
        </row>
        <row r="519">
          <cell r="G519" t="str">
            <v>East</v>
          </cell>
          <cell r="M519" t="str">
            <v>Second Class</v>
          </cell>
          <cell r="N519">
            <v>7</v>
          </cell>
          <cell r="P519">
            <v>0.2</v>
          </cell>
        </row>
        <row r="520">
          <cell r="G520" t="str">
            <v>East</v>
          </cell>
          <cell r="M520" t="str">
            <v>First Class</v>
          </cell>
          <cell r="N520">
            <v>7</v>
          </cell>
          <cell r="P520">
            <v>0.25</v>
          </cell>
        </row>
        <row r="521">
          <cell r="G521" t="str">
            <v>North</v>
          </cell>
          <cell r="M521" t="str">
            <v>Standard Class</v>
          </cell>
          <cell r="N521">
            <v>4</v>
          </cell>
          <cell r="P521">
            <v>0.2</v>
          </cell>
        </row>
        <row r="522">
          <cell r="G522" t="str">
            <v>South</v>
          </cell>
          <cell r="M522" t="str">
            <v>Same Day</v>
          </cell>
          <cell r="N522">
            <v>1</v>
          </cell>
          <cell r="P522">
            <v>0.05</v>
          </cell>
        </row>
        <row r="523">
          <cell r="G523" t="str">
            <v>North</v>
          </cell>
          <cell r="M523" t="str">
            <v>Second Class</v>
          </cell>
          <cell r="N523">
            <v>6</v>
          </cell>
          <cell r="P523">
            <v>0.05</v>
          </cell>
        </row>
        <row r="524">
          <cell r="G524" t="str">
            <v>East</v>
          </cell>
          <cell r="M524" t="str">
            <v>First Class</v>
          </cell>
          <cell r="N524">
            <v>9</v>
          </cell>
          <cell r="P524">
            <v>0</v>
          </cell>
        </row>
        <row r="525">
          <cell r="G525" t="str">
            <v>West</v>
          </cell>
          <cell r="M525" t="str">
            <v>Second Class</v>
          </cell>
          <cell r="N525">
            <v>2</v>
          </cell>
          <cell r="P525">
            <v>0</v>
          </cell>
        </row>
        <row r="526">
          <cell r="G526" t="str">
            <v>West</v>
          </cell>
          <cell r="M526" t="str">
            <v>First Class</v>
          </cell>
          <cell r="N526">
            <v>9</v>
          </cell>
          <cell r="P526">
            <v>0.1</v>
          </cell>
        </row>
        <row r="527">
          <cell r="G527" t="str">
            <v>East</v>
          </cell>
          <cell r="M527" t="str">
            <v>Standard Class</v>
          </cell>
          <cell r="N527">
            <v>5</v>
          </cell>
          <cell r="P527">
            <v>0.1</v>
          </cell>
        </row>
        <row r="528">
          <cell r="G528" t="str">
            <v>East</v>
          </cell>
          <cell r="M528" t="str">
            <v>Second Class</v>
          </cell>
          <cell r="N528">
            <v>4</v>
          </cell>
        </row>
        <row r="529">
          <cell r="G529" t="str">
            <v>North</v>
          </cell>
          <cell r="M529" t="str">
            <v>First Class</v>
          </cell>
          <cell r="N529">
            <v>5</v>
          </cell>
          <cell r="P529">
            <v>0.15</v>
          </cell>
        </row>
        <row r="530">
          <cell r="G530" t="str">
            <v>South</v>
          </cell>
          <cell r="M530" t="str">
            <v>Standard Class</v>
          </cell>
          <cell r="N530">
            <v>9</v>
          </cell>
          <cell r="P530">
            <v>0.05</v>
          </cell>
        </row>
        <row r="531">
          <cell r="G531" t="str">
            <v>East</v>
          </cell>
          <cell r="M531" t="str">
            <v>Second Class</v>
          </cell>
          <cell r="N531">
            <v>9</v>
          </cell>
          <cell r="P531">
            <v>0</v>
          </cell>
        </row>
        <row r="532">
          <cell r="G532" t="str">
            <v>South</v>
          </cell>
          <cell r="M532" t="str">
            <v>Standard Class</v>
          </cell>
          <cell r="N532">
            <v>9</v>
          </cell>
          <cell r="P532">
            <v>0.05</v>
          </cell>
        </row>
        <row r="533">
          <cell r="G533" t="str">
            <v>West</v>
          </cell>
          <cell r="M533" t="str">
            <v/>
          </cell>
          <cell r="N533">
            <v>1</v>
          </cell>
          <cell r="P533">
            <v>0.1</v>
          </cell>
        </row>
        <row r="534">
          <cell r="G534" t="str">
            <v>East</v>
          </cell>
          <cell r="M534" t="str">
            <v>Second Class</v>
          </cell>
          <cell r="N534">
            <v>9</v>
          </cell>
          <cell r="P534">
            <v>0.05</v>
          </cell>
        </row>
        <row r="535">
          <cell r="G535" t="str">
            <v>North</v>
          </cell>
          <cell r="M535" t="str">
            <v>Same Day</v>
          </cell>
          <cell r="N535">
            <v>6</v>
          </cell>
          <cell r="P535">
            <v>0.25</v>
          </cell>
        </row>
        <row r="536">
          <cell r="G536" t="str">
            <v>East</v>
          </cell>
          <cell r="M536" t="str">
            <v>Second Class</v>
          </cell>
          <cell r="N536">
            <v>4</v>
          </cell>
          <cell r="P536">
            <v>0.1</v>
          </cell>
        </row>
        <row r="537">
          <cell r="G537" t="str">
            <v>West</v>
          </cell>
          <cell r="M537" t="str">
            <v>First Class</v>
          </cell>
          <cell r="N537">
            <v>3</v>
          </cell>
          <cell r="P537">
            <v>0.2</v>
          </cell>
        </row>
        <row r="538">
          <cell r="G538" t="str">
            <v>West</v>
          </cell>
          <cell r="M538" t="str">
            <v>First Class</v>
          </cell>
          <cell r="N538">
            <v>7</v>
          </cell>
          <cell r="P538">
            <v>0.25</v>
          </cell>
        </row>
        <row r="539">
          <cell r="G539" t="str">
            <v>North</v>
          </cell>
          <cell r="M539" t="str">
            <v>Same Day</v>
          </cell>
          <cell r="N539">
            <v>3</v>
          </cell>
          <cell r="P539">
            <v>0.05</v>
          </cell>
        </row>
        <row r="540">
          <cell r="G540" t="str">
            <v>East</v>
          </cell>
          <cell r="M540" t="str">
            <v>Second Class</v>
          </cell>
          <cell r="N540">
            <v>9</v>
          </cell>
          <cell r="P540">
            <v>0.15</v>
          </cell>
        </row>
        <row r="541">
          <cell r="G541" t="str">
            <v>South</v>
          </cell>
          <cell r="M541" t="str">
            <v>Standard Class</v>
          </cell>
          <cell r="N541">
            <v>3</v>
          </cell>
          <cell r="P541">
            <v>0.1</v>
          </cell>
        </row>
        <row r="542">
          <cell r="G542" t="str">
            <v>West</v>
          </cell>
          <cell r="M542" t="str">
            <v>Standard Class</v>
          </cell>
          <cell r="N542">
            <v>7</v>
          </cell>
          <cell r="P542">
            <v>0.2</v>
          </cell>
        </row>
        <row r="543">
          <cell r="G543" t="str">
            <v>West</v>
          </cell>
          <cell r="M543" t="str">
            <v>Same Day</v>
          </cell>
          <cell r="N543">
            <v>3</v>
          </cell>
          <cell r="P543">
            <v>0</v>
          </cell>
        </row>
        <row r="544">
          <cell r="G544" t="str">
            <v>South</v>
          </cell>
          <cell r="M544" t="str">
            <v>Second Class</v>
          </cell>
          <cell r="N544">
            <v>3</v>
          </cell>
          <cell r="P544">
            <v>0.2</v>
          </cell>
        </row>
        <row r="545">
          <cell r="G545" t="str">
            <v>East</v>
          </cell>
          <cell r="M545" t="str">
            <v>Same Day</v>
          </cell>
          <cell r="N545">
            <v>1</v>
          </cell>
          <cell r="P545">
            <v>0.15</v>
          </cell>
        </row>
        <row r="546">
          <cell r="G546" t="str">
            <v>South</v>
          </cell>
          <cell r="M546" t="str">
            <v>Same Day</v>
          </cell>
          <cell r="N546">
            <v>8</v>
          </cell>
          <cell r="P546">
            <v>0.25</v>
          </cell>
        </row>
        <row r="547">
          <cell r="G547" t="str">
            <v>East</v>
          </cell>
          <cell r="M547" t="str">
            <v>Same Day</v>
          </cell>
          <cell r="N547">
            <v>7</v>
          </cell>
          <cell r="P547">
            <v>0.15</v>
          </cell>
        </row>
        <row r="548">
          <cell r="G548" t="str">
            <v>West</v>
          </cell>
          <cell r="M548" t="str">
            <v>First Class</v>
          </cell>
          <cell r="N548">
            <v>5</v>
          </cell>
          <cell r="P548">
            <v>0.15</v>
          </cell>
        </row>
        <row r="549">
          <cell r="G549" t="str">
            <v>North</v>
          </cell>
          <cell r="M549" t="str">
            <v>Standard Class</v>
          </cell>
          <cell r="N549">
            <v>9</v>
          </cell>
          <cell r="P549">
            <v>0.1</v>
          </cell>
        </row>
        <row r="550">
          <cell r="G550" t="str">
            <v>East</v>
          </cell>
          <cell r="M550" t="str">
            <v>Same Day</v>
          </cell>
          <cell r="N550">
            <v>1</v>
          </cell>
          <cell r="P550">
            <v>0</v>
          </cell>
        </row>
        <row r="551">
          <cell r="G551" t="str">
            <v>South</v>
          </cell>
          <cell r="M551" t="str">
            <v>Second Class</v>
          </cell>
          <cell r="N551">
            <v>3</v>
          </cell>
          <cell r="P551">
            <v>0.1</v>
          </cell>
        </row>
        <row r="552">
          <cell r="G552" t="str">
            <v>East</v>
          </cell>
          <cell r="M552" t="str">
            <v>Standard Class</v>
          </cell>
          <cell r="N552">
            <v>6</v>
          </cell>
          <cell r="P552">
            <v>0.2</v>
          </cell>
        </row>
        <row r="553">
          <cell r="G553" t="str">
            <v>East</v>
          </cell>
          <cell r="M553" t="str">
            <v>Second Class</v>
          </cell>
          <cell r="N553">
            <v>3</v>
          </cell>
          <cell r="P553">
            <v>0.15</v>
          </cell>
        </row>
        <row r="554">
          <cell r="G554" t="str">
            <v>East</v>
          </cell>
          <cell r="M554" t="str">
            <v>Standard Class</v>
          </cell>
          <cell r="N554">
            <v>8</v>
          </cell>
          <cell r="P554" t="str">
            <v>70%</v>
          </cell>
        </row>
        <row r="555">
          <cell r="G555" t="str">
            <v>West</v>
          </cell>
          <cell r="M555" t="str">
            <v>First Class</v>
          </cell>
          <cell r="N555">
            <v>9</v>
          </cell>
          <cell r="P555">
            <v>0.25</v>
          </cell>
        </row>
        <row r="556">
          <cell r="G556" t="str">
            <v/>
          </cell>
          <cell r="M556" t="str">
            <v>Standard Class</v>
          </cell>
          <cell r="N556">
            <v>4</v>
          </cell>
          <cell r="P556">
            <v>0.05</v>
          </cell>
        </row>
        <row r="557">
          <cell r="G557" t="str">
            <v>South</v>
          </cell>
          <cell r="M557" t="str">
            <v>Standard Class</v>
          </cell>
          <cell r="N557">
            <v>6</v>
          </cell>
          <cell r="P557">
            <v>0.05</v>
          </cell>
        </row>
        <row r="558">
          <cell r="G558" t="str">
            <v>North</v>
          </cell>
          <cell r="M558" t="str">
            <v>First Class</v>
          </cell>
          <cell r="N558">
            <v>1</v>
          </cell>
          <cell r="P558">
            <v>0</v>
          </cell>
        </row>
        <row r="559">
          <cell r="G559" t="str">
            <v>North</v>
          </cell>
          <cell r="M559" t="str">
            <v>First Class</v>
          </cell>
          <cell r="N559">
            <v>9</v>
          </cell>
          <cell r="P559">
            <v>0.05</v>
          </cell>
        </row>
        <row r="560">
          <cell r="G560" t="str">
            <v>North</v>
          </cell>
          <cell r="M560" t="str">
            <v>First Class</v>
          </cell>
          <cell r="N560">
            <v>8</v>
          </cell>
          <cell r="P560">
            <v>0.2</v>
          </cell>
        </row>
        <row r="561">
          <cell r="G561" t="str">
            <v>East</v>
          </cell>
          <cell r="M561" t="str">
            <v>Second Class</v>
          </cell>
          <cell r="N561">
            <v>5</v>
          </cell>
          <cell r="P561">
            <v>0.1</v>
          </cell>
        </row>
        <row r="562">
          <cell r="G562" t="str">
            <v>West</v>
          </cell>
          <cell r="M562" t="str">
            <v>Standard Class</v>
          </cell>
          <cell r="N562">
            <v>4</v>
          </cell>
          <cell r="P562">
            <v>0</v>
          </cell>
        </row>
        <row r="563">
          <cell r="G563" t="str">
            <v>North</v>
          </cell>
          <cell r="M563" t="str">
            <v>First Class</v>
          </cell>
          <cell r="N563">
            <v>4</v>
          </cell>
          <cell r="P563">
            <v>0</v>
          </cell>
        </row>
        <row r="564">
          <cell r="G564" t="str">
            <v>North</v>
          </cell>
          <cell r="M564" t="str">
            <v>Same Day</v>
          </cell>
          <cell r="N564">
            <v>7</v>
          </cell>
          <cell r="P564">
            <v>0.2</v>
          </cell>
        </row>
        <row r="565">
          <cell r="G565" t="str">
            <v>West</v>
          </cell>
          <cell r="M565" t="str">
            <v>Standard Class</v>
          </cell>
          <cell r="N565">
            <v>9</v>
          </cell>
          <cell r="P565">
            <v>0.2</v>
          </cell>
        </row>
        <row r="566">
          <cell r="G566" t="str">
            <v>South</v>
          </cell>
          <cell r="M566" t="str">
            <v>First Class</v>
          </cell>
          <cell r="N566">
            <v>2</v>
          </cell>
          <cell r="P566">
            <v>0.2</v>
          </cell>
        </row>
        <row r="567">
          <cell r="G567" t="str">
            <v>North</v>
          </cell>
          <cell r="M567" t="str">
            <v>Standard Class</v>
          </cell>
          <cell r="N567">
            <v>6</v>
          </cell>
          <cell r="P567">
            <v>0.2</v>
          </cell>
        </row>
        <row r="568">
          <cell r="G568" t="str">
            <v>West</v>
          </cell>
          <cell r="M568" t="str">
            <v>Same Day</v>
          </cell>
          <cell r="N568">
            <v>2</v>
          </cell>
          <cell r="P568">
            <v>0.1</v>
          </cell>
        </row>
        <row r="569">
          <cell r="G569" t="str">
            <v>North</v>
          </cell>
          <cell r="M569" t="str">
            <v>Same Day</v>
          </cell>
          <cell r="N569">
            <v>1</v>
          </cell>
          <cell r="P569">
            <v>0.05</v>
          </cell>
        </row>
        <row r="570">
          <cell r="G570" t="str">
            <v>North</v>
          </cell>
          <cell r="M570" t="str">
            <v>Same Day</v>
          </cell>
          <cell r="N570">
            <v>1</v>
          </cell>
          <cell r="P570">
            <v>0.25</v>
          </cell>
        </row>
        <row r="571">
          <cell r="G571" t="str">
            <v>West</v>
          </cell>
          <cell r="M571" t="str">
            <v>Standard Class</v>
          </cell>
          <cell r="N571">
            <v>6</v>
          </cell>
          <cell r="P571">
            <v>0.25</v>
          </cell>
        </row>
        <row r="572">
          <cell r="G572" t="str">
            <v>East</v>
          </cell>
          <cell r="M572" t="str">
            <v>Second Class</v>
          </cell>
          <cell r="N572">
            <v>3</v>
          </cell>
          <cell r="P572">
            <v>0.25</v>
          </cell>
        </row>
        <row r="573">
          <cell r="G573" t="str">
            <v>North</v>
          </cell>
          <cell r="M573" t="str">
            <v/>
          </cell>
          <cell r="N573">
            <v>5</v>
          </cell>
          <cell r="P573">
            <v>0</v>
          </cell>
        </row>
        <row r="574">
          <cell r="G574" t="str">
            <v>North</v>
          </cell>
          <cell r="M574" t="str">
            <v>Standard Class</v>
          </cell>
          <cell r="N574">
            <v>3</v>
          </cell>
          <cell r="P574">
            <v>0.2</v>
          </cell>
        </row>
        <row r="575">
          <cell r="G575" t="str">
            <v>South</v>
          </cell>
          <cell r="M575" t="str">
            <v>Standard Class</v>
          </cell>
          <cell r="N575">
            <v>1</v>
          </cell>
          <cell r="P575">
            <v>0</v>
          </cell>
        </row>
        <row r="576">
          <cell r="G576" t="str">
            <v>North</v>
          </cell>
          <cell r="M576" t="str">
            <v>Standard Class</v>
          </cell>
          <cell r="N576">
            <v>4</v>
          </cell>
          <cell r="P576">
            <v>0</v>
          </cell>
        </row>
        <row r="577">
          <cell r="G577" t="str">
            <v>South</v>
          </cell>
          <cell r="M577" t="str">
            <v>Same Day</v>
          </cell>
          <cell r="N577">
            <v>4</v>
          </cell>
          <cell r="P577">
            <v>0.2</v>
          </cell>
        </row>
        <row r="578">
          <cell r="G578" t="str">
            <v/>
          </cell>
          <cell r="M578" t="str">
            <v>Standard Class</v>
          </cell>
          <cell r="N578">
            <v>9</v>
          </cell>
          <cell r="P578">
            <v>0</v>
          </cell>
        </row>
        <row r="579">
          <cell r="G579" t="str">
            <v>West</v>
          </cell>
          <cell r="M579" t="str">
            <v>Standard Class</v>
          </cell>
          <cell r="N579">
            <v>7</v>
          </cell>
          <cell r="P579">
            <v>0</v>
          </cell>
        </row>
        <row r="580">
          <cell r="G580" t="str">
            <v>West</v>
          </cell>
          <cell r="M580" t="str">
            <v>First Class</v>
          </cell>
          <cell r="N580">
            <v>6</v>
          </cell>
          <cell r="P580">
            <v>0.05</v>
          </cell>
        </row>
        <row r="581">
          <cell r="G581" t="str">
            <v>South</v>
          </cell>
          <cell r="M581" t="str">
            <v>Same Day</v>
          </cell>
          <cell r="N581">
            <v>1</v>
          </cell>
          <cell r="P581">
            <v>0</v>
          </cell>
        </row>
        <row r="582">
          <cell r="G582" t="str">
            <v>South</v>
          </cell>
          <cell r="M582" t="str">
            <v>Standard Class</v>
          </cell>
          <cell r="N582">
            <v>3</v>
          </cell>
          <cell r="P582">
            <v>0.15</v>
          </cell>
        </row>
        <row r="583">
          <cell r="G583" t="str">
            <v>North</v>
          </cell>
          <cell r="M583" t="str">
            <v>Second Class</v>
          </cell>
          <cell r="N583">
            <v>4</v>
          </cell>
          <cell r="P583">
            <v>0</v>
          </cell>
        </row>
        <row r="584">
          <cell r="G584" t="str">
            <v>East</v>
          </cell>
          <cell r="M584" t="str">
            <v>First Class</v>
          </cell>
          <cell r="N584">
            <v>5</v>
          </cell>
          <cell r="P584">
            <v>0</v>
          </cell>
        </row>
        <row r="585">
          <cell r="G585" t="str">
            <v>East</v>
          </cell>
          <cell r="M585" t="str">
            <v>First Class</v>
          </cell>
          <cell r="N585">
            <v>1</v>
          </cell>
          <cell r="P585">
            <v>0.2</v>
          </cell>
        </row>
        <row r="586">
          <cell r="G586" t="str">
            <v>East</v>
          </cell>
          <cell r="M586" t="str">
            <v>Same Day</v>
          </cell>
          <cell r="N586">
            <v>1</v>
          </cell>
          <cell r="P586">
            <v>0.15</v>
          </cell>
        </row>
        <row r="587">
          <cell r="G587" t="str">
            <v>West</v>
          </cell>
          <cell r="M587" t="str">
            <v>First Class</v>
          </cell>
          <cell r="N587">
            <v>8</v>
          </cell>
          <cell r="P587">
            <v>0</v>
          </cell>
        </row>
        <row r="588">
          <cell r="G588" t="str">
            <v>North</v>
          </cell>
          <cell r="M588" t="str">
            <v>Second Class</v>
          </cell>
          <cell r="N588">
            <v>7</v>
          </cell>
          <cell r="P588">
            <v>0.2</v>
          </cell>
        </row>
        <row r="589">
          <cell r="G589" t="str">
            <v>West</v>
          </cell>
          <cell r="M589" t="str">
            <v>First Class</v>
          </cell>
          <cell r="N589">
            <v>1</v>
          </cell>
          <cell r="P589">
            <v>0.15</v>
          </cell>
        </row>
        <row r="590">
          <cell r="G590" t="str">
            <v>South</v>
          </cell>
          <cell r="M590" t="str">
            <v>Second Class</v>
          </cell>
          <cell r="N590">
            <v>8</v>
          </cell>
          <cell r="P590">
            <v>0.1</v>
          </cell>
        </row>
        <row r="591">
          <cell r="G591" t="str">
            <v>North</v>
          </cell>
          <cell r="M591" t="str">
            <v>First Class</v>
          </cell>
          <cell r="N591">
            <v>3</v>
          </cell>
          <cell r="P591">
            <v>0</v>
          </cell>
        </row>
        <row r="592">
          <cell r="G592" t="str">
            <v>North</v>
          </cell>
          <cell r="M592" t="str">
            <v>Same Day</v>
          </cell>
          <cell r="N592">
            <v>6</v>
          </cell>
          <cell r="P592">
            <v>0</v>
          </cell>
        </row>
        <row r="593">
          <cell r="G593" t="str">
            <v>South</v>
          </cell>
          <cell r="M593" t="str">
            <v>First Class</v>
          </cell>
          <cell r="N593">
            <v>3</v>
          </cell>
          <cell r="P593">
            <v>0</v>
          </cell>
        </row>
        <row r="594">
          <cell r="G594" t="str">
            <v>East</v>
          </cell>
          <cell r="M594" t="str">
            <v>Same Day</v>
          </cell>
          <cell r="N594">
            <v>8</v>
          </cell>
          <cell r="P594">
            <v>0.15</v>
          </cell>
        </row>
        <row r="595">
          <cell r="G595" t="str">
            <v>North</v>
          </cell>
          <cell r="M595" t="str">
            <v>Second Class</v>
          </cell>
          <cell r="N595">
            <v>9</v>
          </cell>
          <cell r="P595">
            <v>0.25</v>
          </cell>
        </row>
        <row r="596">
          <cell r="G596" t="str">
            <v>East</v>
          </cell>
          <cell r="M596" t="str">
            <v>First Class</v>
          </cell>
          <cell r="N596">
            <v>3</v>
          </cell>
          <cell r="P596">
            <v>0</v>
          </cell>
        </row>
        <row r="597">
          <cell r="G597" t="str">
            <v>North</v>
          </cell>
          <cell r="M597" t="str">
            <v>First Class</v>
          </cell>
          <cell r="N597">
            <v>8</v>
          </cell>
          <cell r="P597">
            <v>0.1</v>
          </cell>
        </row>
        <row r="598">
          <cell r="G598" t="str">
            <v>South</v>
          </cell>
          <cell r="M598" t="str">
            <v>Second Class</v>
          </cell>
          <cell r="N598">
            <v>9</v>
          </cell>
          <cell r="P598">
            <v>0.25</v>
          </cell>
        </row>
        <row r="599">
          <cell r="G599" t="str">
            <v>South</v>
          </cell>
          <cell r="M599" t="str">
            <v>Same Day</v>
          </cell>
          <cell r="N599">
            <v>9</v>
          </cell>
          <cell r="P599">
            <v>0.25</v>
          </cell>
        </row>
        <row r="600">
          <cell r="G600" t="str">
            <v>East</v>
          </cell>
          <cell r="M600" t="str">
            <v>Same Day</v>
          </cell>
          <cell r="N600">
            <v>3</v>
          </cell>
          <cell r="P600">
            <v>0.25</v>
          </cell>
        </row>
        <row r="601">
          <cell r="G601" t="str">
            <v>North</v>
          </cell>
          <cell r="M601" t="str">
            <v>First Class</v>
          </cell>
          <cell r="N601">
            <v>3</v>
          </cell>
          <cell r="P601">
            <v>0.25</v>
          </cell>
        </row>
        <row r="602">
          <cell r="G602" t="str">
            <v>West</v>
          </cell>
          <cell r="M602" t="str">
            <v>Same Day</v>
          </cell>
          <cell r="N602">
            <v>3</v>
          </cell>
        </row>
        <row r="603">
          <cell r="G603" t="str">
            <v>East</v>
          </cell>
          <cell r="M603" t="str">
            <v>Second Class</v>
          </cell>
          <cell r="N603">
            <v>5</v>
          </cell>
          <cell r="P603">
            <v>0.2</v>
          </cell>
        </row>
        <row r="604">
          <cell r="G604" t="str">
            <v>East</v>
          </cell>
          <cell r="M604" t="str">
            <v>Second Class</v>
          </cell>
          <cell r="N604">
            <v>9</v>
          </cell>
          <cell r="P604">
            <v>0.15</v>
          </cell>
        </row>
        <row r="605">
          <cell r="G605" t="str">
            <v>East</v>
          </cell>
          <cell r="M605" t="str">
            <v>First Class</v>
          </cell>
          <cell r="N605">
            <v>8</v>
          </cell>
          <cell r="P605">
            <v>0.05</v>
          </cell>
        </row>
        <row r="606">
          <cell r="G606" t="str">
            <v>West</v>
          </cell>
          <cell r="M606" t="str">
            <v>Same Day</v>
          </cell>
          <cell r="N606">
            <v>3</v>
          </cell>
          <cell r="P606">
            <v>0</v>
          </cell>
        </row>
        <row r="607">
          <cell r="G607" t="str">
            <v>West</v>
          </cell>
          <cell r="M607" t="str">
            <v>Second Class</v>
          </cell>
          <cell r="N607">
            <v>5</v>
          </cell>
          <cell r="P607" t="str">
            <v>85%</v>
          </cell>
        </row>
        <row r="608">
          <cell r="G608" t="str">
            <v>West</v>
          </cell>
          <cell r="M608" t="str">
            <v>Same Day</v>
          </cell>
          <cell r="N608">
            <v>3</v>
          </cell>
          <cell r="P608">
            <v>0.25</v>
          </cell>
        </row>
        <row r="609">
          <cell r="G609" t="str">
            <v>East</v>
          </cell>
          <cell r="M609" t="str">
            <v>Same Day</v>
          </cell>
          <cell r="N609">
            <v>5</v>
          </cell>
          <cell r="P609">
            <v>0.15</v>
          </cell>
        </row>
        <row r="610">
          <cell r="G610" t="str">
            <v>West</v>
          </cell>
          <cell r="M610" t="str">
            <v>Second Class</v>
          </cell>
          <cell r="N610">
            <v>9</v>
          </cell>
          <cell r="P610">
            <v>0</v>
          </cell>
        </row>
        <row r="611">
          <cell r="G611" t="str">
            <v>South</v>
          </cell>
          <cell r="M611" t="str">
            <v>Standard Class</v>
          </cell>
          <cell r="N611">
            <v>7</v>
          </cell>
          <cell r="P611">
            <v>0</v>
          </cell>
        </row>
        <row r="612">
          <cell r="G612" t="str">
            <v>West</v>
          </cell>
          <cell r="M612" t="str">
            <v>Standard Class</v>
          </cell>
          <cell r="N612">
            <v>1</v>
          </cell>
          <cell r="P612">
            <v>0.1</v>
          </cell>
        </row>
        <row r="613">
          <cell r="G613" t="str">
            <v>North</v>
          </cell>
          <cell r="M613" t="str">
            <v>Same Day</v>
          </cell>
          <cell r="N613">
            <v>8</v>
          </cell>
          <cell r="P613">
            <v>0.1</v>
          </cell>
        </row>
        <row r="614">
          <cell r="G614" t="str">
            <v/>
          </cell>
          <cell r="M614" t="str">
            <v>Standard Class</v>
          </cell>
          <cell r="N614">
            <v>1</v>
          </cell>
          <cell r="P614">
            <v>0</v>
          </cell>
        </row>
        <row r="615">
          <cell r="G615" t="str">
            <v>West</v>
          </cell>
          <cell r="M615" t="str">
            <v>Same Day</v>
          </cell>
          <cell r="N615">
            <v>9</v>
          </cell>
          <cell r="P615">
            <v>0.25</v>
          </cell>
        </row>
        <row r="616">
          <cell r="G616" t="str">
            <v>South</v>
          </cell>
          <cell r="M616" t="str">
            <v>Standard Class</v>
          </cell>
          <cell r="N616">
            <v>8</v>
          </cell>
          <cell r="P616">
            <v>0.25</v>
          </cell>
        </row>
        <row r="617">
          <cell r="G617" t="str">
            <v>South</v>
          </cell>
          <cell r="M617" t="str">
            <v>Second Class</v>
          </cell>
          <cell r="N617">
            <v>2</v>
          </cell>
          <cell r="P617">
            <v>0.1</v>
          </cell>
        </row>
        <row r="618">
          <cell r="G618" t="str">
            <v>South</v>
          </cell>
          <cell r="M618" t="str">
            <v>Standard Class</v>
          </cell>
          <cell r="N618">
            <v>6</v>
          </cell>
          <cell r="P618">
            <v>0.2</v>
          </cell>
        </row>
        <row r="619">
          <cell r="G619" t="str">
            <v>South</v>
          </cell>
          <cell r="M619" t="str">
            <v>Standard Class</v>
          </cell>
          <cell r="N619">
            <v>9</v>
          </cell>
          <cell r="P619">
            <v>0</v>
          </cell>
        </row>
        <row r="620">
          <cell r="G620" t="str">
            <v>North</v>
          </cell>
          <cell r="M620" t="str">
            <v>Same Day</v>
          </cell>
          <cell r="N620">
            <v>9</v>
          </cell>
          <cell r="P620">
            <v>0.25</v>
          </cell>
        </row>
        <row r="621">
          <cell r="G621" t="str">
            <v>South</v>
          </cell>
          <cell r="M621" t="str">
            <v>First Class</v>
          </cell>
          <cell r="N621">
            <v>1</v>
          </cell>
          <cell r="P621">
            <v>0.2</v>
          </cell>
        </row>
        <row r="622">
          <cell r="G622" t="str">
            <v>North</v>
          </cell>
          <cell r="M622" t="str">
            <v>Standard Class</v>
          </cell>
          <cell r="N622">
            <v>9</v>
          </cell>
          <cell r="P622">
            <v>0</v>
          </cell>
        </row>
        <row r="623">
          <cell r="G623" t="str">
            <v>West</v>
          </cell>
          <cell r="M623" t="str">
            <v>Same Day</v>
          </cell>
          <cell r="N623">
            <v>5</v>
          </cell>
        </row>
        <row r="624">
          <cell r="G624" t="str">
            <v>East</v>
          </cell>
          <cell r="M624" t="str">
            <v>Standard Class</v>
          </cell>
          <cell r="N624">
            <v>4</v>
          </cell>
          <cell r="P624">
            <v>0.05</v>
          </cell>
        </row>
        <row r="625">
          <cell r="G625" t="str">
            <v>North</v>
          </cell>
          <cell r="M625" t="str">
            <v>Second Class</v>
          </cell>
          <cell r="N625">
            <v>8</v>
          </cell>
          <cell r="P625">
            <v>0.05</v>
          </cell>
        </row>
        <row r="626">
          <cell r="G626" t="str">
            <v>East</v>
          </cell>
          <cell r="M626" t="str">
            <v>First Class</v>
          </cell>
          <cell r="N626">
            <v>2</v>
          </cell>
          <cell r="P626">
            <v>0.05</v>
          </cell>
        </row>
        <row r="627">
          <cell r="G627" t="str">
            <v>West</v>
          </cell>
          <cell r="M627" t="str">
            <v>Same Day</v>
          </cell>
          <cell r="N627">
            <v>3</v>
          </cell>
          <cell r="P627">
            <v>0.2</v>
          </cell>
        </row>
        <row r="628">
          <cell r="G628" t="str">
            <v>East</v>
          </cell>
          <cell r="M628" t="str">
            <v>Standard Class</v>
          </cell>
          <cell r="N628">
            <v>8</v>
          </cell>
          <cell r="P628">
            <v>0</v>
          </cell>
        </row>
        <row r="629">
          <cell r="G629" t="str">
            <v>South</v>
          </cell>
          <cell r="M629" t="str">
            <v>Second Class</v>
          </cell>
          <cell r="N629">
            <v>2</v>
          </cell>
          <cell r="P629">
            <v>0.15</v>
          </cell>
        </row>
        <row r="630">
          <cell r="G630" t="str">
            <v>East</v>
          </cell>
          <cell r="M630" t="str">
            <v>Same Day</v>
          </cell>
          <cell r="N630">
            <v>7</v>
          </cell>
          <cell r="P630">
            <v>0.05</v>
          </cell>
        </row>
        <row r="631">
          <cell r="G631" t="str">
            <v>West</v>
          </cell>
          <cell r="M631" t="str">
            <v>Same Day</v>
          </cell>
          <cell r="N631">
            <v>3</v>
          </cell>
          <cell r="P631">
            <v>0.15</v>
          </cell>
        </row>
        <row r="632">
          <cell r="G632" t="str">
            <v>East</v>
          </cell>
          <cell r="M632" t="str">
            <v>Standard Class</v>
          </cell>
          <cell r="N632">
            <v>4</v>
          </cell>
          <cell r="P632">
            <v>0.1</v>
          </cell>
        </row>
        <row r="633">
          <cell r="G633" t="str">
            <v>West</v>
          </cell>
          <cell r="M633" t="str">
            <v>Standard Class</v>
          </cell>
          <cell r="N633">
            <v>8</v>
          </cell>
          <cell r="P633">
            <v>0.1</v>
          </cell>
        </row>
        <row r="634">
          <cell r="G634" t="str">
            <v>South</v>
          </cell>
          <cell r="M634" t="str">
            <v>First Class</v>
          </cell>
          <cell r="N634">
            <v>5</v>
          </cell>
          <cell r="P634">
            <v>0</v>
          </cell>
        </row>
        <row r="635">
          <cell r="G635" t="str">
            <v>South</v>
          </cell>
          <cell r="M635" t="str">
            <v>Second Class</v>
          </cell>
          <cell r="N635">
            <v>1</v>
          </cell>
          <cell r="P635">
            <v>0.15</v>
          </cell>
        </row>
        <row r="636">
          <cell r="G636" t="str">
            <v>South</v>
          </cell>
          <cell r="M636" t="str">
            <v>Second Class</v>
          </cell>
          <cell r="N636">
            <v>4</v>
          </cell>
          <cell r="P636">
            <v>0.05</v>
          </cell>
        </row>
        <row r="637">
          <cell r="G637" t="str">
            <v>South</v>
          </cell>
          <cell r="M637" t="str">
            <v>Same Day</v>
          </cell>
          <cell r="N637">
            <v>7</v>
          </cell>
          <cell r="P637">
            <v>0.25</v>
          </cell>
        </row>
        <row r="638">
          <cell r="G638" t="str">
            <v>South</v>
          </cell>
          <cell r="M638" t="str">
            <v>Standard Class</v>
          </cell>
          <cell r="N638">
            <v>8</v>
          </cell>
          <cell r="P638">
            <v>0.15</v>
          </cell>
        </row>
        <row r="639">
          <cell r="G639" t="str">
            <v>West</v>
          </cell>
          <cell r="M639" t="str">
            <v>First Class</v>
          </cell>
          <cell r="N639">
            <v>2</v>
          </cell>
          <cell r="P639">
            <v>0.2</v>
          </cell>
        </row>
        <row r="640">
          <cell r="G640" t="str">
            <v>South</v>
          </cell>
          <cell r="M640" t="str">
            <v>Second Class</v>
          </cell>
          <cell r="N640">
            <v>3</v>
          </cell>
          <cell r="P640">
            <v>0.2</v>
          </cell>
        </row>
        <row r="641">
          <cell r="G641" t="str">
            <v>East</v>
          </cell>
          <cell r="M641" t="str">
            <v>Second Class</v>
          </cell>
          <cell r="N641">
            <v>1</v>
          </cell>
          <cell r="P641">
            <v>0.05</v>
          </cell>
        </row>
        <row r="642">
          <cell r="G642" t="str">
            <v>West</v>
          </cell>
          <cell r="M642" t="str">
            <v>First Class</v>
          </cell>
          <cell r="N642">
            <v>1</v>
          </cell>
          <cell r="P642">
            <v>0.2</v>
          </cell>
        </row>
        <row r="643">
          <cell r="G643" t="str">
            <v>North</v>
          </cell>
          <cell r="M643" t="str">
            <v>Same Day</v>
          </cell>
          <cell r="N643">
            <v>2</v>
          </cell>
          <cell r="P643">
            <v>0</v>
          </cell>
        </row>
        <row r="644">
          <cell r="G644" t="str">
            <v>East</v>
          </cell>
          <cell r="M644" t="str">
            <v>Second Class</v>
          </cell>
          <cell r="N644">
            <v>9</v>
          </cell>
          <cell r="P644">
            <v>0.25</v>
          </cell>
        </row>
        <row r="645">
          <cell r="G645" t="str">
            <v>North</v>
          </cell>
          <cell r="M645" t="str">
            <v>Standard Class</v>
          </cell>
          <cell r="N645">
            <v>8</v>
          </cell>
          <cell r="P645">
            <v>0.15</v>
          </cell>
        </row>
        <row r="646">
          <cell r="G646" t="str">
            <v>East</v>
          </cell>
          <cell r="M646" t="str">
            <v>Standard Class</v>
          </cell>
          <cell r="N646">
            <v>4</v>
          </cell>
          <cell r="P646">
            <v>0.05</v>
          </cell>
        </row>
        <row r="647">
          <cell r="G647" t="str">
            <v>East</v>
          </cell>
          <cell r="M647" t="str">
            <v>Second Class</v>
          </cell>
          <cell r="N647">
            <v>6</v>
          </cell>
          <cell r="P647">
            <v>0.1</v>
          </cell>
        </row>
        <row r="648">
          <cell r="G648" t="str">
            <v>East</v>
          </cell>
          <cell r="M648" t="str">
            <v>First Class</v>
          </cell>
          <cell r="N648">
            <v>3</v>
          </cell>
          <cell r="P648">
            <v>0.25</v>
          </cell>
        </row>
        <row r="649">
          <cell r="G649" t="str">
            <v>North</v>
          </cell>
          <cell r="M649" t="str">
            <v>First Class</v>
          </cell>
          <cell r="N649">
            <v>8</v>
          </cell>
          <cell r="P649">
            <v>0.15</v>
          </cell>
        </row>
        <row r="650">
          <cell r="G650" t="str">
            <v>South</v>
          </cell>
          <cell r="M650" t="str">
            <v>Same Day</v>
          </cell>
          <cell r="N650">
            <v>9</v>
          </cell>
          <cell r="P650">
            <v>0.2</v>
          </cell>
        </row>
        <row r="651">
          <cell r="G651" t="str">
            <v>South</v>
          </cell>
          <cell r="M651" t="str">
            <v>Standard Class</v>
          </cell>
          <cell r="N651">
            <v>4</v>
          </cell>
          <cell r="P651">
            <v>0.25</v>
          </cell>
        </row>
        <row r="652">
          <cell r="G652" t="str">
            <v>East</v>
          </cell>
          <cell r="M652" t="str">
            <v>Same Day</v>
          </cell>
          <cell r="N652">
            <v>7</v>
          </cell>
          <cell r="P652">
            <v>0.15</v>
          </cell>
        </row>
        <row r="653">
          <cell r="G653" t="str">
            <v>South</v>
          </cell>
          <cell r="M653" t="str">
            <v>Second Class</v>
          </cell>
          <cell r="N653">
            <v>3</v>
          </cell>
          <cell r="P653">
            <v>0</v>
          </cell>
        </row>
        <row r="654">
          <cell r="G654" t="str">
            <v>North</v>
          </cell>
          <cell r="M654" t="str">
            <v>Standard Class</v>
          </cell>
          <cell r="N654">
            <v>5</v>
          </cell>
          <cell r="P654">
            <v>0.15</v>
          </cell>
        </row>
        <row r="655">
          <cell r="G655" t="str">
            <v>South</v>
          </cell>
          <cell r="M655" t="str">
            <v>Second Class</v>
          </cell>
          <cell r="N655">
            <v>7</v>
          </cell>
          <cell r="P655">
            <v>0.15</v>
          </cell>
        </row>
        <row r="656">
          <cell r="G656" t="str">
            <v>East</v>
          </cell>
          <cell r="M656" t="str">
            <v>Same Day</v>
          </cell>
          <cell r="N656">
            <v>1</v>
          </cell>
          <cell r="P656">
            <v>0.2</v>
          </cell>
        </row>
        <row r="657">
          <cell r="G657" t="str">
            <v>East</v>
          </cell>
          <cell r="M657" t="str">
            <v>Standard Class</v>
          </cell>
          <cell r="N657">
            <v>4</v>
          </cell>
          <cell r="P657">
            <v>0</v>
          </cell>
        </row>
        <row r="658">
          <cell r="G658" t="str">
            <v>North</v>
          </cell>
          <cell r="M658" t="str">
            <v>Same Day</v>
          </cell>
          <cell r="N658">
            <v>4</v>
          </cell>
          <cell r="P658">
            <v>-0.05</v>
          </cell>
        </row>
        <row r="659">
          <cell r="G659" t="str">
            <v>East</v>
          </cell>
          <cell r="M659" t="str">
            <v>Second Class</v>
          </cell>
          <cell r="N659">
            <v>1</v>
          </cell>
          <cell r="P659">
            <v>0.2</v>
          </cell>
        </row>
        <row r="660">
          <cell r="G660" t="str">
            <v/>
          </cell>
          <cell r="M660" t="str">
            <v>First Class</v>
          </cell>
          <cell r="N660">
            <v>7</v>
          </cell>
          <cell r="P660">
            <v>0</v>
          </cell>
        </row>
        <row r="661">
          <cell r="G661" t="str">
            <v>South</v>
          </cell>
          <cell r="M661" t="str">
            <v>Second Class</v>
          </cell>
          <cell r="N661">
            <v>2</v>
          </cell>
          <cell r="P661">
            <v>0.2</v>
          </cell>
        </row>
        <row r="662">
          <cell r="G662" t="str">
            <v>East</v>
          </cell>
          <cell r="M662" t="str">
            <v>Same Day</v>
          </cell>
          <cell r="N662">
            <v>4</v>
          </cell>
          <cell r="P662">
            <v>0.1</v>
          </cell>
        </row>
        <row r="663">
          <cell r="G663" t="str">
            <v>South</v>
          </cell>
          <cell r="M663" t="str">
            <v>Second Class</v>
          </cell>
          <cell r="N663">
            <v>7</v>
          </cell>
          <cell r="P663">
            <v>0</v>
          </cell>
        </row>
        <row r="664">
          <cell r="G664" t="str">
            <v>West</v>
          </cell>
          <cell r="M664" t="str">
            <v>Same Day</v>
          </cell>
          <cell r="N664">
            <v>6</v>
          </cell>
          <cell r="P664">
            <v>0.1</v>
          </cell>
        </row>
        <row r="665">
          <cell r="G665" t="str">
            <v>East</v>
          </cell>
          <cell r="M665" t="str">
            <v>Second Class</v>
          </cell>
          <cell r="N665">
            <v>2</v>
          </cell>
          <cell r="P665">
            <v>-0.24</v>
          </cell>
        </row>
        <row r="666">
          <cell r="G666" t="str">
            <v>South</v>
          </cell>
          <cell r="M666" t="str">
            <v>Standard Class</v>
          </cell>
          <cell r="N666">
            <v>1</v>
          </cell>
          <cell r="P666">
            <v>0.2</v>
          </cell>
        </row>
        <row r="667">
          <cell r="G667" t="str">
            <v>West</v>
          </cell>
          <cell r="M667" t="str">
            <v>Standard Class</v>
          </cell>
          <cell r="N667">
            <v>3</v>
          </cell>
          <cell r="P667">
            <v>0.1</v>
          </cell>
        </row>
        <row r="668">
          <cell r="G668" t="str">
            <v>North</v>
          </cell>
          <cell r="M668" t="str">
            <v>Same Day</v>
          </cell>
          <cell r="N668">
            <v>1</v>
          </cell>
          <cell r="P668">
            <v>0.05</v>
          </cell>
        </row>
        <row r="669">
          <cell r="G669" t="str">
            <v>East</v>
          </cell>
          <cell r="M669" t="str">
            <v>Standard Class</v>
          </cell>
          <cell r="N669">
            <v>1</v>
          </cell>
          <cell r="P669">
            <v>0</v>
          </cell>
        </row>
        <row r="670">
          <cell r="G670" t="str">
            <v>West</v>
          </cell>
          <cell r="M670" t="str">
            <v>Second Class</v>
          </cell>
          <cell r="N670">
            <v>5</v>
          </cell>
          <cell r="P670">
            <v>0.2</v>
          </cell>
        </row>
        <row r="671">
          <cell r="G671" t="str">
            <v>West</v>
          </cell>
          <cell r="M671" t="str">
            <v>Second Class</v>
          </cell>
          <cell r="N671">
            <v>4</v>
          </cell>
          <cell r="P671">
            <v>0.25</v>
          </cell>
        </row>
        <row r="672">
          <cell r="G672" t="str">
            <v>North</v>
          </cell>
          <cell r="M672" t="str">
            <v>Standard Class</v>
          </cell>
          <cell r="N672">
            <v>8</v>
          </cell>
          <cell r="P672">
            <v>0.1</v>
          </cell>
        </row>
        <row r="673">
          <cell r="G673" t="str">
            <v>West</v>
          </cell>
          <cell r="M673" t="str">
            <v>Second Class</v>
          </cell>
          <cell r="N673">
            <v>9</v>
          </cell>
          <cell r="P673">
            <v>0.05</v>
          </cell>
        </row>
        <row r="674">
          <cell r="G674" t="str">
            <v>West</v>
          </cell>
          <cell r="M674" t="str">
            <v>Standard Class</v>
          </cell>
          <cell r="N674">
            <v>5</v>
          </cell>
          <cell r="P674">
            <v>0.05</v>
          </cell>
        </row>
        <row r="675">
          <cell r="G675" t="str">
            <v>West</v>
          </cell>
          <cell r="M675" t="str">
            <v>Second Class</v>
          </cell>
          <cell r="N675">
            <v>4</v>
          </cell>
          <cell r="P675">
            <v>0.15</v>
          </cell>
        </row>
        <row r="676">
          <cell r="G676" t="str">
            <v>East</v>
          </cell>
          <cell r="M676" t="str">
            <v>Second Class</v>
          </cell>
          <cell r="N676">
            <v>1</v>
          </cell>
          <cell r="P676">
            <v>0</v>
          </cell>
        </row>
        <row r="677">
          <cell r="G677" t="str">
            <v>North</v>
          </cell>
          <cell r="M677" t="str">
            <v>Same Day</v>
          </cell>
          <cell r="N677">
            <v>3</v>
          </cell>
          <cell r="P677">
            <v>0</v>
          </cell>
        </row>
        <row r="678">
          <cell r="G678" t="str">
            <v>North</v>
          </cell>
          <cell r="M678" t="str">
            <v>Same Day</v>
          </cell>
          <cell r="N678">
            <v>7</v>
          </cell>
          <cell r="P678">
            <v>0.15</v>
          </cell>
        </row>
        <row r="679">
          <cell r="G679" t="str">
            <v>South</v>
          </cell>
          <cell r="M679" t="str">
            <v>Same Day</v>
          </cell>
          <cell r="N679">
            <v>7</v>
          </cell>
          <cell r="P679">
            <v>0</v>
          </cell>
        </row>
        <row r="680">
          <cell r="G680" t="str">
            <v>South</v>
          </cell>
          <cell r="M680" t="str">
            <v>Second Class</v>
          </cell>
          <cell r="N680">
            <v>9</v>
          </cell>
          <cell r="P680">
            <v>0.15</v>
          </cell>
        </row>
        <row r="681">
          <cell r="G681" t="str">
            <v>North</v>
          </cell>
          <cell r="M681" t="str">
            <v>Same Day</v>
          </cell>
          <cell r="N681">
            <v>4</v>
          </cell>
          <cell r="P681" t="str">
            <v>70%</v>
          </cell>
        </row>
        <row r="682">
          <cell r="G682" t="str">
            <v>South</v>
          </cell>
          <cell r="M682" t="str">
            <v>First Class</v>
          </cell>
          <cell r="N682">
            <v>4</v>
          </cell>
          <cell r="P682">
            <v>0</v>
          </cell>
        </row>
        <row r="683">
          <cell r="G683" t="str">
            <v>North</v>
          </cell>
          <cell r="M683" t="str">
            <v>Second Class</v>
          </cell>
          <cell r="N683">
            <v>5</v>
          </cell>
          <cell r="P683">
            <v>0</v>
          </cell>
        </row>
        <row r="684">
          <cell r="G684" t="str">
            <v>North</v>
          </cell>
          <cell r="M684" t="str">
            <v>Same Day</v>
          </cell>
          <cell r="N684">
            <v>3</v>
          </cell>
        </row>
        <row r="685">
          <cell r="G685" t="str">
            <v>South</v>
          </cell>
          <cell r="M685" t="str">
            <v>Second Class</v>
          </cell>
          <cell r="N685">
            <v>6</v>
          </cell>
          <cell r="P685">
            <v>0.2</v>
          </cell>
        </row>
        <row r="686">
          <cell r="G686" t="str">
            <v>South</v>
          </cell>
          <cell r="M686" t="str">
            <v>First Class</v>
          </cell>
          <cell r="N686">
            <v>7</v>
          </cell>
          <cell r="P686">
            <v>0.2</v>
          </cell>
        </row>
        <row r="687">
          <cell r="G687" t="str">
            <v>West</v>
          </cell>
          <cell r="M687" t="str">
            <v>Standard Class</v>
          </cell>
          <cell r="N687">
            <v>9</v>
          </cell>
          <cell r="P687">
            <v>0.55000000000000004</v>
          </cell>
        </row>
        <row r="688">
          <cell r="G688" t="str">
            <v>South</v>
          </cell>
          <cell r="M688" t="str">
            <v>Standard Class</v>
          </cell>
          <cell r="N688">
            <v>2</v>
          </cell>
          <cell r="P688">
            <v>0</v>
          </cell>
        </row>
        <row r="689">
          <cell r="G689" t="str">
            <v>North</v>
          </cell>
          <cell r="M689" t="str">
            <v>First Class</v>
          </cell>
          <cell r="N689">
            <v>4</v>
          </cell>
          <cell r="P689">
            <v>0</v>
          </cell>
        </row>
        <row r="690">
          <cell r="G690" t="str">
            <v>North</v>
          </cell>
          <cell r="M690" t="str">
            <v>Second Class</v>
          </cell>
          <cell r="N690">
            <v>6</v>
          </cell>
          <cell r="P690">
            <v>0.15</v>
          </cell>
        </row>
        <row r="691">
          <cell r="G691" t="str">
            <v>North</v>
          </cell>
          <cell r="M691" t="str">
            <v>Standard Class</v>
          </cell>
          <cell r="N691">
            <v>9</v>
          </cell>
          <cell r="P691">
            <v>0.15</v>
          </cell>
        </row>
        <row r="692">
          <cell r="G692" t="str">
            <v>South</v>
          </cell>
          <cell r="M692" t="str">
            <v>Standard Class</v>
          </cell>
          <cell r="N692">
            <v>4</v>
          </cell>
          <cell r="P692">
            <v>0</v>
          </cell>
        </row>
        <row r="693">
          <cell r="G693" t="str">
            <v>East</v>
          </cell>
          <cell r="M693" t="str">
            <v>Second Class</v>
          </cell>
          <cell r="N693">
            <v>6</v>
          </cell>
          <cell r="P693">
            <v>0.05</v>
          </cell>
        </row>
        <row r="694">
          <cell r="G694" t="str">
            <v>South</v>
          </cell>
          <cell r="M694" t="str">
            <v>Second Class</v>
          </cell>
          <cell r="N694">
            <v>4</v>
          </cell>
          <cell r="P694">
            <v>0.1</v>
          </cell>
        </row>
        <row r="695">
          <cell r="G695" t="str">
            <v>South</v>
          </cell>
          <cell r="M695" t="str">
            <v>Second Class</v>
          </cell>
          <cell r="N695">
            <v>3</v>
          </cell>
          <cell r="P695">
            <v>0.05</v>
          </cell>
        </row>
        <row r="696">
          <cell r="G696" t="str">
            <v>South</v>
          </cell>
          <cell r="M696" t="str">
            <v>First Class</v>
          </cell>
          <cell r="N696">
            <v>5</v>
          </cell>
          <cell r="P696">
            <v>0.15</v>
          </cell>
        </row>
        <row r="697">
          <cell r="G697" t="str">
            <v>West</v>
          </cell>
          <cell r="M697" t="str">
            <v>Standard Class</v>
          </cell>
          <cell r="N697">
            <v>4</v>
          </cell>
          <cell r="P697">
            <v>0</v>
          </cell>
        </row>
        <row r="698">
          <cell r="G698" t="str">
            <v>South</v>
          </cell>
          <cell r="M698" t="str">
            <v/>
          </cell>
          <cell r="N698">
            <v>4</v>
          </cell>
          <cell r="P698">
            <v>0.25</v>
          </cell>
        </row>
        <row r="699">
          <cell r="G699" t="str">
            <v>South</v>
          </cell>
          <cell r="M699" t="str">
            <v>First Class</v>
          </cell>
          <cell r="N699">
            <v>7</v>
          </cell>
        </row>
        <row r="700">
          <cell r="G700" t="str">
            <v>North</v>
          </cell>
          <cell r="M700" t="str">
            <v>Standard Class</v>
          </cell>
          <cell r="N700">
            <v>8</v>
          </cell>
          <cell r="P700">
            <v>0.15</v>
          </cell>
        </row>
        <row r="701">
          <cell r="G701" t="str">
            <v>South</v>
          </cell>
          <cell r="M701" t="str">
            <v>Standard Class</v>
          </cell>
          <cell r="N701">
            <v>9</v>
          </cell>
          <cell r="P701">
            <v>0.25</v>
          </cell>
        </row>
        <row r="702">
          <cell r="G702" t="str">
            <v>East</v>
          </cell>
          <cell r="M702" t="str">
            <v>Standard Class</v>
          </cell>
          <cell r="N702">
            <v>3</v>
          </cell>
          <cell r="P702">
            <v>0.15</v>
          </cell>
        </row>
        <row r="703">
          <cell r="G703" t="str">
            <v>West</v>
          </cell>
          <cell r="M703" t="str">
            <v>Same Day</v>
          </cell>
          <cell r="N703">
            <v>7</v>
          </cell>
          <cell r="P703">
            <v>0</v>
          </cell>
        </row>
        <row r="704">
          <cell r="G704" t="str">
            <v>West</v>
          </cell>
          <cell r="M704" t="str">
            <v>Second Class</v>
          </cell>
          <cell r="N704">
            <v>3</v>
          </cell>
          <cell r="P704">
            <v>0.1</v>
          </cell>
        </row>
        <row r="705">
          <cell r="G705" t="str">
            <v>North</v>
          </cell>
          <cell r="M705" t="str">
            <v>First Class</v>
          </cell>
          <cell r="N705">
            <v>1</v>
          </cell>
          <cell r="P705">
            <v>0.1</v>
          </cell>
        </row>
        <row r="706">
          <cell r="G706" t="str">
            <v>South</v>
          </cell>
          <cell r="M706" t="str">
            <v/>
          </cell>
          <cell r="N706">
            <v>1</v>
          </cell>
          <cell r="P706">
            <v>0.15</v>
          </cell>
        </row>
        <row r="707">
          <cell r="G707" t="str">
            <v>North</v>
          </cell>
          <cell r="M707" t="str">
            <v>Standard Class</v>
          </cell>
          <cell r="N707">
            <v>5</v>
          </cell>
          <cell r="P707">
            <v>0.05</v>
          </cell>
        </row>
        <row r="708">
          <cell r="G708" t="str">
            <v>East</v>
          </cell>
          <cell r="M708" t="str">
            <v>Same Day</v>
          </cell>
          <cell r="N708">
            <v>1</v>
          </cell>
          <cell r="P708">
            <v>0.1</v>
          </cell>
        </row>
        <row r="709">
          <cell r="G709" t="str">
            <v>North</v>
          </cell>
          <cell r="M709" t="str">
            <v>Same Day</v>
          </cell>
          <cell r="N709">
            <v>5</v>
          </cell>
          <cell r="P709">
            <v>0.55000000000000004</v>
          </cell>
        </row>
        <row r="710">
          <cell r="G710" t="str">
            <v>East</v>
          </cell>
          <cell r="M710" t="str">
            <v>First Class</v>
          </cell>
          <cell r="N710">
            <v>4</v>
          </cell>
          <cell r="P710">
            <v>0.05</v>
          </cell>
        </row>
        <row r="711">
          <cell r="G711" t="str">
            <v>North</v>
          </cell>
          <cell r="M711" t="str">
            <v>Same Day</v>
          </cell>
          <cell r="N711">
            <v>7</v>
          </cell>
          <cell r="P711">
            <v>0.15</v>
          </cell>
        </row>
        <row r="712">
          <cell r="G712" t="str">
            <v>North</v>
          </cell>
          <cell r="M712" t="str">
            <v>Second Class</v>
          </cell>
          <cell r="N712">
            <v>5</v>
          </cell>
          <cell r="P712">
            <v>0.05</v>
          </cell>
        </row>
        <row r="713">
          <cell r="G713" t="str">
            <v>East</v>
          </cell>
          <cell r="M713" t="str">
            <v>First Class</v>
          </cell>
          <cell r="N713">
            <v>1</v>
          </cell>
          <cell r="P713">
            <v>0.05</v>
          </cell>
        </row>
        <row r="714">
          <cell r="G714" t="str">
            <v>West</v>
          </cell>
          <cell r="M714" t="str">
            <v>First Class</v>
          </cell>
          <cell r="N714">
            <v>7</v>
          </cell>
          <cell r="P714">
            <v>0</v>
          </cell>
        </row>
        <row r="715">
          <cell r="G715" t="str">
            <v>West</v>
          </cell>
          <cell r="M715" t="str">
            <v>Second Class</v>
          </cell>
          <cell r="N715">
            <v>1</v>
          </cell>
          <cell r="P715">
            <v>0.25</v>
          </cell>
        </row>
        <row r="716">
          <cell r="G716" t="str">
            <v>North</v>
          </cell>
          <cell r="M716" t="str">
            <v>Standard Class</v>
          </cell>
          <cell r="N716">
            <v>9</v>
          </cell>
          <cell r="P716">
            <v>0</v>
          </cell>
        </row>
        <row r="717">
          <cell r="G717" t="str">
            <v>North</v>
          </cell>
          <cell r="M717" t="str">
            <v>Second Class</v>
          </cell>
          <cell r="N717">
            <v>7</v>
          </cell>
          <cell r="P717">
            <v>0</v>
          </cell>
        </row>
        <row r="718">
          <cell r="G718" t="str">
            <v>North</v>
          </cell>
          <cell r="M718" t="str">
            <v>First Class</v>
          </cell>
          <cell r="N718">
            <v>1</v>
          </cell>
          <cell r="P718">
            <v>0.15</v>
          </cell>
        </row>
        <row r="719">
          <cell r="G719" t="str">
            <v>North</v>
          </cell>
          <cell r="M719" t="str">
            <v>Standard Class</v>
          </cell>
          <cell r="N719">
            <v>9</v>
          </cell>
          <cell r="P719">
            <v>0.2</v>
          </cell>
        </row>
        <row r="720">
          <cell r="G720" t="str">
            <v>West</v>
          </cell>
          <cell r="M720" t="str">
            <v>Same Day</v>
          </cell>
          <cell r="N720">
            <v>3</v>
          </cell>
          <cell r="P720">
            <v>0.2</v>
          </cell>
        </row>
        <row r="721">
          <cell r="G721" t="str">
            <v>West</v>
          </cell>
          <cell r="M721" t="str">
            <v>Same Day</v>
          </cell>
          <cell r="N721">
            <v>2</v>
          </cell>
          <cell r="P721">
            <v>0.2</v>
          </cell>
        </row>
        <row r="722">
          <cell r="G722" t="str">
            <v>West</v>
          </cell>
          <cell r="M722" t="str">
            <v>Same Day</v>
          </cell>
          <cell r="N722">
            <v>4</v>
          </cell>
          <cell r="P722">
            <v>0.15</v>
          </cell>
        </row>
        <row r="723">
          <cell r="G723" t="str">
            <v>South</v>
          </cell>
          <cell r="M723" t="str">
            <v>First Class</v>
          </cell>
          <cell r="N723">
            <v>5</v>
          </cell>
          <cell r="P723">
            <v>0</v>
          </cell>
        </row>
        <row r="724">
          <cell r="G724" t="str">
            <v>East</v>
          </cell>
          <cell r="M724" t="str">
            <v>Second Class</v>
          </cell>
          <cell r="N724">
            <v>9</v>
          </cell>
        </row>
        <row r="725">
          <cell r="G725" t="str">
            <v>East</v>
          </cell>
          <cell r="M725" t="str">
            <v>Standard Class</v>
          </cell>
          <cell r="N725">
            <v>6</v>
          </cell>
          <cell r="P725">
            <v>0.05</v>
          </cell>
        </row>
        <row r="726">
          <cell r="G726" t="str">
            <v>West</v>
          </cell>
          <cell r="M726" t="str">
            <v>Second Class</v>
          </cell>
          <cell r="N726">
            <v>3</v>
          </cell>
          <cell r="P726">
            <v>0</v>
          </cell>
        </row>
        <row r="727">
          <cell r="G727" t="str">
            <v>South</v>
          </cell>
          <cell r="M727" t="str">
            <v>Second Class</v>
          </cell>
          <cell r="N727">
            <v>7</v>
          </cell>
          <cell r="P727">
            <v>0</v>
          </cell>
        </row>
        <row r="728">
          <cell r="G728" t="str">
            <v>West</v>
          </cell>
          <cell r="M728" t="str">
            <v>Standard Class</v>
          </cell>
          <cell r="N728">
            <v>5</v>
          </cell>
          <cell r="P728">
            <v>0.2</v>
          </cell>
        </row>
        <row r="729">
          <cell r="G729" t="str">
            <v>East</v>
          </cell>
          <cell r="M729" t="str">
            <v>Second Class</v>
          </cell>
          <cell r="N729">
            <v>8</v>
          </cell>
          <cell r="P729">
            <v>0.05</v>
          </cell>
        </row>
        <row r="730">
          <cell r="G730" t="str">
            <v>South</v>
          </cell>
          <cell r="M730" t="str">
            <v>First Class</v>
          </cell>
          <cell r="N730">
            <v>1</v>
          </cell>
          <cell r="P730">
            <v>0.15</v>
          </cell>
        </row>
        <row r="731">
          <cell r="G731" t="str">
            <v>South</v>
          </cell>
          <cell r="M731" t="str">
            <v>Same Day</v>
          </cell>
          <cell r="N731">
            <v>6</v>
          </cell>
          <cell r="P731">
            <v>0.15</v>
          </cell>
        </row>
        <row r="732">
          <cell r="G732" t="str">
            <v>East</v>
          </cell>
          <cell r="M732" t="str">
            <v>Second Class</v>
          </cell>
          <cell r="N732">
            <v>4</v>
          </cell>
          <cell r="P732">
            <v>0.15</v>
          </cell>
        </row>
        <row r="733">
          <cell r="G733" t="str">
            <v>East</v>
          </cell>
          <cell r="M733" t="str">
            <v>First Class</v>
          </cell>
          <cell r="N733">
            <v>4</v>
          </cell>
          <cell r="P733">
            <v>0.1</v>
          </cell>
        </row>
        <row r="734">
          <cell r="G734" t="str">
            <v>North</v>
          </cell>
          <cell r="M734" t="str">
            <v>Standard Class</v>
          </cell>
          <cell r="N734">
            <v>6</v>
          </cell>
          <cell r="P734">
            <v>0</v>
          </cell>
        </row>
        <row r="735">
          <cell r="G735" t="str">
            <v>North</v>
          </cell>
          <cell r="M735" t="str">
            <v>First Class</v>
          </cell>
          <cell r="N735">
            <v>9</v>
          </cell>
          <cell r="P735">
            <v>0</v>
          </cell>
        </row>
        <row r="736">
          <cell r="G736" t="str">
            <v>North</v>
          </cell>
          <cell r="M736" t="str">
            <v>First Class</v>
          </cell>
          <cell r="N736">
            <v>4</v>
          </cell>
          <cell r="P736">
            <v>0.2</v>
          </cell>
        </row>
        <row r="737">
          <cell r="G737" t="str">
            <v>West</v>
          </cell>
          <cell r="M737" t="str">
            <v>Standard Class</v>
          </cell>
          <cell r="N737">
            <v>6</v>
          </cell>
          <cell r="P737">
            <v>0.2</v>
          </cell>
        </row>
        <row r="738">
          <cell r="G738" t="str">
            <v>West</v>
          </cell>
          <cell r="M738" t="str">
            <v>Second Class</v>
          </cell>
          <cell r="N738">
            <v>9</v>
          </cell>
          <cell r="P738">
            <v>0.1</v>
          </cell>
        </row>
        <row r="739">
          <cell r="G739" t="str">
            <v>West</v>
          </cell>
          <cell r="M739" t="str">
            <v>Same Day</v>
          </cell>
          <cell r="N739">
            <v>6</v>
          </cell>
          <cell r="P739">
            <v>0</v>
          </cell>
        </row>
        <row r="740">
          <cell r="G740" t="str">
            <v>South</v>
          </cell>
          <cell r="M740" t="str">
            <v>First Class</v>
          </cell>
          <cell r="N740">
            <v>1</v>
          </cell>
          <cell r="P740">
            <v>0</v>
          </cell>
        </row>
        <row r="741">
          <cell r="G741" t="str">
            <v>North</v>
          </cell>
          <cell r="M741" t="str">
            <v>Standard Class</v>
          </cell>
          <cell r="N741">
            <v>5</v>
          </cell>
          <cell r="P741">
            <v>0.05</v>
          </cell>
        </row>
        <row r="742">
          <cell r="G742" t="str">
            <v>West</v>
          </cell>
          <cell r="M742" t="str">
            <v>First Class</v>
          </cell>
          <cell r="N742">
            <v>4</v>
          </cell>
          <cell r="P742">
            <v>0.1</v>
          </cell>
        </row>
        <row r="743">
          <cell r="G743" t="str">
            <v>South</v>
          </cell>
          <cell r="M743" t="str">
            <v>Second Class</v>
          </cell>
          <cell r="N743">
            <v>3</v>
          </cell>
        </row>
        <row r="744">
          <cell r="G744" t="str">
            <v>East</v>
          </cell>
          <cell r="M744" t="str">
            <v>Standard Class</v>
          </cell>
          <cell r="N744">
            <v>4</v>
          </cell>
          <cell r="P744">
            <v>0</v>
          </cell>
        </row>
        <row r="745">
          <cell r="G745" t="str">
            <v>North</v>
          </cell>
          <cell r="M745" t="str">
            <v>Standard Class</v>
          </cell>
          <cell r="N745">
            <v>6</v>
          </cell>
          <cell r="P745">
            <v>0.25</v>
          </cell>
        </row>
        <row r="746">
          <cell r="G746" t="str">
            <v>North</v>
          </cell>
          <cell r="M746" t="str">
            <v>First Class</v>
          </cell>
          <cell r="N746">
            <v>5</v>
          </cell>
          <cell r="P746">
            <v>0.1</v>
          </cell>
        </row>
        <row r="747">
          <cell r="G747" t="str">
            <v>East</v>
          </cell>
          <cell r="M747" t="str">
            <v>Standard Class</v>
          </cell>
          <cell r="N747">
            <v>3</v>
          </cell>
          <cell r="P747">
            <v>0.2</v>
          </cell>
        </row>
        <row r="748">
          <cell r="G748" t="str">
            <v>East</v>
          </cell>
          <cell r="M748" t="str">
            <v>Standard Class</v>
          </cell>
          <cell r="N748">
            <v>4</v>
          </cell>
          <cell r="P748">
            <v>0.2</v>
          </cell>
        </row>
        <row r="749">
          <cell r="G749" t="str">
            <v>East</v>
          </cell>
          <cell r="M749" t="str">
            <v>Same Day</v>
          </cell>
          <cell r="N749">
            <v>8</v>
          </cell>
          <cell r="P749">
            <v>0.15</v>
          </cell>
        </row>
        <row r="750">
          <cell r="G750" t="str">
            <v>North</v>
          </cell>
          <cell r="M750" t="str">
            <v>Second Class</v>
          </cell>
          <cell r="N750">
            <v>1</v>
          </cell>
          <cell r="P750">
            <v>0.25</v>
          </cell>
        </row>
        <row r="751">
          <cell r="G751" t="str">
            <v>East</v>
          </cell>
          <cell r="M751" t="str">
            <v>Standard Class</v>
          </cell>
          <cell r="N751">
            <v>1</v>
          </cell>
          <cell r="P751">
            <v>0.15</v>
          </cell>
        </row>
        <row r="752">
          <cell r="G752" t="str">
            <v>South</v>
          </cell>
          <cell r="M752" t="str">
            <v>First Class</v>
          </cell>
          <cell r="N752">
            <v>8</v>
          </cell>
          <cell r="P752">
            <v>0.15</v>
          </cell>
        </row>
        <row r="753">
          <cell r="G753" t="str">
            <v/>
          </cell>
          <cell r="M753" t="str">
            <v/>
          </cell>
          <cell r="N753">
            <v>3</v>
          </cell>
          <cell r="P753">
            <v>0.05</v>
          </cell>
        </row>
        <row r="754">
          <cell r="G754" t="str">
            <v>West</v>
          </cell>
          <cell r="M754" t="str">
            <v>First Class</v>
          </cell>
          <cell r="N754">
            <v>5</v>
          </cell>
          <cell r="P754">
            <v>0.05</v>
          </cell>
        </row>
        <row r="755">
          <cell r="G755" t="str">
            <v>North</v>
          </cell>
          <cell r="M755" t="str">
            <v>Second Class</v>
          </cell>
          <cell r="N755">
            <v>3</v>
          </cell>
          <cell r="P755">
            <v>0.15</v>
          </cell>
        </row>
        <row r="756">
          <cell r="G756" t="str">
            <v>South</v>
          </cell>
          <cell r="M756" t="str">
            <v>Standard Class</v>
          </cell>
          <cell r="N756">
            <v>4</v>
          </cell>
          <cell r="P756">
            <v>0.25</v>
          </cell>
        </row>
        <row r="757">
          <cell r="G757" t="str">
            <v>West</v>
          </cell>
          <cell r="M757" t="str">
            <v>Second Class</v>
          </cell>
          <cell r="N757">
            <v>5</v>
          </cell>
          <cell r="P757">
            <v>0.2</v>
          </cell>
        </row>
        <row r="758">
          <cell r="G758" t="str">
            <v>North</v>
          </cell>
          <cell r="M758" t="str">
            <v>Same Day</v>
          </cell>
          <cell r="N758">
            <v>7</v>
          </cell>
          <cell r="P758">
            <v>0.2</v>
          </cell>
        </row>
        <row r="759">
          <cell r="G759" t="str">
            <v>South</v>
          </cell>
          <cell r="M759" t="str">
            <v>Standard Class</v>
          </cell>
          <cell r="N759">
            <v>3</v>
          </cell>
          <cell r="P759">
            <v>0.25</v>
          </cell>
        </row>
        <row r="760">
          <cell r="G760" t="str">
            <v>South</v>
          </cell>
          <cell r="M760" t="str">
            <v>Standard Class</v>
          </cell>
          <cell r="N760">
            <v>1</v>
          </cell>
          <cell r="P760">
            <v>0</v>
          </cell>
        </row>
        <row r="761">
          <cell r="G761" t="str">
            <v>South</v>
          </cell>
          <cell r="M761" t="str">
            <v>Second Class</v>
          </cell>
          <cell r="N761">
            <v>5</v>
          </cell>
          <cell r="P761">
            <v>0.25</v>
          </cell>
        </row>
        <row r="762">
          <cell r="G762" t="str">
            <v>East</v>
          </cell>
          <cell r="M762" t="str">
            <v>Second Class</v>
          </cell>
          <cell r="N762">
            <v>4</v>
          </cell>
          <cell r="P762">
            <v>0</v>
          </cell>
        </row>
        <row r="763">
          <cell r="G763" t="str">
            <v>South</v>
          </cell>
          <cell r="M763" t="str">
            <v>First Class</v>
          </cell>
          <cell r="N763">
            <v>3</v>
          </cell>
          <cell r="P763">
            <v>0</v>
          </cell>
        </row>
        <row r="764">
          <cell r="G764" t="str">
            <v>West</v>
          </cell>
          <cell r="M764" t="str">
            <v>Second Class</v>
          </cell>
          <cell r="N764">
            <v>2</v>
          </cell>
          <cell r="P764">
            <v>0.2</v>
          </cell>
        </row>
        <row r="765">
          <cell r="G765" t="str">
            <v>North</v>
          </cell>
          <cell r="M765" t="str">
            <v>Same Day</v>
          </cell>
          <cell r="N765">
            <v>6</v>
          </cell>
          <cell r="P765">
            <v>0</v>
          </cell>
        </row>
        <row r="766">
          <cell r="G766" t="str">
            <v>South</v>
          </cell>
          <cell r="M766" t="str">
            <v>First Class</v>
          </cell>
          <cell r="N766">
            <v>6</v>
          </cell>
          <cell r="P766">
            <v>0.05</v>
          </cell>
        </row>
        <row r="767">
          <cell r="G767" t="str">
            <v>East</v>
          </cell>
          <cell r="M767" t="str">
            <v>First Class</v>
          </cell>
          <cell r="N767">
            <v>3</v>
          </cell>
          <cell r="P767">
            <v>0</v>
          </cell>
        </row>
        <row r="768">
          <cell r="G768" t="str">
            <v>West</v>
          </cell>
          <cell r="M768" t="str">
            <v>Second Class</v>
          </cell>
          <cell r="N768">
            <v>9</v>
          </cell>
          <cell r="P768">
            <v>0.2</v>
          </cell>
        </row>
        <row r="769">
          <cell r="G769" t="str">
            <v>North</v>
          </cell>
          <cell r="M769" t="str">
            <v>Standard Class</v>
          </cell>
          <cell r="N769">
            <v>1</v>
          </cell>
          <cell r="P769">
            <v>0.25</v>
          </cell>
        </row>
        <row r="770">
          <cell r="G770" t="str">
            <v>East</v>
          </cell>
          <cell r="M770" t="str">
            <v>Same Day</v>
          </cell>
          <cell r="N770">
            <v>5</v>
          </cell>
          <cell r="P770">
            <v>0.1</v>
          </cell>
        </row>
        <row r="771">
          <cell r="G771" t="str">
            <v>West</v>
          </cell>
          <cell r="M771" t="str">
            <v>Same Day</v>
          </cell>
          <cell r="N771">
            <v>3</v>
          </cell>
          <cell r="P771">
            <v>0.25</v>
          </cell>
        </row>
        <row r="772">
          <cell r="G772" t="str">
            <v>North</v>
          </cell>
          <cell r="M772" t="str">
            <v>First Class</v>
          </cell>
          <cell r="N772">
            <v>4</v>
          </cell>
        </row>
        <row r="773">
          <cell r="G773" t="str">
            <v>North</v>
          </cell>
          <cell r="M773" t="str">
            <v>Second Class</v>
          </cell>
          <cell r="N773">
            <v>4</v>
          </cell>
        </row>
        <row r="774">
          <cell r="G774" t="str">
            <v>South</v>
          </cell>
          <cell r="M774" t="str">
            <v>Same Day</v>
          </cell>
          <cell r="N774">
            <v>1</v>
          </cell>
          <cell r="P774">
            <v>0.05</v>
          </cell>
        </row>
        <row r="775">
          <cell r="G775" t="str">
            <v>West</v>
          </cell>
          <cell r="M775" t="str">
            <v/>
          </cell>
          <cell r="N775">
            <v>4</v>
          </cell>
          <cell r="P775">
            <v>0.2</v>
          </cell>
        </row>
        <row r="776">
          <cell r="G776" t="str">
            <v>West</v>
          </cell>
          <cell r="M776" t="str">
            <v/>
          </cell>
          <cell r="N776">
            <v>9</v>
          </cell>
          <cell r="P776">
            <v>0.2</v>
          </cell>
        </row>
        <row r="777">
          <cell r="G777" t="str">
            <v>North</v>
          </cell>
          <cell r="M777" t="str">
            <v>Standard Class</v>
          </cell>
          <cell r="N777">
            <v>8</v>
          </cell>
          <cell r="P777">
            <v>0.25</v>
          </cell>
        </row>
        <row r="778">
          <cell r="G778" t="str">
            <v>North</v>
          </cell>
          <cell r="M778" t="str">
            <v>Second Class</v>
          </cell>
          <cell r="N778">
            <v>7</v>
          </cell>
          <cell r="P778">
            <v>0</v>
          </cell>
        </row>
        <row r="779">
          <cell r="G779" t="str">
            <v>West</v>
          </cell>
          <cell r="M779" t="str">
            <v>Second Class</v>
          </cell>
          <cell r="N779">
            <v>4</v>
          </cell>
          <cell r="P779">
            <v>0.15</v>
          </cell>
        </row>
        <row r="780">
          <cell r="G780" t="str">
            <v>North</v>
          </cell>
          <cell r="M780" t="str">
            <v>Second Class</v>
          </cell>
          <cell r="N780">
            <v>4</v>
          </cell>
          <cell r="P780">
            <v>0</v>
          </cell>
        </row>
        <row r="781">
          <cell r="G781" t="str">
            <v>South</v>
          </cell>
          <cell r="M781" t="str">
            <v>Standard Class</v>
          </cell>
          <cell r="N781">
            <v>4</v>
          </cell>
          <cell r="P781">
            <v>0.05</v>
          </cell>
        </row>
        <row r="782">
          <cell r="G782" t="str">
            <v>West</v>
          </cell>
          <cell r="M782" t="str">
            <v>Same Day</v>
          </cell>
          <cell r="N782">
            <v>4</v>
          </cell>
          <cell r="P782">
            <v>0.2</v>
          </cell>
        </row>
        <row r="783">
          <cell r="G783" t="str">
            <v>West</v>
          </cell>
          <cell r="M783" t="str">
            <v>First Class</v>
          </cell>
          <cell r="N783">
            <v>3</v>
          </cell>
          <cell r="P783">
            <v>0.25</v>
          </cell>
        </row>
        <row r="784">
          <cell r="G784" t="str">
            <v>East</v>
          </cell>
          <cell r="M784" t="str">
            <v>Standard Class</v>
          </cell>
          <cell r="N784">
            <v>2</v>
          </cell>
          <cell r="P784">
            <v>0.15</v>
          </cell>
        </row>
        <row r="785">
          <cell r="G785" t="str">
            <v>East</v>
          </cell>
          <cell r="M785" t="str">
            <v>Second Class</v>
          </cell>
          <cell r="N785">
            <v>1</v>
          </cell>
          <cell r="P785">
            <v>0.05</v>
          </cell>
        </row>
        <row r="786">
          <cell r="G786" t="str">
            <v>North</v>
          </cell>
          <cell r="M786" t="str">
            <v>First Class</v>
          </cell>
          <cell r="N786">
            <v>4</v>
          </cell>
          <cell r="P786">
            <v>0.05</v>
          </cell>
        </row>
        <row r="787">
          <cell r="G787" t="str">
            <v>North</v>
          </cell>
          <cell r="M787" t="str">
            <v>Same Day</v>
          </cell>
          <cell r="N787">
            <v>2</v>
          </cell>
          <cell r="P787">
            <v>0.25</v>
          </cell>
        </row>
        <row r="788">
          <cell r="G788" t="str">
            <v>North</v>
          </cell>
          <cell r="M788" t="str">
            <v/>
          </cell>
          <cell r="N788">
            <v>4</v>
          </cell>
          <cell r="P788">
            <v>0.05</v>
          </cell>
        </row>
        <row r="789">
          <cell r="G789" t="str">
            <v>East</v>
          </cell>
          <cell r="M789" t="str">
            <v>Second Class</v>
          </cell>
          <cell r="N789">
            <v>2</v>
          </cell>
          <cell r="P789">
            <v>0.05</v>
          </cell>
        </row>
        <row r="790">
          <cell r="G790" t="str">
            <v>North</v>
          </cell>
          <cell r="M790" t="str">
            <v>Standard Class</v>
          </cell>
          <cell r="N790">
            <v>8</v>
          </cell>
          <cell r="P790">
            <v>0.1</v>
          </cell>
        </row>
        <row r="791">
          <cell r="G791" t="str">
            <v/>
          </cell>
          <cell r="M791" t="str">
            <v>Same Day</v>
          </cell>
          <cell r="N791">
            <v>4</v>
          </cell>
          <cell r="P791">
            <v>0</v>
          </cell>
        </row>
        <row r="792">
          <cell r="G792" t="str">
            <v>South</v>
          </cell>
          <cell r="M792" t="str">
            <v>Standard Class</v>
          </cell>
          <cell r="N792">
            <v>8</v>
          </cell>
          <cell r="P792">
            <v>0.2</v>
          </cell>
        </row>
        <row r="793">
          <cell r="G793" t="str">
            <v>South</v>
          </cell>
          <cell r="M793" t="str">
            <v>Same Day</v>
          </cell>
          <cell r="N793">
            <v>8</v>
          </cell>
          <cell r="P793">
            <v>0.25</v>
          </cell>
        </row>
        <row r="794">
          <cell r="G794" t="str">
            <v>East</v>
          </cell>
          <cell r="M794" t="str">
            <v>Second Class</v>
          </cell>
          <cell r="N794">
            <v>1</v>
          </cell>
          <cell r="P794">
            <v>0.2</v>
          </cell>
        </row>
        <row r="795">
          <cell r="G795" t="str">
            <v>North</v>
          </cell>
          <cell r="M795" t="str">
            <v>Second Class</v>
          </cell>
          <cell r="N795">
            <v>5</v>
          </cell>
          <cell r="P795">
            <v>0</v>
          </cell>
        </row>
        <row r="796">
          <cell r="G796" t="str">
            <v>East</v>
          </cell>
          <cell r="M796" t="str">
            <v>Standard Class</v>
          </cell>
          <cell r="N796">
            <v>9</v>
          </cell>
          <cell r="P796">
            <v>0.15</v>
          </cell>
        </row>
        <row r="797">
          <cell r="G797" t="str">
            <v>East</v>
          </cell>
          <cell r="M797" t="str">
            <v>Same Day</v>
          </cell>
          <cell r="N797">
            <v>9</v>
          </cell>
          <cell r="P797">
            <v>0</v>
          </cell>
        </row>
        <row r="798">
          <cell r="G798" t="str">
            <v>South</v>
          </cell>
          <cell r="M798" t="str">
            <v>First Class</v>
          </cell>
          <cell r="N798">
            <v>6</v>
          </cell>
          <cell r="P798">
            <v>0.15</v>
          </cell>
        </row>
        <row r="799">
          <cell r="G799" t="str">
            <v>East</v>
          </cell>
          <cell r="M799" t="str">
            <v>First Class</v>
          </cell>
          <cell r="N799">
            <v>8</v>
          </cell>
          <cell r="P799">
            <v>0</v>
          </cell>
        </row>
        <row r="800">
          <cell r="G800" t="str">
            <v>North</v>
          </cell>
          <cell r="M800" t="str">
            <v>Standard Class</v>
          </cell>
          <cell r="N800">
            <v>9</v>
          </cell>
          <cell r="P800">
            <v>0</v>
          </cell>
        </row>
        <row r="801">
          <cell r="G801" t="str">
            <v>North</v>
          </cell>
          <cell r="M801" t="str">
            <v/>
          </cell>
          <cell r="N801">
            <v>5</v>
          </cell>
          <cell r="P801">
            <v>0.05</v>
          </cell>
        </row>
        <row r="802">
          <cell r="G802" t="str">
            <v>West</v>
          </cell>
          <cell r="M802" t="str">
            <v>Second Class</v>
          </cell>
          <cell r="N802">
            <v>6</v>
          </cell>
          <cell r="P802">
            <v>0.15</v>
          </cell>
        </row>
        <row r="803">
          <cell r="G803" t="str">
            <v>East</v>
          </cell>
          <cell r="M803" t="str">
            <v>Second Class</v>
          </cell>
          <cell r="N803">
            <v>3</v>
          </cell>
          <cell r="P803">
            <v>0.2</v>
          </cell>
        </row>
        <row r="804">
          <cell r="G804" t="str">
            <v>East</v>
          </cell>
          <cell r="M804" t="str">
            <v>Second Class</v>
          </cell>
          <cell r="N804">
            <v>6</v>
          </cell>
          <cell r="P804">
            <v>0</v>
          </cell>
        </row>
        <row r="805">
          <cell r="G805" t="str">
            <v/>
          </cell>
          <cell r="M805" t="str">
            <v>First Class</v>
          </cell>
          <cell r="N805">
            <v>1</v>
          </cell>
          <cell r="P805">
            <v>0</v>
          </cell>
        </row>
        <row r="806">
          <cell r="G806" t="str">
            <v>South</v>
          </cell>
          <cell r="M806" t="str">
            <v>Standard Class</v>
          </cell>
          <cell r="N806">
            <v>1</v>
          </cell>
          <cell r="P806">
            <v>0.05</v>
          </cell>
        </row>
        <row r="807">
          <cell r="G807" t="str">
            <v>East</v>
          </cell>
          <cell r="M807" t="str">
            <v>Second Class</v>
          </cell>
          <cell r="N807">
            <v>2</v>
          </cell>
          <cell r="P807">
            <v>0.25</v>
          </cell>
        </row>
        <row r="808">
          <cell r="G808" t="str">
            <v>North</v>
          </cell>
          <cell r="M808" t="str">
            <v>Standard Class</v>
          </cell>
          <cell r="N808">
            <v>1</v>
          </cell>
          <cell r="P808">
            <v>0.2</v>
          </cell>
        </row>
        <row r="809">
          <cell r="G809" t="str">
            <v>South</v>
          </cell>
          <cell r="M809" t="str">
            <v>Standard Class</v>
          </cell>
          <cell r="N809">
            <v>2</v>
          </cell>
          <cell r="P809">
            <v>0.1</v>
          </cell>
        </row>
        <row r="810">
          <cell r="G810" t="str">
            <v>South</v>
          </cell>
          <cell r="M810" t="str">
            <v>First Class</v>
          </cell>
          <cell r="N810">
            <v>7</v>
          </cell>
          <cell r="P810">
            <v>0.2</v>
          </cell>
        </row>
        <row r="811">
          <cell r="G811" t="str">
            <v/>
          </cell>
          <cell r="M811" t="str">
            <v>Second Class</v>
          </cell>
          <cell r="N811">
            <v>6</v>
          </cell>
          <cell r="P811">
            <v>0.1</v>
          </cell>
        </row>
        <row r="812">
          <cell r="G812" t="str">
            <v>West</v>
          </cell>
          <cell r="M812" t="str">
            <v>First Class</v>
          </cell>
          <cell r="N812">
            <v>1</v>
          </cell>
          <cell r="P812">
            <v>0.25</v>
          </cell>
        </row>
        <row r="813">
          <cell r="G813" t="str">
            <v>North</v>
          </cell>
          <cell r="M813" t="str">
            <v>First Class</v>
          </cell>
          <cell r="N813">
            <v>2</v>
          </cell>
          <cell r="P813">
            <v>0.2</v>
          </cell>
        </row>
        <row r="814">
          <cell r="G814" t="str">
            <v>East</v>
          </cell>
          <cell r="M814" t="str">
            <v>First Class</v>
          </cell>
          <cell r="N814">
            <v>8</v>
          </cell>
          <cell r="P814">
            <v>0</v>
          </cell>
        </row>
        <row r="815">
          <cell r="G815" t="str">
            <v>East</v>
          </cell>
          <cell r="M815" t="str">
            <v>Standard Class</v>
          </cell>
          <cell r="N815">
            <v>2</v>
          </cell>
          <cell r="P815">
            <v>0</v>
          </cell>
        </row>
        <row r="816">
          <cell r="G816" t="str">
            <v>West</v>
          </cell>
          <cell r="M816" t="str">
            <v>First Class</v>
          </cell>
          <cell r="N816">
            <v>2</v>
          </cell>
          <cell r="P816">
            <v>0.25</v>
          </cell>
        </row>
        <row r="817">
          <cell r="G817" t="str">
            <v>East</v>
          </cell>
          <cell r="M817" t="str">
            <v>Standard Class</v>
          </cell>
          <cell r="N817">
            <v>7</v>
          </cell>
          <cell r="P817">
            <v>0.15</v>
          </cell>
        </row>
        <row r="818">
          <cell r="G818" t="str">
            <v>East</v>
          </cell>
          <cell r="M818" t="str">
            <v>First Class</v>
          </cell>
          <cell r="N818">
            <v>1</v>
          </cell>
          <cell r="P818">
            <v>0.1</v>
          </cell>
        </row>
        <row r="819">
          <cell r="G819" t="str">
            <v>East</v>
          </cell>
          <cell r="M819" t="str">
            <v>Standard Class</v>
          </cell>
          <cell r="N819">
            <v>6</v>
          </cell>
          <cell r="P819">
            <v>0.25</v>
          </cell>
        </row>
        <row r="820">
          <cell r="G820" t="str">
            <v>West</v>
          </cell>
          <cell r="M820" t="str">
            <v>First Class</v>
          </cell>
          <cell r="N820">
            <v>8</v>
          </cell>
          <cell r="P820">
            <v>-0.14000000000000001</v>
          </cell>
        </row>
        <row r="821">
          <cell r="G821" t="str">
            <v>South</v>
          </cell>
          <cell r="M821" t="str">
            <v>Standard Class</v>
          </cell>
          <cell r="N821">
            <v>8</v>
          </cell>
          <cell r="P821">
            <v>0</v>
          </cell>
        </row>
        <row r="822">
          <cell r="G822" t="str">
            <v>North</v>
          </cell>
          <cell r="M822" t="str">
            <v>Standard Class</v>
          </cell>
          <cell r="N822">
            <v>2</v>
          </cell>
          <cell r="P822">
            <v>0.2</v>
          </cell>
        </row>
        <row r="823">
          <cell r="G823" t="str">
            <v>South</v>
          </cell>
          <cell r="M823" t="str">
            <v>First Class</v>
          </cell>
          <cell r="N823">
            <v>7</v>
          </cell>
          <cell r="P823">
            <v>0.2</v>
          </cell>
        </row>
        <row r="824">
          <cell r="G824" t="str">
            <v>East</v>
          </cell>
          <cell r="M824" t="str">
            <v>Second Class</v>
          </cell>
          <cell r="N824">
            <v>4</v>
          </cell>
          <cell r="P824">
            <v>0.2</v>
          </cell>
        </row>
        <row r="825">
          <cell r="G825" t="str">
            <v>West</v>
          </cell>
          <cell r="M825" t="str">
            <v>Same Day</v>
          </cell>
          <cell r="N825">
            <v>3</v>
          </cell>
          <cell r="P825">
            <v>0.15</v>
          </cell>
        </row>
        <row r="826">
          <cell r="G826" t="str">
            <v>West</v>
          </cell>
          <cell r="M826" t="str">
            <v>First Class</v>
          </cell>
          <cell r="N826">
            <v>8</v>
          </cell>
          <cell r="P826">
            <v>0.05</v>
          </cell>
        </row>
        <row r="827">
          <cell r="G827" t="str">
            <v>North</v>
          </cell>
          <cell r="M827" t="str">
            <v>First Class</v>
          </cell>
          <cell r="N827">
            <v>1</v>
          </cell>
          <cell r="P827">
            <v>0</v>
          </cell>
        </row>
        <row r="828">
          <cell r="G828" t="str">
            <v>West</v>
          </cell>
          <cell r="M828" t="str">
            <v>Standard Class</v>
          </cell>
          <cell r="N828">
            <v>5</v>
          </cell>
          <cell r="P828">
            <v>0.25</v>
          </cell>
        </row>
        <row r="829">
          <cell r="G829" t="str">
            <v>South</v>
          </cell>
          <cell r="M829" t="str">
            <v>Same Day</v>
          </cell>
          <cell r="N829">
            <v>1</v>
          </cell>
          <cell r="P829">
            <v>0.25</v>
          </cell>
        </row>
        <row r="830">
          <cell r="G830" t="str">
            <v>East</v>
          </cell>
          <cell r="M830" t="str">
            <v>Second Class</v>
          </cell>
          <cell r="N830">
            <v>7</v>
          </cell>
          <cell r="P830">
            <v>0.05</v>
          </cell>
        </row>
        <row r="831">
          <cell r="G831" t="str">
            <v>West</v>
          </cell>
          <cell r="M831" t="str">
            <v>Second Class</v>
          </cell>
          <cell r="N831">
            <v>7</v>
          </cell>
          <cell r="P831">
            <v>0.1</v>
          </cell>
        </row>
        <row r="832">
          <cell r="G832" t="str">
            <v/>
          </cell>
          <cell r="M832" t="str">
            <v>First Class</v>
          </cell>
          <cell r="N832">
            <v>6</v>
          </cell>
          <cell r="P832">
            <v>0.1</v>
          </cell>
        </row>
        <row r="833">
          <cell r="G833" t="str">
            <v/>
          </cell>
          <cell r="M833" t="str">
            <v>First Class</v>
          </cell>
          <cell r="N833">
            <v>9</v>
          </cell>
          <cell r="P833">
            <v>0.15</v>
          </cell>
        </row>
        <row r="834">
          <cell r="G834" t="str">
            <v>South</v>
          </cell>
          <cell r="M834" t="str">
            <v>Second Class</v>
          </cell>
          <cell r="N834">
            <v>9</v>
          </cell>
          <cell r="P834">
            <v>0.05</v>
          </cell>
        </row>
        <row r="835">
          <cell r="G835" t="str">
            <v>East</v>
          </cell>
          <cell r="M835" t="str">
            <v>First Class</v>
          </cell>
          <cell r="N835">
            <v>6</v>
          </cell>
          <cell r="P835">
            <v>0</v>
          </cell>
        </row>
        <row r="836">
          <cell r="G836" t="str">
            <v>South</v>
          </cell>
          <cell r="M836" t="str">
            <v>First Class</v>
          </cell>
          <cell r="N836">
            <v>6</v>
          </cell>
          <cell r="P836">
            <v>0</v>
          </cell>
        </row>
        <row r="837">
          <cell r="G837" t="str">
            <v>East</v>
          </cell>
          <cell r="M837" t="str">
            <v>Second Class</v>
          </cell>
          <cell r="N837">
            <v>7</v>
          </cell>
          <cell r="P837">
            <v>0.05</v>
          </cell>
        </row>
        <row r="838">
          <cell r="G838" t="str">
            <v>North</v>
          </cell>
          <cell r="M838" t="str">
            <v>Second Class</v>
          </cell>
          <cell r="N838">
            <v>2</v>
          </cell>
          <cell r="P838">
            <v>0</v>
          </cell>
        </row>
        <row r="839">
          <cell r="G839" t="str">
            <v>West</v>
          </cell>
          <cell r="M839" t="str">
            <v>First Class</v>
          </cell>
          <cell r="N839">
            <v>3</v>
          </cell>
          <cell r="P839">
            <v>0.25</v>
          </cell>
        </row>
        <row r="840">
          <cell r="G840" t="str">
            <v>West</v>
          </cell>
          <cell r="M840" t="str">
            <v>Same Day</v>
          </cell>
          <cell r="N840">
            <v>1</v>
          </cell>
          <cell r="P840">
            <v>0</v>
          </cell>
        </row>
        <row r="841">
          <cell r="G841" t="str">
            <v>East</v>
          </cell>
          <cell r="M841" t="str">
            <v>Standard Class</v>
          </cell>
          <cell r="N841">
            <v>8</v>
          </cell>
          <cell r="P841">
            <v>0.1</v>
          </cell>
        </row>
        <row r="842">
          <cell r="G842" t="str">
            <v>North</v>
          </cell>
          <cell r="M842" t="str">
            <v>Same Day</v>
          </cell>
          <cell r="N842">
            <v>4</v>
          </cell>
          <cell r="P842">
            <v>0</v>
          </cell>
        </row>
        <row r="843">
          <cell r="G843" t="str">
            <v>East</v>
          </cell>
          <cell r="M843" t="str">
            <v>Standard Class</v>
          </cell>
          <cell r="N843">
            <v>9</v>
          </cell>
          <cell r="P843">
            <v>0.25</v>
          </cell>
        </row>
        <row r="844">
          <cell r="G844" t="str">
            <v>North</v>
          </cell>
          <cell r="M844" t="str">
            <v>First Class</v>
          </cell>
          <cell r="N844">
            <v>4</v>
          </cell>
          <cell r="P844">
            <v>0.15</v>
          </cell>
        </row>
        <row r="845">
          <cell r="G845" t="str">
            <v>North</v>
          </cell>
          <cell r="M845" t="str">
            <v>First Class</v>
          </cell>
          <cell r="N845">
            <v>9</v>
          </cell>
          <cell r="P845">
            <v>-0.02</v>
          </cell>
        </row>
        <row r="846">
          <cell r="G846" t="str">
            <v>West</v>
          </cell>
          <cell r="M846" t="str">
            <v>First Class</v>
          </cell>
          <cell r="N846">
            <v>1</v>
          </cell>
          <cell r="P846">
            <v>0</v>
          </cell>
        </row>
        <row r="847">
          <cell r="G847" t="str">
            <v>East</v>
          </cell>
          <cell r="M847" t="str">
            <v>First Class</v>
          </cell>
          <cell r="N847">
            <v>9</v>
          </cell>
          <cell r="P847">
            <v>0.25</v>
          </cell>
        </row>
        <row r="848">
          <cell r="G848" t="str">
            <v>West</v>
          </cell>
          <cell r="M848" t="str">
            <v>Standard Class</v>
          </cell>
          <cell r="N848">
            <v>2</v>
          </cell>
          <cell r="P848">
            <v>0</v>
          </cell>
        </row>
        <row r="849">
          <cell r="G849" t="str">
            <v>East</v>
          </cell>
          <cell r="M849" t="str">
            <v>Second Class</v>
          </cell>
          <cell r="N849">
            <v>2</v>
          </cell>
          <cell r="P849">
            <v>0.2</v>
          </cell>
        </row>
        <row r="850">
          <cell r="G850" t="str">
            <v>South</v>
          </cell>
          <cell r="M850" t="str">
            <v>Second Class</v>
          </cell>
          <cell r="N850">
            <v>1</v>
          </cell>
          <cell r="P850">
            <v>0.25</v>
          </cell>
        </row>
        <row r="851">
          <cell r="G851" t="str">
            <v>West</v>
          </cell>
          <cell r="M851" t="str">
            <v>Standard Class</v>
          </cell>
          <cell r="N851">
            <v>3</v>
          </cell>
          <cell r="P851">
            <v>0.2</v>
          </cell>
        </row>
        <row r="852">
          <cell r="G852" t="str">
            <v>East</v>
          </cell>
          <cell r="M852" t="str">
            <v>First Class</v>
          </cell>
          <cell r="N852">
            <v>6</v>
          </cell>
          <cell r="P852">
            <v>0</v>
          </cell>
        </row>
        <row r="853">
          <cell r="G853" t="str">
            <v>West</v>
          </cell>
          <cell r="M853" t="str">
            <v>First Class</v>
          </cell>
          <cell r="N853">
            <v>2</v>
          </cell>
          <cell r="P853">
            <v>0.2</v>
          </cell>
        </row>
        <row r="854">
          <cell r="G854" t="str">
            <v>East</v>
          </cell>
          <cell r="M854" t="str">
            <v>Second Class</v>
          </cell>
          <cell r="N854">
            <v>7</v>
          </cell>
          <cell r="P854">
            <v>0.15</v>
          </cell>
        </row>
        <row r="855">
          <cell r="G855" t="str">
            <v>South</v>
          </cell>
          <cell r="M855" t="str">
            <v>Same Day</v>
          </cell>
          <cell r="N855">
            <v>8</v>
          </cell>
          <cell r="P855">
            <v>0.2</v>
          </cell>
        </row>
        <row r="856">
          <cell r="G856" t="str">
            <v>South</v>
          </cell>
          <cell r="M856" t="str">
            <v>Second Class</v>
          </cell>
          <cell r="N856">
            <v>4</v>
          </cell>
          <cell r="P856">
            <v>0.05</v>
          </cell>
        </row>
        <row r="857">
          <cell r="G857" t="str">
            <v>North</v>
          </cell>
          <cell r="M857" t="str">
            <v>Second Class</v>
          </cell>
          <cell r="N857">
            <v>2</v>
          </cell>
          <cell r="P857">
            <v>0.25</v>
          </cell>
        </row>
        <row r="858">
          <cell r="G858" t="str">
            <v>South</v>
          </cell>
          <cell r="M858" t="str">
            <v>Standard Class</v>
          </cell>
          <cell r="N858">
            <v>4</v>
          </cell>
          <cell r="P858">
            <v>-0.16</v>
          </cell>
        </row>
        <row r="859">
          <cell r="G859" t="str">
            <v>South</v>
          </cell>
          <cell r="M859" t="str">
            <v>First Class</v>
          </cell>
          <cell r="N859">
            <v>6</v>
          </cell>
          <cell r="P859">
            <v>0.25</v>
          </cell>
        </row>
        <row r="860">
          <cell r="G860" t="str">
            <v>East</v>
          </cell>
          <cell r="M860" t="str">
            <v>Second Class</v>
          </cell>
          <cell r="N860">
            <v>4</v>
          </cell>
          <cell r="P860">
            <v>0</v>
          </cell>
        </row>
        <row r="861">
          <cell r="G861" t="str">
            <v>South</v>
          </cell>
          <cell r="M861" t="str">
            <v>Standard Class</v>
          </cell>
          <cell r="N861">
            <v>6</v>
          </cell>
          <cell r="P861">
            <v>0.05</v>
          </cell>
        </row>
        <row r="862">
          <cell r="G862" t="str">
            <v>North</v>
          </cell>
          <cell r="M862" t="str">
            <v>Second Class</v>
          </cell>
          <cell r="N862">
            <v>1</v>
          </cell>
          <cell r="P862">
            <v>0.05</v>
          </cell>
        </row>
        <row r="863">
          <cell r="G863" t="str">
            <v>North</v>
          </cell>
          <cell r="M863" t="str">
            <v>Same Day</v>
          </cell>
          <cell r="N863">
            <v>4</v>
          </cell>
          <cell r="P863">
            <v>0.2</v>
          </cell>
        </row>
        <row r="864">
          <cell r="G864" t="str">
            <v>East</v>
          </cell>
          <cell r="M864" t="str">
            <v>First Class</v>
          </cell>
          <cell r="N864">
            <v>5</v>
          </cell>
          <cell r="P864">
            <v>0</v>
          </cell>
        </row>
        <row r="865">
          <cell r="G865" t="str">
            <v>West</v>
          </cell>
          <cell r="M865" t="str">
            <v>Same Day</v>
          </cell>
          <cell r="N865">
            <v>3</v>
          </cell>
          <cell r="P865">
            <v>0</v>
          </cell>
        </row>
        <row r="866">
          <cell r="G866" t="str">
            <v>South</v>
          </cell>
          <cell r="M866" t="str">
            <v>First Class</v>
          </cell>
          <cell r="N866">
            <v>5</v>
          </cell>
          <cell r="P866">
            <v>0</v>
          </cell>
        </row>
        <row r="867">
          <cell r="G867" t="str">
            <v>West</v>
          </cell>
          <cell r="M867" t="str">
            <v>Second Class</v>
          </cell>
          <cell r="N867">
            <v>2</v>
          </cell>
          <cell r="P867">
            <v>0</v>
          </cell>
        </row>
        <row r="868">
          <cell r="G868" t="str">
            <v>East</v>
          </cell>
          <cell r="M868" t="str">
            <v>First Class</v>
          </cell>
          <cell r="N868">
            <v>9</v>
          </cell>
          <cell r="P868">
            <v>0.2</v>
          </cell>
        </row>
        <row r="869">
          <cell r="G869" t="str">
            <v>South</v>
          </cell>
          <cell r="M869" t="str">
            <v>Same Day</v>
          </cell>
          <cell r="N869">
            <v>6</v>
          </cell>
          <cell r="P869">
            <v>0.25</v>
          </cell>
        </row>
        <row r="870">
          <cell r="G870" t="str">
            <v>South</v>
          </cell>
          <cell r="M870" t="str">
            <v>Same Day</v>
          </cell>
          <cell r="N870">
            <v>9</v>
          </cell>
          <cell r="P870">
            <v>0.05</v>
          </cell>
        </row>
        <row r="871">
          <cell r="G871" t="str">
            <v/>
          </cell>
          <cell r="M871" t="str">
            <v>Same Day</v>
          </cell>
          <cell r="N871">
            <v>6</v>
          </cell>
          <cell r="P871">
            <v>0.1</v>
          </cell>
        </row>
        <row r="872">
          <cell r="G872" t="str">
            <v>West</v>
          </cell>
          <cell r="M872" t="str">
            <v>Standard Class</v>
          </cell>
          <cell r="N872">
            <v>9</v>
          </cell>
          <cell r="P872">
            <v>0.15</v>
          </cell>
        </row>
        <row r="873">
          <cell r="G873" t="str">
            <v>South</v>
          </cell>
          <cell r="M873" t="str">
            <v>First Class</v>
          </cell>
          <cell r="N873">
            <v>9</v>
          </cell>
          <cell r="P873">
            <v>0</v>
          </cell>
        </row>
        <row r="874">
          <cell r="G874" t="str">
            <v>East</v>
          </cell>
          <cell r="M874" t="str">
            <v>Standard Class</v>
          </cell>
          <cell r="N874">
            <v>5</v>
          </cell>
          <cell r="P874">
            <v>0.2</v>
          </cell>
        </row>
        <row r="875">
          <cell r="G875" t="str">
            <v>West</v>
          </cell>
          <cell r="M875" t="str">
            <v>Second Class</v>
          </cell>
          <cell r="N875">
            <v>8</v>
          </cell>
          <cell r="P875">
            <v>0.1</v>
          </cell>
        </row>
        <row r="876">
          <cell r="G876" t="str">
            <v>West</v>
          </cell>
          <cell r="M876" t="str">
            <v>Standard Class</v>
          </cell>
          <cell r="N876">
            <v>8</v>
          </cell>
          <cell r="P876">
            <v>0.05</v>
          </cell>
        </row>
        <row r="877">
          <cell r="G877" t="str">
            <v>West</v>
          </cell>
          <cell r="M877" t="str">
            <v>First Class</v>
          </cell>
          <cell r="N877">
            <v>7</v>
          </cell>
          <cell r="P877">
            <v>0.2</v>
          </cell>
        </row>
        <row r="878">
          <cell r="G878" t="str">
            <v>West</v>
          </cell>
          <cell r="M878" t="str">
            <v>First Class</v>
          </cell>
          <cell r="N878">
            <v>6</v>
          </cell>
          <cell r="P878">
            <v>0</v>
          </cell>
        </row>
        <row r="879">
          <cell r="G879" t="str">
            <v>West</v>
          </cell>
          <cell r="M879" t="str">
            <v>Second Class</v>
          </cell>
          <cell r="N879">
            <v>6</v>
          </cell>
          <cell r="P879">
            <v>0.1</v>
          </cell>
        </row>
        <row r="880">
          <cell r="G880" t="str">
            <v>East</v>
          </cell>
          <cell r="M880" t="str">
            <v>First Class</v>
          </cell>
          <cell r="N880">
            <v>8</v>
          </cell>
          <cell r="P880">
            <v>0.05</v>
          </cell>
        </row>
        <row r="881">
          <cell r="G881" t="str">
            <v>North</v>
          </cell>
          <cell r="M881" t="str">
            <v>Standard Class</v>
          </cell>
          <cell r="N881">
            <v>6</v>
          </cell>
          <cell r="P881">
            <v>0.15</v>
          </cell>
        </row>
        <row r="882">
          <cell r="G882" t="str">
            <v/>
          </cell>
          <cell r="M882" t="str">
            <v>First Class</v>
          </cell>
          <cell r="N882">
            <v>5</v>
          </cell>
          <cell r="P882">
            <v>0</v>
          </cell>
        </row>
        <row r="883">
          <cell r="G883" t="str">
            <v>South</v>
          </cell>
          <cell r="M883" t="str">
            <v>Second Class</v>
          </cell>
          <cell r="N883">
            <v>9</v>
          </cell>
          <cell r="P883">
            <v>0.25</v>
          </cell>
        </row>
        <row r="884">
          <cell r="G884" t="str">
            <v>East</v>
          </cell>
          <cell r="M884" t="str">
            <v>Standard Class</v>
          </cell>
          <cell r="N884">
            <v>4</v>
          </cell>
          <cell r="P884">
            <v>0</v>
          </cell>
        </row>
        <row r="885">
          <cell r="G885" t="str">
            <v>West</v>
          </cell>
          <cell r="M885" t="str">
            <v>Same Day</v>
          </cell>
          <cell r="N885">
            <v>1</v>
          </cell>
          <cell r="P885">
            <v>0</v>
          </cell>
        </row>
        <row r="886">
          <cell r="G886" t="str">
            <v>South</v>
          </cell>
          <cell r="M886" t="str">
            <v>Same Day</v>
          </cell>
          <cell r="N886">
            <v>2</v>
          </cell>
          <cell r="P886">
            <v>0.15</v>
          </cell>
        </row>
        <row r="887">
          <cell r="G887" t="str">
            <v>North</v>
          </cell>
          <cell r="M887" t="str">
            <v>Standard Class</v>
          </cell>
          <cell r="N887">
            <v>1</v>
          </cell>
          <cell r="P887">
            <v>0.25</v>
          </cell>
        </row>
        <row r="888">
          <cell r="G888" t="str">
            <v>South</v>
          </cell>
          <cell r="M888" t="str">
            <v>First Class</v>
          </cell>
          <cell r="N888">
            <v>7</v>
          </cell>
          <cell r="P888">
            <v>0.15</v>
          </cell>
        </row>
        <row r="889">
          <cell r="G889" t="str">
            <v>South</v>
          </cell>
          <cell r="M889" t="str">
            <v>Standard Class</v>
          </cell>
          <cell r="N889">
            <v>4</v>
          </cell>
          <cell r="P889">
            <v>0</v>
          </cell>
        </row>
        <row r="890">
          <cell r="G890" t="str">
            <v>West</v>
          </cell>
          <cell r="M890" t="str">
            <v>Standard Class</v>
          </cell>
          <cell r="N890">
            <v>4</v>
          </cell>
          <cell r="P890">
            <v>0.1</v>
          </cell>
        </row>
        <row r="891">
          <cell r="G891" t="str">
            <v>West</v>
          </cell>
          <cell r="M891" t="str">
            <v>First Class</v>
          </cell>
          <cell r="N891">
            <v>2</v>
          </cell>
          <cell r="P891">
            <v>0.25</v>
          </cell>
        </row>
        <row r="892">
          <cell r="G892" t="str">
            <v>West</v>
          </cell>
          <cell r="M892" t="str">
            <v>Standard Class</v>
          </cell>
          <cell r="N892">
            <v>6</v>
          </cell>
          <cell r="P892">
            <v>0.2</v>
          </cell>
        </row>
        <row r="893">
          <cell r="G893" t="str">
            <v>South</v>
          </cell>
          <cell r="M893" t="str">
            <v>Same Day</v>
          </cell>
          <cell r="N893">
            <v>5</v>
          </cell>
          <cell r="P893">
            <v>0.1</v>
          </cell>
        </row>
        <row r="894">
          <cell r="G894" t="str">
            <v>East</v>
          </cell>
          <cell r="M894" t="str">
            <v>Same Day</v>
          </cell>
          <cell r="N894">
            <v>1</v>
          </cell>
          <cell r="P894">
            <v>0.2</v>
          </cell>
        </row>
        <row r="895">
          <cell r="G895" t="str">
            <v>South</v>
          </cell>
          <cell r="M895" t="str">
            <v>Second Class</v>
          </cell>
          <cell r="N895">
            <v>3</v>
          </cell>
          <cell r="P895">
            <v>0.05</v>
          </cell>
        </row>
        <row r="896">
          <cell r="G896" t="str">
            <v>South</v>
          </cell>
          <cell r="M896" t="str">
            <v>First Class</v>
          </cell>
          <cell r="N896">
            <v>6</v>
          </cell>
          <cell r="P896">
            <v>0</v>
          </cell>
        </row>
        <row r="897">
          <cell r="G897" t="str">
            <v>South</v>
          </cell>
          <cell r="M897" t="str">
            <v>Same Day</v>
          </cell>
          <cell r="N897">
            <v>4</v>
          </cell>
          <cell r="P897">
            <v>0.15</v>
          </cell>
        </row>
        <row r="898">
          <cell r="G898" t="str">
            <v>South</v>
          </cell>
          <cell r="M898" t="str">
            <v>Second Class</v>
          </cell>
          <cell r="N898">
            <v>1</v>
          </cell>
          <cell r="P898">
            <v>0.05</v>
          </cell>
        </row>
        <row r="899">
          <cell r="G899" t="str">
            <v>North</v>
          </cell>
          <cell r="M899" t="str">
            <v>First Class</v>
          </cell>
          <cell r="N899">
            <v>4</v>
          </cell>
          <cell r="P899">
            <v>0.05</v>
          </cell>
        </row>
        <row r="900">
          <cell r="G900" t="str">
            <v>North</v>
          </cell>
          <cell r="M900" t="str">
            <v>First Class</v>
          </cell>
          <cell r="N900">
            <v>4</v>
          </cell>
          <cell r="P900">
            <v>0.2</v>
          </cell>
        </row>
        <row r="901">
          <cell r="G901" t="str">
            <v>North</v>
          </cell>
          <cell r="M901" t="str">
            <v>First Class</v>
          </cell>
          <cell r="N901">
            <v>5</v>
          </cell>
          <cell r="P901">
            <v>0.25</v>
          </cell>
        </row>
        <row r="902">
          <cell r="G902" t="str">
            <v>East</v>
          </cell>
          <cell r="M902" t="str">
            <v>Second Class</v>
          </cell>
          <cell r="N902">
            <v>6</v>
          </cell>
          <cell r="P902">
            <v>0.1</v>
          </cell>
        </row>
        <row r="903">
          <cell r="G903" t="str">
            <v>East</v>
          </cell>
          <cell r="M903" t="str">
            <v>Same Day</v>
          </cell>
          <cell r="N903">
            <v>3</v>
          </cell>
          <cell r="P903">
            <v>0.25</v>
          </cell>
        </row>
        <row r="904">
          <cell r="G904" t="str">
            <v>South</v>
          </cell>
          <cell r="M904" t="str">
            <v>First Class</v>
          </cell>
          <cell r="N904">
            <v>5</v>
          </cell>
          <cell r="P904">
            <v>0.15</v>
          </cell>
        </row>
        <row r="905">
          <cell r="G905" t="str">
            <v>South</v>
          </cell>
          <cell r="M905" t="str">
            <v/>
          </cell>
          <cell r="N905">
            <v>1</v>
          </cell>
          <cell r="P905">
            <v>0.15</v>
          </cell>
        </row>
        <row r="906">
          <cell r="G906" t="str">
            <v/>
          </cell>
          <cell r="M906" t="str">
            <v>Second Class</v>
          </cell>
          <cell r="N906">
            <v>6</v>
          </cell>
          <cell r="P906">
            <v>-0.14000000000000001</v>
          </cell>
        </row>
        <row r="907">
          <cell r="G907" t="str">
            <v>South</v>
          </cell>
          <cell r="M907" t="str">
            <v>First Class</v>
          </cell>
          <cell r="N907">
            <v>5</v>
          </cell>
          <cell r="P907">
            <v>0</v>
          </cell>
        </row>
        <row r="908">
          <cell r="G908" t="str">
            <v>South</v>
          </cell>
          <cell r="M908" t="str">
            <v>Same Day</v>
          </cell>
          <cell r="N908">
            <v>6</v>
          </cell>
          <cell r="P908">
            <v>0.15</v>
          </cell>
        </row>
        <row r="909">
          <cell r="G909" t="str">
            <v>West</v>
          </cell>
          <cell r="M909" t="str">
            <v>Second Class</v>
          </cell>
          <cell r="N909">
            <v>8</v>
          </cell>
          <cell r="P909">
            <v>0.15</v>
          </cell>
        </row>
        <row r="910">
          <cell r="G910" t="str">
            <v>West</v>
          </cell>
          <cell r="M910" t="str">
            <v>Same Day</v>
          </cell>
          <cell r="N910">
            <v>2</v>
          </cell>
          <cell r="P910">
            <v>0.2</v>
          </cell>
        </row>
        <row r="911">
          <cell r="G911" t="str">
            <v>South</v>
          </cell>
          <cell r="M911" t="str">
            <v>Same Day</v>
          </cell>
          <cell r="N911">
            <v>1</v>
          </cell>
          <cell r="P911">
            <v>0.25</v>
          </cell>
        </row>
        <row r="912">
          <cell r="G912" t="str">
            <v>North</v>
          </cell>
          <cell r="M912" t="str">
            <v>Same Day</v>
          </cell>
          <cell r="N912">
            <v>1</v>
          </cell>
          <cell r="P912">
            <v>0</v>
          </cell>
        </row>
        <row r="913">
          <cell r="G913" t="str">
            <v>East</v>
          </cell>
          <cell r="M913" t="str">
            <v>Standard Class</v>
          </cell>
          <cell r="N913">
            <v>5</v>
          </cell>
          <cell r="P913">
            <v>0.15</v>
          </cell>
        </row>
        <row r="914">
          <cell r="G914" t="str">
            <v>East</v>
          </cell>
          <cell r="M914" t="str">
            <v>Same Day</v>
          </cell>
          <cell r="N914">
            <v>1</v>
          </cell>
          <cell r="P914">
            <v>0</v>
          </cell>
        </row>
        <row r="915">
          <cell r="G915" t="str">
            <v>South</v>
          </cell>
          <cell r="M915" t="str">
            <v>Standard Class</v>
          </cell>
          <cell r="N915">
            <v>9</v>
          </cell>
          <cell r="P915">
            <v>0</v>
          </cell>
        </row>
        <row r="916">
          <cell r="G916" t="str">
            <v>West</v>
          </cell>
          <cell r="M916" t="str">
            <v>First Class</v>
          </cell>
          <cell r="N916">
            <v>7</v>
          </cell>
          <cell r="P916">
            <v>0</v>
          </cell>
        </row>
        <row r="917">
          <cell r="G917" t="str">
            <v>South</v>
          </cell>
          <cell r="M917" t="str">
            <v>Second Class</v>
          </cell>
          <cell r="N917">
            <v>3</v>
          </cell>
          <cell r="P917">
            <v>0.1</v>
          </cell>
        </row>
        <row r="918">
          <cell r="G918" t="str">
            <v>West</v>
          </cell>
          <cell r="M918" t="str">
            <v>Standard Class</v>
          </cell>
          <cell r="N918">
            <v>3</v>
          </cell>
          <cell r="P918">
            <v>0.2</v>
          </cell>
        </row>
        <row r="919">
          <cell r="G919" t="str">
            <v>West</v>
          </cell>
          <cell r="M919" t="str">
            <v>Second Class</v>
          </cell>
          <cell r="N919">
            <v>2</v>
          </cell>
          <cell r="P919">
            <v>0.05</v>
          </cell>
        </row>
        <row r="920">
          <cell r="G920" t="str">
            <v>North</v>
          </cell>
          <cell r="M920" t="str">
            <v>Same Day</v>
          </cell>
          <cell r="N920">
            <v>7</v>
          </cell>
          <cell r="P920">
            <v>0.15</v>
          </cell>
        </row>
        <row r="921">
          <cell r="G921" t="str">
            <v>East</v>
          </cell>
          <cell r="M921" t="str">
            <v>Standard Class</v>
          </cell>
          <cell r="N921">
            <v>4</v>
          </cell>
          <cell r="P921">
            <v>0.15</v>
          </cell>
        </row>
        <row r="922">
          <cell r="G922" t="str">
            <v>East</v>
          </cell>
          <cell r="M922" t="str">
            <v>Second Class</v>
          </cell>
          <cell r="N922">
            <v>4</v>
          </cell>
          <cell r="P922">
            <v>0</v>
          </cell>
        </row>
        <row r="923">
          <cell r="G923" t="str">
            <v>East</v>
          </cell>
          <cell r="M923" t="str">
            <v>First Class</v>
          </cell>
          <cell r="N923">
            <v>3</v>
          </cell>
          <cell r="P923">
            <v>0.15</v>
          </cell>
        </row>
        <row r="924">
          <cell r="G924" t="str">
            <v>North</v>
          </cell>
          <cell r="M924" t="str">
            <v>Second Class</v>
          </cell>
          <cell r="N924">
            <v>9</v>
          </cell>
          <cell r="P924">
            <v>0</v>
          </cell>
        </row>
        <row r="925">
          <cell r="G925" t="str">
            <v>North</v>
          </cell>
          <cell r="M925" t="str">
            <v>Standard Class</v>
          </cell>
          <cell r="N925">
            <v>4</v>
          </cell>
          <cell r="P925">
            <v>0.25</v>
          </cell>
        </row>
        <row r="926">
          <cell r="G926" t="str">
            <v>West</v>
          </cell>
          <cell r="M926" t="str">
            <v>Standard Class</v>
          </cell>
          <cell r="N926">
            <v>9</v>
          </cell>
          <cell r="P926">
            <v>0.15</v>
          </cell>
        </row>
        <row r="927">
          <cell r="G927" t="str">
            <v>East</v>
          </cell>
          <cell r="M927" t="str">
            <v>Standard Class</v>
          </cell>
          <cell r="N927">
            <v>3</v>
          </cell>
          <cell r="P927">
            <v>0</v>
          </cell>
        </row>
        <row r="928">
          <cell r="G928" t="str">
            <v>South</v>
          </cell>
          <cell r="M928" t="str">
            <v>First Class</v>
          </cell>
          <cell r="N928">
            <v>9</v>
          </cell>
          <cell r="P928">
            <v>0.2</v>
          </cell>
        </row>
        <row r="929">
          <cell r="G929" t="str">
            <v>North</v>
          </cell>
          <cell r="M929" t="str">
            <v/>
          </cell>
          <cell r="N929">
            <v>5</v>
          </cell>
          <cell r="P929">
            <v>0</v>
          </cell>
        </row>
        <row r="930">
          <cell r="G930" t="str">
            <v>North</v>
          </cell>
          <cell r="M930" t="str">
            <v>Second Class</v>
          </cell>
          <cell r="N930">
            <v>5</v>
          </cell>
          <cell r="P930">
            <v>0.15</v>
          </cell>
        </row>
        <row r="931">
          <cell r="G931" t="str">
            <v>South</v>
          </cell>
          <cell r="M931" t="str">
            <v>First Class</v>
          </cell>
          <cell r="N931">
            <v>7</v>
          </cell>
          <cell r="P931">
            <v>0.1</v>
          </cell>
        </row>
        <row r="932">
          <cell r="G932" t="str">
            <v>North</v>
          </cell>
          <cell r="M932" t="str">
            <v>Same Day</v>
          </cell>
          <cell r="N932">
            <v>1</v>
          </cell>
          <cell r="P932">
            <v>0</v>
          </cell>
        </row>
        <row r="933">
          <cell r="G933" t="str">
            <v>West</v>
          </cell>
          <cell r="M933" t="str">
            <v>First Class</v>
          </cell>
          <cell r="N933">
            <v>3</v>
          </cell>
          <cell r="P933">
            <v>0.1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FFB2-10CB-46B0-A124-AF2AF5FDF0E3}">
  <dimension ref="A1:AC933"/>
  <sheetViews>
    <sheetView topLeftCell="Q1" workbookViewId="0">
      <selection activeCell="Z2" sqref="Z2:Z933"/>
    </sheetView>
  </sheetViews>
  <sheetFormatPr defaultRowHeight="14.5"/>
  <cols>
    <col min="1" max="21" width="17.453125" customWidth="1"/>
    <col min="25" max="25" width="15.1796875" customWidth="1"/>
  </cols>
  <sheetData>
    <row r="1" spans="1:29" ht="4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</row>
    <row r="2" spans="1:29">
      <c r="A2" t="s">
        <v>53</v>
      </c>
      <c r="B2" s="4">
        <v>45494</v>
      </c>
      <c r="C2" s="4">
        <v>45500</v>
      </c>
      <c r="D2" t="s">
        <v>54</v>
      </c>
      <c r="E2" t="str">
        <f>PROPER(TRIM([1]raw_orders!E2))</f>
        <v>Karan Malhotra</v>
      </c>
      <c r="F2" t="str">
        <f>PROPER(TRIM([1]raw_orders!F2))</f>
        <v>Consumer</v>
      </c>
      <c r="G2" t="str">
        <f>IF('[1]Cleaned Text Field'!G2="","Unknown",'[1]Cleaned Text Field'!G2)</f>
        <v>North</v>
      </c>
      <c r="H2" t="str">
        <f>PROPER(TRIM([1]raw_orders!H2))</f>
        <v>Rajasthan</v>
      </c>
      <c r="I2" t="str">
        <f>PROPER(TRIM([1]raw_orders!I2))</f>
        <v>Jaipur</v>
      </c>
      <c r="J2" t="str">
        <f>PROPER(TRIM([1]raw_orders!J2))</f>
        <v>Office Supplies</v>
      </c>
      <c r="K2" t="str">
        <f>PROPER(TRIM([1]raw_orders!K2))</f>
        <v>Paper</v>
      </c>
      <c r="L2" t="s">
        <v>55</v>
      </c>
      <c r="M2" t="str">
        <f>IF('[1]Cleaned Text Field'!M2="","Unknown",'[1]Cleaned Text Field'!M2)</f>
        <v>Second Class</v>
      </c>
      <c r="N2">
        <f>IF('[1]Cleaned Text Field'!N2="",0,'[1]Cleaned Text Field'!N2)</f>
        <v>8</v>
      </c>
      <c r="O2">
        <v>2976.45</v>
      </c>
      <c r="P2" s="5">
        <f>IF('[1]Cleaned Text Field'!P2="",0,'[1]Cleaned Text Field'!P2)</f>
        <v>0.2</v>
      </c>
      <c r="Q2">
        <v>19049.28</v>
      </c>
      <c r="R2">
        <v>15841.89</v>
      </c>
      <c r="S2">
        <v>3207.39</v>
      </c>
      <c r="T2" t="str">
        <f>PROPER(TRIM([1]raw_orders!T2))</f>
        <v>Paid</v>
      </c>
      <c r="U2" t="str">
        <f>PROPER(TRIM([1]raw_orders!U2))</f>
        <v>Completed</v>
      </c>
      <c r="V2" s="6">
        <f t="shared" ref="V2:V66" si="0">IF(Q2=0,0,S2/Q2)</f>
        <v>0.16837329284886357</v>
      </c>
      <c r="W2" t="str">
        <f>TEXT(B2,"mmmm")</f>
        <v>July</v>
      </c>
      <c r="X2">
        <f>YEAR(B2)</f>
        <v>2024</v>
      </c>
      <c r="Y2">
        <f>C2-B2</f>
        <v>6</v>
      </c>
      <c r="Z2" s="7">
        <f>P2</f>
        <v>0.2</v>
      </c>
      <c r="AA2">
        <f>N2*O2*(1-P2)</f>
        <v>19049.28</v>
      </c>
      <c r="AB2">
        <f>Q2-R2</f>
        <v>3207.3899999999994</v>
      </c>
      <c r="AC2" t="str">
        <f>IF(OR(B2="",C2="",AA2&lt;=0),"Invalid",IF(Y2&lt;0,"Warning",IF(Z2&gt;100%,"Warning","Clean")))</f>
        <v>Clean</v>
      </c>
    </row>
    <row r="3" spans="1:29">
      <c r="A3" t="s">
        <v>56</v>
      </c>
      <c r="B3" s="4">
        <v>45535</v>
      </c>
      <c r="C3" s="4">
        <v>45540</v>
      </c>
      <c r="D3" t="s">
        <v>57</v>
      </c>
      <c r="E3" t="str">
        <f>PROPER(TRIM([1]raw_orders!E3))</f>
        <v>Mira Das</v>
      </c>
      <c r="F3" t="str">
        <f>PROPER(TRIM([1]raw_orders!F3))</f>
        <v>Small Business</v>
      </c>
      <c r="G3" t="str">
        <f>IF('[1]Cleaned Text Field'!G3="","Unknown",'[1]Cleaned Text Field'!G3)</f>
        <v>East</v>
      </c>
      <c r="H3" t="str">
        <f>PROPER(TRIM([1]raw_orders!H3))</f>
        <v>Odisha</v>
      </c>
      <c r="I3" t="str">
        <f>PROPER(TRIM([1]raw_orders!I3))</f>
        <v>Bhubaneswar</v>
      </c>
      <c r="J3" t="str">
        <f>PROPER(TRIM([1]raw_orders!J3))</f>
        <v>Furniture</v>
      </c>
      <c r="K3" t="str">
        <f>PROPER(TRIM([1]raw_orders!K3))</f>
        <v>Tables</v>
      </c>
      <c r="L3" t="s">
        <v>58</v>
      </c>
      <c r="M3" t="str">
        <f>IF('[1]Cleaned Text Field'!M3="","Unknown",'[1]Cleaned Text Field'!M3)</f>
        <v>Same Day</v>
      </c>
      <c r="N3">
        <f>IF('[1]Cleaned Text Field'!N3="",0,'[1]Cleaned Text Field'!N3)</f>
        <v>3</v>
      </c>
      <c r="O3">
        <v>2437.5</v>
      </c>
      <c r="P3" s="5">
        <f>IF('[1]Cleaned Text Field'!P3="",0,'[1]Cleaned Text Field'!P3)</f>
        <v>0</v>
      </c>
      <c r="Q3">
        <v>7312.5</v>
      </c>
      <c r="R3">
        <v>4904.7299999999996</v>
      </c>
      <c r="S3">
        <v>2407.77</v>
      </c>
      <c r="T3" t="str">
        <f>PROPER(TRIM([1]raw_orders!T3))</f>
        <v>Paid</v>
      </c>
      <c r="U3" t="str">
        <f>PROPER(TRIM([1]raw_orders!U3))</f>
        <v>Completed</v>
      </c>
      <c r="V3" s="6">
        <f t="shared" si="0"/>
        <v>0.32926769230769232</v>
      </c>
      <c r="W3" t="str">
        <f t="shared" ref="W3:W66" si="1">TEXT(B3,"mmmm")</f>
        <v>August</v>
      </c>
      <c r="X3">
        <f t="shared" ref="X3:X66" si="2">YEAR(B3)</f>
        <v>2024</v>
      </c>
      <c r="Y3">
        <f t="shared" ref="Y3:Y66" si="3">C3-B3</f>
        <v>5</v>
      </c>
      <c r="Z3" s="7">
        <f t="shared" ref="Z3:Z66" si="4">P3</f>
        <v>0</v>
      </c>
      <c r="AA3">
        <f t="shared" ref="AA3:AA66" si="5">N3*O3*(1-P3)</f>
        <v>7312.5</v>
      </c>
      <c r="AB3">
        <f t="shared" ref="AB3:AB66" si="6">Q3-R3</f>
        <v>2407.7700000000004</v>
      </c>
      <c r="AC3" t="str">
        <f t="shared" ref="AC3:AC66" si="7">IF(OR(B3="",C3="",AA3&lt;=0),"Invalid",IF(Y3&lt;0,"Warning",IF(Z3&gt;100%,"Warning","Clean")))</f>
        <v>Clean</v>
      </c>
    </row>
    <row r="4" spans="1:29">
      <c r="A4" t="s">
        <v>59</v>
      </c>
      <c r="B4" s="4">
        <v>45451</v>
      </c>
      <c r="C4" s="4">
        <v>45458</v>
      </c>
      <c r="D4" t="s">
        <v>60</v>
      </c>
      <c r="E4" t="str">
        <f>PROPER(TRIM([1]raw_orders!E4))</f>
        <v>Isha Nair</v>
      </c>
      <c r="F4" t="str">
        <f>PROPER(TRIM([1]raw_orders!F4))</f>
        <v>Consumer</v>
      </c>
      <c r="G4" t="str">
        <f>IF('[1]Cleaned Text Field'!G4="","Unknown",'[1]Cleaned Text Field'!G4)</f>
        <v>East</v>
      </c>
      <c r="H4" t="str">
        <f>PROPER(TRIM([1]raw_orders!H4))</f>
        <v>Odisha</v>
      </c>
      <c r="I4" t="str">
        <f>PROPER(TRIM([1]raw_orders!I4))</f>
        <v>Bhubaneswar</v>
      </c>
      <c r="J4" t="str">
        <f>PROPER(TRIM([1]raw_orders!J4))</f>
        <v>Office Supplies</v>
      </c>
      <c r="K4" t="str">
        <f>PROPER(TRIM([1]raw_orders!K4))</f>
        <v>Art</v>
      </c>
      <c r="L4" t="s">
        <v>61</v>
      </c>
      <c r="M4" t="str">
        <f>IF('[1]Cleaned Text Field'!M4="","Unknown",'[1]Cleaned Text Field'!M4)</f>
        <v>First Class</v>
      </c>
      <c r="N4">
        <f>IF('[1]Cleaned Text Field'!N4="",0,'[1]Cleaned Text Field'!N4)</f>
        <v>4</v>
      </c>
      <c r="O4">
        <v>1065.43</v>
      </c>
      <c r="P4" s="5">
        <f>IF('[1]Cleaned Text Field'!P4="",0,'[1]Cleaned Text Field'!P4)</f>
        <v>0.55000000000000004</v>
      </c>
      <c r="Q4">
        <v>4261.72</v>
      </c>
      <c r="R4">
        <v>2465.69</v>
      </c>
      <c r="S4">
        <v>1796.03</v>
      </c>
      <c r="T4" t="str">
        <f>PROPER(TRIM([1]raw_orders!T4))</f>
        <v>Paid</v>
      </c>
      <c r="U4" t="str">
        <f>PROPER(TRIM([1]raw_orders!U4))</f>
        <v>Completed</v>
      </c>
      <c r="V4" s="6">
        <f t="shared" si="0"/>
        <v>0.42143313028542462</v>
      </c>
      <c r="W4" t="str">
        <f t="shared" si="1"/>
        <v>June</v>
      </c>
      <c r="X4">
        <f t="shared" si="2"/>
        <v>2024</v>
      </c>
      <c r="Y4">
        <f t="shared" si="3"/>
        <v>7</v>
      </c>
      <c r="Z4" s="7">
        <f t="shared" si="4"/>
        <v>0.55000000000000004</v>
      </c>
      <c r="AA4">
        <f t="shared" si="5"/>
        <v>1917.7739999999999</v>
      </c>
      <c r="AB4">
        <f t="shared" si="6"/>
        <v>1796.0300000000002</v>
      </c>
      <c r="AC4" t="str">
        <f t="shared" si="7"/>
        <v>Clean</v>
      </c>
    </row>
    <row r="5" spans="1:29">
      <c r="A5" t="s">
        <v>62</v>
      </c>
      <c r="B5" s="4">
        <v>45624</v>
      </c>
      <c r="C5" s="4">
        <v>45625</v>
      </c>
      <c r="D5" t="s">
        <v>63</v>
      </c>
      <c r="E5" t="str">
        <f>PROPER(TRIM([1]raw_orders!E5))</f>
        <v>Arjun Bose</v>
      </c>
      <c r="F5" t="str">
        <f>PROPER(TRIM([1]raw_orders!F5))</f>
        <v>Small Business</v>
      </c>
      <c r="G5" t="str">
        <f>IF('[1]Cleaned Text Field'!G5="","Unknown",'[1]Cleaned Text Field'!G5)</f>
        <v>South</v>
      </c>
      <c r="H5" t="str">
        <f>PROPER(TRIM([1]raw_orders!H5))</f>
        <v>Telangana</v>
      </c>
      <c r="I5" t="str">
        <f>PROPER(TRIM([1]raw_orders!I5))</f>
        <v>Hyderabad</v>
      </c>
      <c r="J5" t="str">
        <f>PROPER(TRIM([1]raw_orders!J5))</f>
        <v>Furniture</v>
      </c>
      <c r="K5" t="str">
        <f>PROPER(TRIM([1]raw_orders!K5))</f>
        <v>Furnishings</v>
      </c>
      <c r="L5" t="s">
        <v>64</v>
      </c>
      <c r="M5" t="str">
        <f>IF('[1]Cleaned Text Field'!M5="","Unknown",'[1]Cleaned Text Field'!M5)</f>
        <v>Standard Class</v>
      </c>
      <c r="N5">
        <f>IF('[1]Cleaned Text Field'!N5="",0,'[1]Cleaned Text Field'!N5)</f>
        <v>6</v>
      </c>
      <c r="O5">
        <v>1848.43</v>
      </c>
      <c r="P5" s="5">
        <f>IF('[1]Cleaned Text Field'!P5="",0,'[1]Cleaned Text Field'!P5)</f>
        <v>0.25</v>
      </c>
      <c r="Q5">
        <v>8317.93</v>
      </c>
      <c r="R5">
        <v>6796.77</v>
      </c>
      <c r="S5">
        <v>1521.16</v>
      </c>
      <c r="T5" t="str">
        <f>PROPER(TRIM([1]raw_orders!T5))</f>
        <v>Paid</v>
      </c>
      <c r="U5" t="str">
        <f>PROPER(TRIM([1]raw_orders!U5))</f>
        <v>Completed</v>
      </c>
      <c r="V5" s="6">
        <f t="shared" si="0"/>
        <v>0.18287723027243558</v>
      </c>
      <c r="W5" t="str">
        <f t="shared" si="1"/>
        <v>November</v>
      </c>
      <c r="X5">
        <f t="shared" si="2"/>
        <v>2024</v>
      </c>
      <c r="Y5">
        <f t="shared" si="3"/>
        <v>1</v>
      </c>
      <c r="Z5" s="7">
        <f t="shared" si="4"/>
        <v>0.25</v>
      </c>
      <c r="AA5">
        <f t="shared" si="5"/>
        <v>8317.9349999999995</v>
      </c>
      <c r="AB5">
        <f t="shared" si="6"/>
        <v>1521.1599999999999</v>
      </c>
      <c r="AC5" t="str">
        <f t="shared" si="7"/>
        <v>Clean</v>
      </c>
    </row>
    <row r="6" spans="1:29">
      <c r="A6" t="s">
        <v>65</v>
      </c>
      <c r="B6" s="4">
        <v>45898</v>
      </c>
      <c r="C6" s="4">
        <v>45901</v>
      </c>
      <c r="D6" t="s">
        <v>66</v>
      </c>
      <c r="E6" t="str">
        <f>PROPER(TRIM([1]raw_orders!E6))</f>
        <v>Ananya Rao</v>
      </c>
      <c r="F6" t="str">
        <f>PROPER(TRIM([1]raw_orders!F6))</f>
        <v>Small Business</v>
      </c>
      <c r="G6" t="str">
        <f>IF('[1]Cleaned Text Field'!G6="","Unknown",'[1]Cleaned Text Field'!G6)</f>
        <v>West</v>
      </c>
      <c r="H6" t="str">
        <f>PROPER(TRIM([1]raw_orders!H6))</f>
        <v>Maharashtra</v>
      </c>
      <c r="I6" t="str">
        <f>PROPER(TRIM([1]raw_orders!I6))</f>
        <v>Mumbai</v>
      </c>
      <c r="J6" t="str">
        <f>PROPER(TRIM([1]raw_orders!J6))</f>
        <v>Furniture</v>
      </c>
      <c r="K6" t="str">
        <f>PROPER(TRIM([1]raw_orders!K6))</f>
        <v>Chairs</v>
      </c>
      <c r="L6" t="s">
        <v>67</v>
      </c>
      <c r="M6" t="str">
        <f>IF('[1]Cleaned Text Field'!M6="","Unknown",'[1]Cleaned Text Field'!M6)</f>
        <v>First Class</v>
      </c>
      <c r="N6">
        <f>IF('[1]Cleaned Text Field'!N6="",0,'[1]Cleaned Text Field'!N6)</f>
        <v>7</v>
      </c>
      <c r="O6">
        <v>2973.76</v>
      </c>
      <c r="P6" s="5">
        <f>IF('[1]Cleaned Text Field'!P6="",0,'[1]Cleaned Text Field'!P6)</f>
        <v>0</v>
      </c>
      <c r="Q6">
        <v>20816.32</v>
      </c>
      <c r="R6">
        <v>17705.37</v>
      </c>
      <c r="S6">
        <v>3110.95</v>
      </c>
      <c r="T6" t="str">
        <f>PROPER(TRIM([1]raw_orders!T6))</f>
        <v>Paid</v>
      </c>
      <c r="U6" t="str">
        <f>PROPER(TRIM([1]raw_orders!U6))</f>
        <v>Cancelled</v>
      </c>
      <c r="V6" s="6">
        <f t="shared" si="0"/>
        <v>0.14944764492475135</v>
      </c>
      <c r="W6" t="str">
        <f t="shared" si="1"/>
        <v>August</v>
      </c>
      <c r="X6">
        <f t="shared" si="2"/>
        <v>2025</v>
      </c>
      <c r="Y6">
        <f t="shared" si="3"/>
        <v>3</v>
      </c>
      <c r="Z6" s="7">
        <f t="shared" si="4"/>
        <v>0</v>
      </c>
      <c r="AA6">
        <f t="shared" si="5"/>
        <v>20816.32</v>
      </c>
      <c r="AB6">
        <f t="shared" si="6"/>
        <v>3110.9500000000007</v>
      </c>
      <c r="AC6" t="str">
        <f t="shared" si="7"/>
        <v>Clean</v>
      </c>
    </row>
    <row r="7" spans="1:29">
      <c r="A7" t="s">
        <v>68</v>
      </c>
      <c r="B7" s="4">
        <v>45436</v>
      </c>
      <c r="C7" s="4">
        <v>45440</v>
      </c>
      <c r="D7" t="s">
        <v>69</v>
      </c>
      <c r="E7" t="str">
        <f>PROPER(TRIM([1]raw_orders!E7))</f>
        <v>Vikram Iyer</v>
      </c>
      <c r="F7" t="str">
        <f>PROPER(TRIM([1]raw_orders!F7))</f>
        <v>Small Business</v>
      </c>
      <c r="G7" t="str">
        <f>IF('[1]Cleaned Text Field'!G7="","Unknown",'[1]Cleaned Text Field'!G7)</f>
        <v>West</v>
      </c>
      <c r="H7" t="str">
        <f>PROPER(TRIM([1]raw_orders!H7))</f>
        <v>Madhya Pradesh</v>
      </c>
      <c r="I7" t="str">
        <f>PROPER(TRIM([1]raw_orders!I7))</f>
        <v>Indore</v>
      </c>
      <c r="J7" t="str">
        <f>PROPER(TRIM([1]raw_orders!J7))</f>
        <v>Technology</v>
      </c>
      <c r="K7" t="str">
        <f>PROPER(TRIM([1]raw_orders!K7))</f>
        <v>Accessories</v>
      </c>
      <c r="L7" t="s">
        <v>70</v>
      </c>
      <c r="M7" t="str">
        <f>IF('[1]Cleaned Text Field'!M7="","Unknown",'[1]Cleaned Text Field'!M7)</f>
        <v>Same Day</v>
      </c>
      <c r="N7">
        <f>IF('[1]Cleaned Text Field'!N7="",0,'[1]Cleaned Text Field'!N7)</f>
        <v>3</v>
      </c>
      <c r="O7">
        <v>1053.1099999999999</v>
      </c>
      <c r="P7" s="5">
        <f>IF('[1]Cleaned Text Field'!P7="",0,'[1]Cleaned Text Field'!P7)</f>
        <v>0.2</v>
      </c>
      <c r="Q7">
        <v>2527.46</v>
      </c>
      <c r="R7">
        <v>1533.58</v>
      </c>
      <c r="S7">
        <v>993.88</v>
      </c>
      <c r="T7" t="str">
        <f>PROPER(TRIM([1]raw_orders!T7))</f>
        <v>Paid</v>
      </c>
      <c r="U7" t="str">
        <f>PROPER(TRIM([1]raw_orders!U7))</f>
        <v>Completed</v>
      </c>
      <c r="V7" s="6">
        <f t="shared" si="0"/>
        <v>0.39323273167527872</v>
      </c>
      <c r="W7" t="str">
        <f t="shared" si="1"/>
        <v>May</v>
      </c>
      <c r="X7">
        <f t="shared" si="2"/>
        <v>2024</v>
      </c>
      <c r="Y7">
        <f t="shared" si="3"/>
        <v>4</v>
      </c>
      <c r="Z7" s="7">
        <f t="shared" si="4"/>
        <v>0.2</v>
      </c>
      <c r="AA7">
        <f t="shared" si="5"/>
        <v>2527.4639999999999</v>
      </c>
      <c r="AB7">
        <f t="shared" si="6"/>
        <v>993.88000000000011</v>
      </c>
      <c r="AC7" t="str">
        <f t="shared" si="7"/>
        <v>Clean</v>
      </c>
    </row>
    <row r="8" spans="1:29">
      <c r="A8" t="s">
        <v>71</v>
      </c>
      <c r="B8" s="4">
        <v>45757</v>
      </c>
      <c r="C8" s="4">
        <v>45763</v>
      </c>
      <c r="D8" t="s">
        <v>72</v>
      </c>
      <c r="E8" t="str">
        <f>PROPER(TRIM([1]raw_orders!E8))</f>
        <v>Neha Gupta</v>
      </c>
      <c r="F8" t="str">
        <f>PROPER(TRIM([1]raw_orders!F8))</f>
        <v>Consumer</v>
      </c>
      <c r="G8" t="str">
        <f>IF('[1]Cleaned Text Field'!G8="","Unknown",'[1]Cleaned Text Field'!G8)</f>
        <v>East</v>
      </c>
      <c r="H8" t="str">
        <f>PROPER(TRIM([1]raw_orders!H8))</f>
        <v>Odisha</v>
      </c>
      <c r="I8" t="str">
        <f>PROPER(TRIM([1]raw_orders!I8))</f>
        <v>Bhubaneswar</v>
      </c>
      <c r="J8" t="str">
        <f>PROPER(TRIM([1]raw_orders!J8))</f>
        <v>Technology</v>
      </c>
      <c r="K8" t="str">
        <f>PROPER(TRIM([1]raw_orders!K8))</f>
        <v>Copiers</v>
      </c>
      <c r="L8" t="s">
        <v>73</v>
      </c>
      <c r="M8" t="str">
        <f>IF('[1]Cleaned Text Field'!M8="","Unknown",'[1]Cleaned Text Field'!M8)</f>
        <v>Standard Class</v>
      </c>
      <c r="N8">
        <f>IF('[1]Cleaned Text Field'!N8="",0,'[1]Cleaned Text Field'!N8)</f>
        <v>4</v>
      </c>
      <c r="O8">
        <v>1719.87</v>
      </c>
      <c r="P8" s="5">
        <f>IF('[1]Cleaned Text Field'!P8="",0,'[1]Cleaned Text Field'!P8)</f>
        <v>0.15</v>
      </c>
      <c r="Q8">
        <v>5847.56</v>
      </c>
      <c r="R8">
        <v>4727.25</v>
      </c>
      <c r="S8">
        <v>1120.31</v>
      </c>
      <c r="T8" t="str">
        <f>PROPER(TRIM([1]raw_orders!T8))</f>
        <v>Paid</v>
      </c>
      <c r="U8" t="str">
        <f>PROPER(TRIM([1]raw_orders!U8))</f>
        <v>Completed</v>
      </c>
      <c r="V8" s="6">
        <f t="shared" si="0"/>
        <v>0.19158589223539388</v>
      </c>
      <c r="W8" t="str">
        <f t="shared" si="1"/>
        <v>April</v>
      </c>
      <c r="X8">
        <f t="shared" si="2"/>
        <v>2025</v>
      </c>
      <c r="Y8">
        <f t="shared" si="3"/>
        <v>6</v>
      </c>
      <c r="Z8" s="7">
        <f t="shared" si="4"/>
        <v>0.15</v>
      </c>
      <c r="AA8">
        <f t="shared" si="5"/>
        <v>5847.5579999999991</v>
      </c>
      <c r="AB8">
        <f t="shared" si="6"/>
        <v>1120.3100000000004</v>
      </c>
      <c r="AC8" t="str">
        <f t="shared" si="7"/>
        <v>Clean</v>
      </c>
    </row>
    <row r="9" spans="1:29">
      <c r="A9" t="s">
        <v>74</v>
      </c>
      <c r="B9" s="4">
        <v>45711</v>
      </c>
      <c r="C9" s="4">
        <v>45714</v>
      </c>
      <c r="D9" t="s">
        <v>75</v>
      </c>
      <c r="E9" t="str">
        <f>PROPER(TRIM([1]raw_orders!E9))</f>
        <v>Isha Nair</v>
      </c>
      <c r="F9" t="str">
        <f>PROPER(TRIM([1]raw_orders!F9))</f>
        <v>Small Business</v>
      </c>
      <c r="G9" t="str">
        <f>IF('[1]Cleaned Text Field'!G9="","Unknown",'[1]Cleaned Text Field'!G9)</f>
        <v>South</v>
      </c>
      <c r="H9" t="str">
        <f>PROPER(TRIM([1]raw_orders!H9))</f>
        <v>Andhra Pradesh</v>
      </c>
      <c r="I9" t="str">
        <f>PROPER(TRIM([1]raw_orders!I9))</f>
        <v>Vijayawada</v>
      </c>
      <c r="J9" t="str">
        <f>PROPER(TRIM([1]raw_orders!J9))</f>
        <v>Office Supplies</v>
      </c>
      <c r="K9" t="str">
        <f>PROPER(TRIM([1]raw_orders!K9))</f>
        <v>Art</v>
      </c>
      <c r="L9" t="s">
        <v>76</v>
      </c>
      <c r="M9" t="str">
        <f>IF('[1]Cleaned Text Field'!M9="","Unknown",'[1]Cleaned Text Field'!M9)</f>
        <v>First Class</v>
      </c>
      <c r="N9">
        <f>IF('[1]Cleaned Text Field'!N9="",0,'[1]Cleaned Text Field'!N9)</f>
        <v>1</v>
      </c>
      <c r="O9">
        <v>2980.71</v>
      </c>
      <c r="P9" s="5">
        <f>IF('[1]Cleaned Text Field'!P9="",0,'[1]Cleaned Text Field'!P9)</f>
        <v>0</v>
      </c>
      <c r="Q9">
        <v>2980.71</v>
      </c>
      <c r="R9">
        <v>2357.2199999999998</v>
      </c>
      <c r="S9">
        <v>623.49</v>
      </c>
      <c r="T9" t="str">
        <f>PROPER(TRIM([1]raw_orders!T9))</f>
        <v>Paid</v>
      </c>
      <c r="U9" t="str">
        <f>PROPER(TRIM([1]raw_orders!U9))</f>
        <v>Completed</v>
      </c>
      <c r="V9" s="6">
        <f t="shared" si="0"/>
        <v>0.20917499521925983</v>
      </c>
      <c r="W9" t="str">
        <f t="shared" si="1"/>
        <v>February</v>
      </c>
      <c r="X9">
        <f t="shared" si="2"/>
        <v>2025</v>
      </c>
      <c r="Y9">
        <f t="shared" si="3"/>
        <v>3</v>
      </c>
      <c r="Z9" s="7">
        <f t="shared" si="4"/>
        <v>0</v>
      </c>
      <c r="AA9">
        <f t="shared" si="5"/>
        <v>2980.71</v>
      </c>
      <c r="AB9">
        <f t="shared" si="6"/>
        <v>623.49000000000024</v>
      </c>
      <c r="AC9" t="str">
        <f t="shared" si="7"/>
        <v>Clean</v>
      </c>
    </row>
    <row r="10" spans="1:29">
      <c r="A10" t="s">
        <v>77</v>
      </c>
      <c r="B10" s="4">
        <v>45601</v>
      </c>
      <c r="C10" s="4">
        <v>45606</v>
      </c>
      <c r="D10" t="s">
        <v>78</v>
      </c>
      <c r="E10" t="str">
        <f>PROPER(TRIM([1]raw_orders!E10))</f>
        <v>Aditi Sen</v>
      </c>
      <c r="F10" t="str">
        <f>PROPER(TRIM([1]raw_orders!F10))</f>
        <v>Corporate</v>
      </c>
      <c r="G10" t="str">
        <f>IF('[1]Cleaned Text Field'!G10="","Unknown",'[1]Cleaned Text Field'!G10)</f>
        <v>South</v>
      </c>
      <c r="H10" t="str">
        <f>PROPER(TRIM([1]raw_orders!H10))</f>
        <v>Telangana</v>
      </c>
      <c r="I10" t="str">
        <f>PROPER(TRIM([1]raw_orders!I10))</f>
        <v>Hyderabad</v>
      </c>
      <c r="J10" t="str">
        <f>PROPER(TRIM([1]raw_orders!J10))</f>
        <v>Office Supplies</v>
      </c>
      <c r="K10" t="str">
        <f>PROPER(TRIM([1]raw_orders!K10))</f>
        <v>Labels</v>
      </c>
      <c r="L10" t="s">
        <v>79</v>
      </c>
      <c r="M10" t="str">
        <f>IF('[1]Cleaned Text Field'!M10="","Unknown",'[1]Cleaned Text Field'!M10)</f>
        <v>First Class</v>
      </c>
      <c r="N10">
        <f>IF('[1]Cleaned Text Field'!N10="",0,'[1]Cleaned Text Field'!N10)</f>
        <v>8</v>
      </c>
      <c r="O10">
        <v>3134.2</v>
      </c>
      <c r="P10" s="5">
        <f>IF('[1]Cleaned Text Field'!P10="",0,'[1]Cleaned Text Field'!P10)</f>
        <v>0</v>
      </c>
      <c r="Q10">
        <v>25073.599999999999</v>
      </c>
      <c r="R10">
        <v>17347.23</v>
      </c>
      <c r="S10">
        <v>7726.37</v>
      </c>
      <c r="T10" t="str">
        <f>PROPER(TRIM([1]raw_orders!T10))</f>
        <v>Paid</v>
      </c>
      <c r="U10" t="str">
        <f>PROPER(TRIM([1]raw_orders!U10))</f>
        <v>Completed</v>
      </c>
      <c r="V10" s="6">
        <f t="shared" si="0"/>
        <v>0.30814761342607366</v>
      </c>
      <c r="W10" t="str">
        <f t="shared" si="1"/>
        <v>November</v>
      </c>
      <c r="X10">
        <f t="shared" si="2"/>
        <v>2024</v>
      </c>
      <c r="Y10">
        <f t="shared" si="3"/>
        <v>5</v>
      </c>
      <c r="Z10" s="7">
        <f t="shared" si="4"/>
        <v>0</v>
      </c>
      <c r="AA10">
        <f t="shared" si="5"/>
        <v>25073.599999999999</v>
      </c>
      <c r="AB10">
        <f t="shared" si="6"/>
        <v>7726.369999999999</v>
      </c>
      <c r="AC10" t="str">
        <f t="shared" si="7"/>
        <v>Clean</v>
      </c>
    </row>
    <row r="11" spans="1:29">
      <c r="A11" t="s">
        <v>80</v>
      </c>
      <c r="B11" s="4">
        <v>45847</v>
      </c>
      <c r="C11" s="4">
        <v>45912</v>
      </c>
      <c r="D11" t="s">
        <v>81</v>
      </c>
      <c r="E11" t="str">
        <f>PROPER(TRIM([1]raw_orders!E11))</f>
        <v>Mira Das</v>
      </c>
      <c r="F11" t="str">
        <f>PROPER(TRIM([1]raw_orders!F11))</f>
        <v>Home Office</v>
      </c>
      <c r="G11" t="str">
        <f>IF('[1]Cleaned Text Field'!G11="","Unknown",'[1]Cleaned Text Field'!G11)</f>
        <v>South</v>
      </c>
      <c r="H11" t="str">
        <f>PROPER(TRIM([1]raw_orders!H11))</f>
        <v>Telangana</v>
      </c>
      <c r="I11" t="str">
        <f>PROPER(TRIM([1]raw_orders!I11))</f>
        <v>Hyderabad</v>
      </c>
      <c r="J11" t="str">
        <f>PROPER(TRIM([1]raw_orders!J11))</f>
        <v>Office Supplies</v>
      </c>
      <c r="K11" t="str">
        <f>PROPER(TRIM([1]raw_orders!K11))</f>
        <v>Paper</v>
      </c>
      <c r="L11" t="s">
        <v>82</v>
      </c>
      <c r="M11" t="str">
        <f>IF('[1]Cleaned Text Field'!M11="","Unknown",'[1]Cleaned Text Field'!M11)</f>
        <v>Second Class</v>
      </c>
      <c r="N11">
        <f>IF('[1]Cleaned Text Field'!N11="",0,'[1]Cleaned Text Field'!N11)</f>
        <v>9</v>
      </c>
      <c r="O11">
        <v>852.04</v>
      </c>
      <c r="P11" s="5">
        <f>IF('[1]Cleaned Text Field'!P11="",0,'[1]Cleaned Text Field'!P11)</f>
        <v>0.2</v>
      </c>
      <c r="Q11">
        <v>6134.69</v>
      </c>
      <c r="R11">
        <v>3800.19</v>
      </c>
      <c r="S11">
        <v>2334.5</v>
      </c>
      <c r="T11" t="str">
        <f>PROPER(TRIM([1]raw_orders!T11))</f>
        <v>Paid</v>
      </c>
      <c r="U11" t="str">
        <f>PROPER(TRIM([1]raw_orders!U11))</f>
        <v>Completed</v>
      </c>
      <c r="V11" s="6">
        <f t="shared" si="0"/>
        <v>0.3805408260238089</v>
      </c>
      <c r="W11" t="str">
        <f t="shared" si="1"/>
        <v>July</v>
      </c>
      <c r="X11">
        <f t="shared" si="2"/>
        <v>2025</v>
      </c>
      <c r="Y11">
        <f t="shared" si="3"/>
        <v>65</v>
      </c>
      <c r="Z11" s="7">
        <f t="shared" si="4"/>
        <v>0.2</v>
      </c>
      <c r="AA11">
        <f t="shared" si="5"/>
        <v>6134.6880000000001</v>
      </c>
      <c r="AB11">
        <f t="shared" si="6"/>
        <v>2334.4999999999995</v>
      </c>
      <c r="AC11" t="str">
        <f t="shared" si="7"/>
        <v>Clean</v>
      </c>
    </row>
    <row r="12" spans="1:29">
      <c r="A12" t="s">
        <v>83</v>
      </c>
      <c r="B12" s="4">
        <v>45797</v>
      </c>
      <c r="C12" s="4">
        <v>45797</v>
      </c>
      <c r="D12" t="s">
        <v>84</v>
      </c>
      <c r="E12" t="str">
        <f>PROPER(TRIM([1]raw_orders!E12))</f>
        <v>Ananya Rao</v>
      </c>
      <c r="F12" t="str">
        <f>PROPER(TRIM([1]raw_orders!F12))</f>
        <v>Corporate</v>
      </c>
      <c r="G12" t="str">
        <f>IF('[1]Cleaned Text Field'!G12="","Unknown",'[1]Cleaned Text Field'!G12)</f>
        <v>East</v>
      </c>
      <c r="H12" t="str">
        <f>PROPER(TRIM([1]raw_orders!H12))</f>
        <v>West Bengal</v>
      </c>
      <c r="I12" t="str">
        <f>PROPER(TRIM([1]raw_orders!I12))</f>
        <v>Kolkata</v>
      </c>
      <c r="J12" t="str">
        <f>PROPER(TRIM([1]raw_orders!J12))</f>
        <v>Office Supplies</v>
      </c>
      <c r="K12" t="str">
        <f>PROPER(TRIM([1]raw_orders!K12))</f>
        <v>Labels</v>
      </c>
      <c r="L12" t="s">
        <v>85</v>
      </c>
      <c r="M12" t="str">
        <f>IF('[1]Cleaned Text Field'!M12="","Unknown",'[1]Cleaned Text Field'!M12)</f>
        <v>Second Class</v>
      </c>
      <c r="N12">
        <f>IF('[1]Cleaned Text Field'!N12="",0,'[1]Cleaned Text Field'!N12)</f>
        <v>3</v>
      </c>
      <c r="O12">
        <v>3534.83</v>
      </c>
      <c r="P12" s="5">
        <f>IF('[1]Cleaned Text Field'!P12="",0,'[1]Cleaned Text Field'!P12)</f>
        <v>0.05</v>
      </c>
      <c r="Q12">
        <v>10074.27</v>
      </c>
      <c r="R12">
        <v>6048.27</v>
      </c>
      <c r="S12">
        <v>4026</v>
      </c>
      <c r="T12" t="str">
        <f>PROPER(TRIM([1]raw_orders!T12))</f>
        <v>Refunded</v>
      </c>
      <c r="U12" t="str">
        <f>PROPER(TRIM([1]raw_orders!U12))</f>
        <v>Returned</v>
      </c>
      <c r="V12" s="6">
        <f t="shared" si="0"/>
        <v>0.39963193362893784</v>
      </c>
      <c r="W12" t="str">
        <f t="shared" si="1"/>
        <v>May</v>
      </c>
      <c r="X12">
        <f t="shared" si="2"/>
        <v>2025</v>
      </c>
      <c r="Y12">
        <f t="shared" si="3"/>
        <v>0</v>
      </c>
      <c r="Z12" s="7">
        <f t="shared" si="4"/>
        <v>0.05</v>
      </c>
      <c r="AA12">
        <f t="shared" si="5"/>
        <v>10074.2655</v>
      </c>
      <c r="AB12">
        <f t="shared" si="6"/>
        <v>4026</v>
      </c>
      <c r="AC12" t="str">
        <f t="shared" si="7"/>
        <v>Clean</v>
      </c>
    </row>
    <row r="13" spans="1:29">
      <c r="A13" t="s">
        <v>86</v>
      </c>
      <c r="B13" s="4">
        <v>45495</v>
      </c>
      <c r="C13" s="4">
        <v>45496</v>
      </c>
      <c r="D13" t="s">
        <v>87</v>
      </c>
      <c r="E13" t="str">
        <f>PROPER(TRIM([1]raw_orders!E13))</f>
        <v>Vikram Iyer</v>
      </c>
      <c r="F13" t="str">
        <f>PROPER(TRIM([1]raw_orders!F13))</f>
        <v>Small Business</v>
      </c>
      <c r="G13" t="str">
        <f>IF('[1]Cleaned Text Field'!G13="","Unknown",'[1]Cleaned Text Field'!G13)</f>
        <v>East</v>
      </c>
      <c r="H13" t="str">
        <f>PROPER(TRIM([1]raw_orders!H13))</f>
        <v>Odisha</v>
      </c>
      <c r="I13" t="str">
        <f>PROPER(TRIM([1]raw_orders!I13))</f>
        <v>Bhubaneswar</v>
      </c>
      <c r="J13" t="str">
        <f>PROPER(TRIM([1]raw_orders!J13))</f>
        <v>Technology</v>
      </c>
      <c r="K13" t="str">
        <f>PROPER(TRIM([1]raw_orders!K13))</f>
        <v>Accessories</v>
      </c>
      <c r="L13" t="s">
        <v>88</v>
      </c>
      <c r="M13" t="str">
        <f>IF('[1]Cleaned Text Field'!M13="","Unknown",'[1]Cleaned Text Field'!M13)</f>
        <v>Same Day</v>
      </c>
      <c r="N13">
        <f>IF('[1]Cleaned Text Field'!N13="",0,'[1]Cleaned Text Field'!N13)</f>
        <v>6</v>
      </c>
      <c r="O13">
        <v>2005.95</v>
      </c>
      <c r="P13" s="5">
        <f>IF('[1]Cleaned Text Field'!P13="",0,'[1]Cleaned Text Field'!P13)</f>
        <v>0.2</v>
      </c>
      <c r="Q13">
        <v>9628.56</v>
      </c>
      <c r="R13">
        <v>8038.59</v>
      </c>
      <c r="S13">
        <v>1589.97</v>
      </c>
      <c r="T13" t="str">
        <f>PROPER(TRIM([1]raw_orders!T13))</f>
        <v>Paid</v>
      </c>
      <c r="U13" t="str">
        <f>PROPER(TRIM([1]raw_orders!U13))</f>
        <v>Completed</v>
      </c>
      <c r="V13" s="6">
        <f t="shared" si="0"/>
        <v>0.16513061143099281</v>
      </c>
      <c r="W13" t="str">
        <f t="shared" si="1"/>
        <v>July</v>
      </c>
      <c r="X13">
        <f t="shared" si="2"/>
        <v>2024</v>
      </c>
      <c r="Y13">
        <f t="shared" si="3"/>
        <v>1</v>
      </c>
      <c r="Z13" s="7">
        <f t="shared" si="4"/>
        <v>0.2</v>
      </c>
      <c r="AA13">
        <f t="shared" si="5"/>
        <v>9628.5600000000013</v>
      </c>
      <c r="AB13">
        <f t="shared" si="6"/>
        <v>1589.9699999999993</v>
      </c>
      <c r="AC13" t="str">
        <f t="shared" si="7"/>
        <v>Clean</v>
      </c>
    </row>
    <row r="14" spans="1:29">
      <c r="A14" t="s">
        <v>89</v>
      </c>
      <c r="B14" s="4">
        <v>45646</v>
      </c>
      <c r="C14" s="4">
        <v>45647</v>
      </c>
      <c r="D14" t="s">
        <v>90</v>
      </c>
      <c r="E14" t="str">
        <f>PROPER(TRIM([1]raw_orders!E14))</f>
        <v>Ananya Rao</v>
      </c>
      <c r="F14" t="str">
        <f>PROPER(TRIM([1]raw_orders!F14))</f>
        <v>Corporate</v>
      </c>
      <c r="G14" t="str">
        <f>IF('[1]Cleaned Text Field'!G14="","Unknown",'[1]Cleaned Text Field'!G14)</f>
        <v>West</v>
      </c>
      <c r="H14" t="str">
        <f>PROPER(TRIM([1]raw_orders!H14))</f>
        <v>Rajasthan</v>
      </c>
      <c r="I14" t="str">
        <f>PROPER(TRIM([1]raw_orders!I14))</f>
        <v>Udaipur</v>
      </c>
      <c r="J14" t="str">
        <f>PROPER(TRIM([1]raw_orders!J14))</f>
        <v>Office Supplies</v>
      </c>
      <c r="K14" t="str">
        <f>PROPER(TRIM([1]raw_orders!K14))</f>
        <v>Paper</v>
      </c>
      <c r="L14" t="s">
        <v>91</v>
      </c>
      <c r="M14" t="str">
        <f>IF('[1]Cleaned Text Field'!M14="","Unknown",'[1]Cleaned Text Field'!M14)</f>
        <v>First Class</v>
      </c>
      <c r="N14">
        <f>IF('[1]Cleaned Text Field'!N14="",0,'[1]Cleaned Text Field'!N14)</f>
        <v>1</v>
      </c>
      <c r="O14">
        <v>702.14</v>
      </c>
      <c r="P14" s="5">
        <f>IF('[1]Cleaned Text Field'!P14="",0,'[1]Cleaned Text Field'!P14)</f>
        <v>0.15</v>
      </c>
      <c r="Q14">
        <v>596.82000000000005</v>
      </c>
      <c r="R14">
        <v>380.25</v>
      </c>
      <c r="S14">
        <v>216.57</v>
      </c>
      <c r="T14" t="str">
        <f>PROPER(TRIM([1]raw_orders!T14))</f>
        <v>Pending</v>
      </c>
      <c r="U14" t="str">
        <f>PROPER(TRIM([1]raw_orders!U14))</f>
        <v>Returned</v>
      </c>
      <c r="V14" s="6">
        <f t="shared" si="0"/>
        <v>0.36287322810897754</v>
      </c>
      <c r="W14" t="str">
        <f t="shared" si="1"/>
        <v>December</v>
      </c>
      <c r="X14">
        <f t="shared" si="2"/>
        <v>2024</v>
      </c>
      <c r="Y14">
        <f t="shared" si="3"/>
        <v>1</v>
      </c>
      <c r="Z14" s="7">
        <f t="shared" si="4"/>
        <v>0.15</v>
      </c>
      <c r="AA14">
        <f t="shared" si="5"/>
        <v>596.81899999999996</v>
      </c>
      <c r="AB14">
        <f t="shared" si="6"/>
        <v>216.57000000000005</v>
      </c>
      <c r="AC14" t="str">
        <f t="shared" si="7"/>
        <v>Clean</v>
      </c>
    </row>
    <row r="15" spans="1:29">
      <c r="A15" t="s">
        <v>92</v>
      </c>
      <c r="B15" s="4">
        <v>45942</v>
      </c>
      <c r="C15" s="4">
        <v>45946</v>
      </c>
      <c r="D15" t="s">
        <v>93</v>
      </c>
      <c r="E15" t="str">
        <f>PROPER(TRIM([1]raw_orders!E15))</f>
        <v>Priya Menon</v>
      </c>
      <c r="F15" t="str">
        <f>PROPER(TRIM([1]raw_orders!F15))</f>
        <v>Small Business</v>
      </c>
      <c r="G15" t="str">
        <f>IF('[1]Cleaned Text Field'!G15="","Unknown",'[1]Cleaned Text Field'!G15)</f>
        <v>West</v>
      </c>
      <c r="H15" t="str">
        <f>PROPER(TRIM([1]raw_orders!H15))</f>
        <v>Maharashtra</v>
      </c>
      <c r="I15" t="str">
        <f>PROPER(TRIM([1]raw_orders!I15))</f>
        <v>Mumbai</v>
      </c>
      <c r="J15" t="str">
        <f>PROPER(TRIM([1]raw_orders!J15))</f>
        <v>Office Supplies</v>
      </c>
      <c r="K15" t="str">
        <f>PROPER(TRIM([1]raw_orders!K15))</f>
        <v>Art</v>
      </c>
      <c r="L15" t="s">
        <v>94</v>
      </c>
      <c r="M15" t="str">
        <f>IF('[1]Cleaned Text Field'!M15="","Unknown",'[1]Cleaned Text Field'!M15)</f>
        <v>Second Class</v>
      </c>
      <c r="N15">
        <f>IF('[1]Cleaned Text Field'!N15="",0,'[1]Cleaned Text Field'!N15)</f>
        <v>7</v>
      </c>
      <c r="O15">
        <v>3964.72</v>
      </c>
      <c r="P15" s="5">
        <f>IF('[1]Cleaned Text Field'!P15="",0,'[1]Cleaned Text Field'!P15)</f>
        <v>0.05</v>
      </c>
      <c r="Q15">
        <v>26365.39</v>
      </c>
      <c r="R15">
        <v>22306.240000000002</v>
      </c>
      <c r="S15">
        <v>4059.15</v>
      </c>
      <c r="T15" t="str">
        <f>PROPER(TRIM([1]raw_orders!T15))</f>
        <v>Paid</v>
      </c>
      <c r="U15" t="str">
        <f>PROPER(TRIM([1]raw_orders!U15))</f>
        <v>Completed</v>
      </c>
      <c r="V15" s="6">
        <f t="shared" si="0"/>
        <v>0.15395751779131658</v>
      </c>
      <c r="W15" t="str">
        <f t="shared" si="1"/>
        <v>October</v>
      </c>
      <c r="X15">
        <f t="shared" si="2"/>
        <v>2025</v>
      </c>
      <c r="Y15">
        <f t="shared" si="3"/>
        <v>4</v>
      </c>
      <c r="Z15" s="7">
        <f t="shared" si="4"/>
        <v>0.05</v>
      </c>
      <c r="AA15">
        <f t="shared" si="5"/>
        <v>26365.387999999995</v>
      </c>
      <c r="AB15">
        <f t="shared" si="6"/>
        <v>4059.1499999999978</v>
      </c>
      <c r="AC15" t="str">
        <f t="shared" si="7"/>
        <v>Clean</v>
      </c>
    </row>
    <row r="16" spans="1:29">
      <c r="A16" t="s">
        <v>95</v>
      </c>
      <c r="B16" s="4">
        <v>45653</v>
      </c>
      <c r="C16" s="4">
        <v>45654</v>
      </c>
      <c r="D16" t="s">
        <v>96</v>
      </c>
      <c r="E16" t="str">
        <f>PROPER(TRIM([1]raw_orders!E16))</f>
        <v>Rahul Verma</v>
      </c>
      <c r="F16" t="str">
        <f>PROPER(TRIM([1]raw_orders!F16))</f>
        <v>Consumer</v>
      </c>
      <c r="G16" t="str">
        <f>IF('[1]Cleaned Text Field'!G16="","Unknown",'[1]Cleaned Text Field'!G16)</f>
        <v>West</v>
      </c>
      <c r="H16" t="str">
        <f>PROPER(TRIM([1]raw_orders!H16))</f>
        <v>Rajasthan</v>
      </c>
      <c r="I16" t="str">
        <f>PROPER(TRIM([1]raw_orders!I16))</f>
        <v>Udaipur</v>
      </c>
      <c r="J16" t="str">
        <f>PROPER(TRIM([1]raw_orders!J16))</f>
        <v>Technology</v>
      </c>
      <c r="K16" t="str">
        <f>PROPER(TRIM([1]raw_orders!K16))</f>
        <v>Copiers</v>
      </c>
      <c r="L16" t="s">
        <v>97</v>
      </c>
      <c r="M16" t="str">
        <f>IF('[1]Cleaned Text Field'!M16="","Unknown",'[1]Cleaned Text Field'!M16)</f>
        <v>Standard Class</v>
      </c>
      <c r="N16">
        <f>IF('[1]Cleaned Text Field'!N16="",0,'[1]Cleaned Text Field'!N16)</f>
        <v>2</v>
      </c>
      <c r="O16">
        <v>2737.83</v>
      </c>
      <c r="P16" s="5">
        <f>IF('[1]Cleaned Text Field'!P16="",0,'[1]Cleaned Text Field'!P16)</f>
        <v>0.25</v>
      </c>
      <c r="Q16">
        <v>4106.74</v>
      </c>
      <c r="R16">
        <v>2666.3</v>
      </c>
      <c r="S16">
        <v>1440.44</v>
      </c>
      <c r="T16" t="str">
        <f>PROPER(TRIM([1]raw_orders!T16))</f>
        <v>Paid</v>
      </c>
      <c r="U16" t="str">
        <f>PROPER(TRIM([1]raw_orders!U16))</f>
        <v>Completed</v>
      </c>
      <c r="V16" s="6">
        <f t="shared" si="0"/>
        <v>0.35075023010952727</v>
      </c>
      <c r="W16" t="str">
        <f t="shared" si="1"/>
        <v>December</v>
      </c>
      <c r="X16">
        <f t="shared" si="2"/>
        <v>2024</v>
      </c>
      <c r="Y16">
        <f t="shared" si="3"/>
        <v>1</v>
      </c>
      <c r="Z16" s="7">
        <f t="shared" si="4"/>
        <v>0.25</v>
      </c>
      <c r="AA16">
        <f t="shared" si="5"/>
        <v>4106.7449999999999</v>
      </c>
      <c r="AB16">
        <f t="shared" si="6"/>
        <v>1440.4399999999996</v>
      </c>
      <c r="AC16" t="str">
        <f t="shared" si="7"/>
        <v>Clean</v>
      </c>
    </row>
    <row r="17" spans="1:29">
      <c r="A17" t="s">
        <v>98</v>
      </c>
      <c r="B17" s="4">
        <v>45482</v>
      </c>
      <c r="C17" s="4">
        <v>45482</v>
      </c>
      <c r="D17" t="s">
        <v>99</v>
      </c>
      <c r="E17" t="str">
        <f>PROPER(TRIM([1]raw_orders!E17))</f>
        <v>Karan Malhotra</v>
      </c>
      <c r="F17" t="str">
        <f>PROPER(TRIM([1]raw_orders!F17))</f>
        <v>Small Business</v>
      </c>
      <c r="G17" t="str">
        <f>IF('[1]Cleaned Text Field'!G17="","Unknown",'[1]Cleaned Text Field'!G17)</f>
        <v>North</v>
      </c>
      <c r="H17" t="str">
        <f>PROPER(TRIM([1]raw_orders!H17))</f>
        <v>Punjab</v>
      </c>
      <c r="I17" t="str">
        <f>PROPER(TRIM([1]raw_orders!I17))</f>
        <v>Ludhiana</v>
      </c>
      <c r="J17" t="str">
        <f>PROPER(TRIM([1]raw_orders!J17))</f>
        <v>Office Supplies</v>
      </c>
      <c r="K17" t="str">
        <f>PROPER(TRIM([1]raw_orders!K17))</f>
        <v>Storage</v>
      </c>
      <c r="L17" t="s">
        <v>100</v>
      </c>
      <c r="M17" t="str">
        <f>IF('[1]Cleaned Text Field'!M17="","Unknown",'[1]Cleaned Text Field'!M17)</f>
        <v>Second Class</v>
      </c>
      <c r="N17">
        <f>IF('[1]Cleaned Text Field'!N17="",0,'[1]Cleaned Text Field'!N17)</f>
        <v>6</v>
      </c>
      <c r="O17">
        <v>3965.76</v>
      </c>
      <c r="P17" s="5">
        <f>IF('[1]Cleaned Text Field'!P17="",0,'[1]Cleaned Text Field'!P17)</f>
        <v>0</v>
      </c>
      <c r="Q17">
        <v>23794.560000000001</v>
      </c>
      <c r="R17">
        <v>15698.47</v>
      </c>
      <c r="S17">
        <v>8096.09</v>
      </c>
      <c r="T17" t="str">
        <f>PROPER(TRIM([1]raw_orders!T17))</f>
        <v>Paid</v>
      </c>
      <c r="U17" t="str">
        <f>PROPER(TRIM([1]raw_orders!U17))</f>
        <v>Completed</v>
      </c>
      <c r="V17" s="6">
        <f t="shared" si="0"/>
        <v>0.34024962008122867</v>
      </c>
      <c r="W17" t="str">
        <f t="shared" si="1"/>
        <v>July</v>
      </c>
      <c r="X17">
        <f t="shared" si="2"/>
        <v>2024</v>
      </c>
      <c r="Y17">
        <f t="shared" si="3"/>
        <v>0</v>
      </c>
      <c r="Z17" s="7">
        <f t="shared" si="4"/>
        <v>0</v>
      </c>
      <c r="AA17">
        <f t="shared" si="5"/>
        <v>23794.560000000001</v>
      </c>
      <c r="AB17">
        <f t="shared" si="6"/>
        <v>8096.090000000002</v>
      </c>
      <c r="AC17" t="str">
        <f t="shared" si="7"/>
        <v>Clean</v>
      </c>
    </row>
    <row r="18" spans="1:29">
      <c r="A18" t="s">
        <v>101</v>
      </c>
      <c r="B18" s="4">
        <v>45420</v>
      </c>
      <c r="C18" s="4">
        <v>45427</v>
      </c>
      <c r="D18" t="s">
        <v>102</v>
      </c>
      <c r="E18" t="str">
        <f>PROPER(TRIM([1]raw_orders!E18))</f>
        <v>Aarav Sharma</v>
      </c>
      <c r="F18" t="str">
        <f>PROPER(TRIM([1]raw_orders!F18))</f>
        <v>Consumer</v>
      </c>
      <c r="G18" t="str">
        <f>IF('[1]Cleaned Text Field'!G18="","Unknown",'[1]Cleaned Text Field'!G18)</f>
        <v>South</v>
      </c>
      <c r="H18" t="str">
        <f>PROPER(TRIM([1]raw_orders!H18))</f>
        <v>Telangana</v>
      </c>
      <c r="I18" t="str">
        <f>PROPER(TRIM([1]raw_orders!I18))</f>
        <v>Hyderabad</v>
      </c>
      <c r="J18" t="str">
        <f>PROPER(TRIM([1]raw_orders!J18))</f>
        <v>Office Supplies</v>
      </c>
      <c r="K18" t="str">
        <f>PROPER(TRIM([1]raw_orders!K18))</f>
        <v>Art</v>
      </c>
      <c r="L18" t="s">
        <v>103</v>
      </c>
      <c r="M18" t="str">
        <f>IF('[1]Cleaned Text Field'!M18="","Unknown",'[1]Cleaned Text Field'!M18)</f>
        <v>First Class</v>
      </c>
      <c r="N18">
        <f>IF('[1]Cleaned Text Field'!N18="",0,'[1]Cleaned Text Field'!N18)</f>
        <v>4</v>
      </c>
      <c r="O18">
        <v>3323.51</v>
      </c>
      <c r="P18" s="5">
        <f>IF('[1]Cleaned Text Field'!P18="",0,'[1]Cleaned Text Field'!P18)</f>
        <v>0.25</v>
      </c>
      <c r="Q18">
        <v>9970.5300000000007</v>
      </c>
      <c r="R18">
        <v>5668.17</v>
      </c>
      <c r="S18">
        <v>4302.3599999999997</v>
      </c>
      <c r="T18" t="str">
        <f>PROPER(TRIM([1]raw_orders!T18))</f>
        <v>Paid</v>
      </c>
      <c r="U18" t="str">
        <f>PROPER(TRIM([1]raw_orders!U18))</f>
        <v>Completed</v>
      </c>
      <c r="V18" s="6">
        <f t="shared" si="0"/>
        <v>0.43150765305354877</v>
      </c>
      <c r="W18" t="str">
        <f t="shared" si="1"/>
        <v>May</v>
      </c>
      <c r="X18">
        <f t="shared" si="2"/>
        <v>2024</v>
      </c>
      <c r="Y18">
        <f t="shared" si="3"/>
        <v>7</v>
      </c>
      <c r="Z18" s="7">
        <f t="shared" si="4"/>
        <v>0.25</v>
      </c>
      <c r="AA18">
        <f t="shared" si="5"/>
        <v>9970.5300000000007</v>
      </c>
      <c r="AB18">
        <f t="shared" si="6"/>
        <v>4302.3600000000006</v>
      </c>
      <c r="AC18" t="str">
        <f t="shared" si="7"/>
        <v>Clean</v>
      </c>
    </row>
    <row r="19" spans="1:29">
      <c r="A19" t="s">
        <v>104</v>
      </c>
      <c r="B19" s="4">
        <v>45298</v>
      </c>
      <c r="C19" s="4">
        <v>45299</v>
      </c>
      <c r="D19" t="s">
        <v>105</v>
      </c>
      <c r="E19" t="str">
        <f>PROPER(TRIM([1]raw_orders!E19))</f>
        <v>Sneha Kapoor</v>
      </c>
      <c r="F19" t="str">
        <f>PROPER(TRIM([1]raw_orders!F19))</f>
        <v>Small Business</v>
      </c>
      <c r="G19" t="str">
        <f>IF('[1]Cleaned Text Field'!G19="","Unknown",'[1]Cleaned Text Field'!G19)</f>
        <v>North</v>
      </c>
      <c r="H19" t="str">
        <f>PROPER(TRIM([1]raw_orders!H19))</f>
        <v>Rajasthan</v>
      </c>
      <c r="I19" t="str">
        <f>PROPER(TRIM([1]raw_orders!I19))</f>
        <v>Jaipur</v>
      </c>
      <c r="J19" t="str">
        <f>PROPER(TRIM([1]raw_orders!J19))</f>
        <v>Furniture</v>
      </c>
      <c r="K19" t="str">
        <f>PROPER(TRIM([1]raw_orders!K19))</f>
        <v>Furnishings</v>
      </c>
      <c r="L19" t="s">
        <v>106</v>
      </c>
      <c r="M19" t="str">
        <f>IF('[1]Cleaned Text Field'!M19="","Unknown",'[1]Cleaned Text Field'!M19)</f>
        <v>Same Day</v>
      </c>
      <c r="N19">
        <f>IF('[1]Cleaned Text Field'!N19="",0,'[1]Cleaned Text Field'!N19)</f>
        <v>5</v>
      </c>
      <c r="O19">
        <v>1526.78</v>
      </c>
      <c r="P19" s="5">
        <f>IF('[1]Cleaned Text Field'!P19="",0,'[1]Cleaned Text Field'!P19)</f>
        <v>0</v>
      </c>
      <c r="Q19">
        <v>7633.9</v>
      </c>
      <c r="R19">
        <v>4706.91</v>
      </c>
      <c r="S19">
        <v>2926.99</v>
      </c>
      <c r="T19" t="str">
        <f>PROPER(TRIM([1]raw_orders!T19))</f>
        <v>Paid</v>
      </c>
      <c r="U19" t="str">
        <f>PROPER(TRIM([1]raw_orders!U19))</f>
        <v>Completed</v>
      </c>
      <c r="V19" s="6">
        <f t="shared" si="0"/>
        <v>0.38342000812166782</v>
      </c>
      <c r="W19" t="str">
        <f t="shared" si="1"/>
        <v>January</v>
      </c>
      <c r="X19">
        <f t="shared" si="2"/>
        <v>2024</v>
      </c>
      <c r="Y19">
        <f t="shared" si="3"/>
        <v>1</v>
      </c>
      <c r="Z19" s="7">
        <f t="shared" si="4"/>
        <v>0</v>
      </c>
      <c r="AA19">
        <f t="shared" si="5"/>
        <v>7633.9</v>
      </c>
      <c r="AB19">
        <f t="shared" si="6"/>
        <v>2926.99</v>
      </c>
      <c r="AC19" t="str">
        <f t="shared" si="7"/>
        <v>Clean</v>
      </c>
    </row>
    <row r="20" spans="1:29">
      <c r="A20" t="s">
        <v>107</v>
      </c>
      <c r="B20" s="4">
        <v>45853</v>
      </c>
      <c r="C20" s="4">
        <v>45855</v>
      </c>
      <c r="D20" t="s">
        <v>108</v>
      </c>
      <c r="E20" t="str">
        <f>PROPER(TRIM([1]raw_orders!E20))</f>
        <v>Aarav Sharma</v>
      </c>
      <c r="F20" t="str">
        <f>PROPER(TRIM([1]raw_orders!F20))</f>
        <v>Home Office</v>
      </c>
      <c r="G20" t="str">
        <f>IF('[1]Cleaned Text Field'!G20="","Unknown",'[1]Cleaned Text Field'!G20)</f>
        <v>North</v>
      </c>
      <c r="H20" t="str">
        <f>PROPER(TRIM([1]raw_orders!H20))</f>
        <v>Uttar Pradesh</v>
      </c>
      <c r="I20" t="str">
        <f>PROPER(TRIM([1]raw_orders!I20))</f>
        <v>Noida</v>
      </c>
      <c r="J20" t="str">
        <f>PROPER(TRIM([1]raw_orders!J20))</f>
        <v>Technology</v>
      </c>
      <c r="K20" t="str">
        <f>PROPER(TRIM([1]raw_orders!K20))</f>
        <v>Copiers</v>
      </c>
      <c r="L20" t="s">
        <v>109</v>
      </c>
      <c r="M20" t="str">
        <f>IF('[1]Cleaned Text Field'!M20="","Unknown",'[1]Cleaned Text Field'!M20)</f>
        <v>First Class</v>
      </c>
      <c r="N20">
        <f>IF('[1]Cleaned Text Field'!N20="",0,'[1]Cleaned Text Field'!N20)</f>
        <v>2</v>
      </c>
      <c r="O20">
        <v>1997.99</v>
      </c>
      <c r="P20" s="5">
        <f>IF('[1]Cleaned Text Field'!P20="",0,'[1]Cleaned Text Field'!P20)</f>
        <v>0</v>
      </c>
      <c r="Q20">
        <v>3995.98</v>
      </c>
      <c r="R20">
        <v>2633.2</v>
      </c>
      <c r="S20">
        <v>1362.78</v>
      </c>
      <c r="T20" t="str">
        <f>PROPER(TRIM([1]raw_orders!T20))</f>
        <v>Refunded</v>
      </c>
      <c r="U20" t="str">
        <f>PROPER(TRIM([1]raw_orders!U20))</f>
        <v>Cancelled</v>
      </c>
      <c r="V20" s="6">
        <f t="shared" si="0"/>
        <v>0.34103774293164629</v>
      </c>
      <c r="W20" t="str">
        <f t="shared" si="1"/>
        <v>July</v>
      </c>
      <c r="X20">
        <f t="shared" si="2"/>
        <v>2025</v>
      </c>
      <c r="Y20">
        <f t="shared" si="3"/>
        <v>2</v>
      </c>
      <c r="Z20" s="7">
        <f t="shared" si="4"/>
        <v>0</v>
      </c>
      <c r="AA20">
        <f t="shared" si="5"/>
        <v>3995.98</v>
      </c>
      <c r="AB20">
        <f t="shared" si="6"/>
        <v>1362.7800000000002</v>
      </c>
      <c r="AC20" t="str">
        <f t="shared" si="7"/>
        <v>Clean</v>
      </c>
    </row>
    <row r="21" spans="1:29">
      <c r="A21" t="s">
        <v>110</v>
      </c>
      <c r="B21" s="4">
        <v>45500</v>
      </c>
      <c r="C21" s="4">
        <v>45504</v>
      </c>
      <c r="D21" t="s">
        <v>111</v>
      </c>
      <c r="E21" t="str">
        <f>PROPER(TRIM([1]raw_orders!E21))</f>
        <v>Rohan Mehta</v>
      </c>
      <c r="F21" t="str">
        <f>PROPER(TRIM([1]raw_orders!F21))</f>
        <v>Home Office</v>
      </c>
      <c r="G21" t="str">
        <f>IF('[1]Cleaned Text Field'!G21="","Unknown",'[1]Cleaned Text Field'!G21)</f>
        <v>West</v>
      </c>
      <c r="H21" t="str">
        <f>PROPER(TRIM([1]raw_orders!H21))</f>
        <v>Madhya Pradesh</v>
      </c>
      <c r="I21" t="str">
        <f>PROPER(TRIM([1]raw_orders!I21))</f>
        <v>Indore</v>
      </c>
      <c r="J21" t="str">
        <f>PROPER(TRIM([1]raw_orders!J21))</f>
        <v>Office Supplies</v>
      </c>
      <c r="K21" t="str">
        <f>PROPER(TRIM([1]raw_orders!K21))</f>
        <v>Storage</v>
      </c>
      <c r="L21" t="s">
        <v>112</v>
      </c>
      <c r="M21" t="str">
        <f>IF('[1]Cleaned Text Field'!M21="","Unknown",'[1]Cleaned Text Field'!M21)</f>
        <v>Second Class</v>
      </c>
      <c r="N21">
        <f>IF('[1]Cleaned Text Field'!N21="",0,'[1]Cleaned Text Field'!N21)</f>
        <v>3</v>
      </c>
      <c r="O21">
        <v>3887.94</v>
      </c>
      <c r="P21" s="5">
        <f>IF('[1]Cleaned Text Field'!P21="",0,'[1]Cleaned Text Field'!P21)</f>
        <v>-0.19</v>
      </c>
      <c r="Q21">
        <v>9331.06</v>
      </c>
      <c r="R21">
        <v>7529.31</v>
      </c>
      <c r="S21">
        <v>1801.75</v>
      </c>
      <c r="T21" t="str">
        <f>PROPER(TRIM([1]raw_orders!T21))</f>
        <v>Paid</v>
      </c>
      <c r="U21" t="str">
        <f>PROPER(TRIM([1]raw_orders!U21))</f>
        <v>Completed</v>
      </c>
      <c r="V21" s="6">
        <f t="shared" si="0"/>
        <v>0.19309167447213929</v>
      </c>
      <c r="W21" t="str">
        <f t="shared" si="1"/>
        <v>July</v>
      </c>
      <c r="X21">
        <f t="shared" si="2"/>
        <v>2024</v>
      </c>
      <c r="Y21">
        <f t="shared" si="3"/>
        <v>4</v>
      </c>
      <c r="Z21" s="7">
        <f t="shared" si="4"/>
        <v>-0.19</v>
      </c>
      <c r="AA21">
        <f t="shared" si="5"/>
        <v>13879.9458</v>
      </c>
      <c r="AB21">
        <f t="shared" si="6"/>
        <v>1801.7499999999991</v>
      </c>
      <c r="AC21" t="str">
        <f t="shared" si="7"/>
        <v>Clean</v>
      </c>
    </row>
    <row r="22" spans="1:29">
      <c r="A22" t="s">
        <v>113</v>
      </c>
      <c r="B22" s="4">
        <v>45678</v>
      </c>
      <c r="C22" s="4">
        <v>45680</v>
      </c>
      <c r="D22" t="s">
        <v>114</v>
      </c>
      <c r="E22" t="str">
        <f>PROPER(TRIM([1]raw_orders!E22))</f>
        <v>Aditi Sen</v>
      </c>
      <c r="F22" t="str">
        <f>PROPER(TRIM([1]raw_orders!F22))</f>
        <v>Home Office</v>
      </c>
      <c r="G22" t="str">
        <f>IF('[1]Cleaned Text Field'!G22="","Unknown",'[1]Cleaned Text Field'!G22)</f>
        <v>East</v>
      </c>
      <c r="H22" t="str">
        <f>PROPER(TRIM([1]raw_orders!H22))</f>
        <v>Bihar</v>
      </c>
      <c r="I22" t="str">
        <f>PROPER(TRIM([1]raw_orders!I22))</f>
        <v>Patna</v>
      </c>
      <c r="J22" t="str">
        <f>PROPER(TRIM([1]raw_orders!J22))</f>
        <v>Technology</v>
      </c>
      <c r="K22" t="str">
        <f>PROPER(TRIM([1]raw_orders!K22))</f>
        <v>Copiers</v>
      </c>
      <c r="L22" t="s">
        <v>115</v>
      </c>
      <c r="M22" t="str">
        <f>IF('[1]Cleaned Text Field'!M22="","Unknown",'[1]Cleaned Text Field'!M22)</f>
        <v>First Class</v>
      </c>
      <c r="N22">
        <f>IF('[1]Cleaned Text Field'!N22="",0,'[1]Cleaned Text Field'!N22)</f>
        <v>5</v>
      </c>
      <c r="O22">
        <v>4373.0600000000004</v>
      </c>
      <c r="P22" s="5">
        <f>IF('[1]Cleaned Text Field'!P22="",0,'[1]Cleaned Text Field'!P22)</f>
        <v>0.25</v>
      </c>
      <c r="Q22">
        <v>16398.98</v>
      </c>
      <c r="R22">
        <v>9556.52</v>
      </c>
      <c r="S22">
        <v>6842.46</v>
      </c>
      <c r="T22" t="str">
        <f>PROPER(TRIM([1]raw_orders!T22))</f>
        <v>Paid</v>
      </c>
      <c r="U22" t="str">
        <f>PROPER(TRIM([1]raw_orders!U22))</f>
        <v>Completed</v>
      </c>
      <c r="V22" s="6">
        <f t="shared" si="0"/>
        <v>0.41724912159170879</v>
      </c>
      <c r="W22" t="str">
        <f t="shared" si="1"/>
        <v>January</v>
      </c>
      <c r="X22">
        <f t="shared" si="2"/>
        <v>2025</v>
      </c>
      <c r="Y22">
        <f t="shared" si="3"/>
        <v>2</v>
      </c>
      <c r="Z22" s="7">
        <f t="shared" si="4"/>
        <v>0.25</v>
      </c>
      <c r="AA22">
        <f t="shared" si="5"/>
        <v>16398.975000000002</v>
      </c>
      <c r="AB22">
        <f t="shared" si="6"/>
        <v>6842.4599999999991</v>
      </c>
      <c r="AC22" t="str">
        <f t="shared" si="7"/>
        <v>Clean</v>
      </c>
    </row>
    <row r="23" spans="1:29">
      <c r="A23" t="s">
        <v>116</v>
      </c>
      <c r="B23" s="4">
        <v>45681</v>
      </c>
      <c r="C23" s="4">
        <v>45687</v>
      </c>
      <c r="D23" t="s">
        <v>117</v>
      </c>
      <c r="E23" t="str">
        <f>PROPER(TRIM([1]raw_orders!E23))</f>
        <v>Sneha Kapoor</v>
      </c>
      <c r="F23" t="str">
        <f>PROPER(TRIM([1]raw_orders!F23))</f>
        <v>Consumer</v>
      </c>
      <c r="G23" t="str">
        <f>IF('[1]Cleaned Text Field'!G23="","Unknown",'[1]Cleaned Text Field'!G23)</f>
        <v>West</v>
      </c>
      <c r="H23" t="str">
        <f>PROPER(TRIM([1]raw_orders!H23))</f>
        <v>Madhya Pradesh</v>
      </c>
      <c r="I23" t="str">
        <f>PROPER(TRIM([1]raw_orders!I23))</f>
        <v>Indore</v>
      </c>
      <c r="J23" t="str">
        <f>PROPER(TRIM([1]raw_orders!J23))</f>
        <v>Furniture</v>
      </c>
      <c r="K23" t="str">
        <f>PROPER(TRIM([1]raw_orders!K23))</f>
        <v>Furnishings</v>
      </c>
      <c r="L23" t="s">
        <v>118</v>
      </c>
      <c r="M23" t="str">
        <f>IF('[1]Cleaned Text Field'!M23="","Unknown",'[1]Cleaned Text Field'!M23)</f>
        <v>Second Class</v>
      </c>
      <c r="N23">
        <f>IF('[1]Cleaned Text Field'!N23="",0,'[1]Cleaned Text Field'!N23)</f>
        <v>4</v>
      </c>
      <c r="O23">
        <v>697.69</v>
      </c>
      <c r="P23" s="5">
        <f>IF('[1]Cleaned Text Field'!P23="",0,'[1]Cleaned Text Field'!P23)</f>
        <v>-0.23</v>
      </c>
      <c r="Q23">
        <v>2790.76</v>
      </c>
      <c r="R23">
        <v>2037.71</v>
      </c>
      <c r="S23">
        <v>753.05</v>
      </c>
      <c r="T23" t="str">
        <f>PROPER(TRIM([1]raw_orders!T23))</f>
        <v>Paid</v>
      </c>
      <c r="U23" t="str">
        <f>PROPER(TRIM([1]raw_orders!U23))</f>
        <v>Completed</v>
      </c>
      <c r="V23" s="6">
        <f t="shared" si="0"/>
        <v>0.26983689030944974</v>
      </c>
      <c r="W23" t="str">
        <f t="shared" si="1"/>
        <v>January</v>
      </c>
      <c r="X23">
        <f t="shared" si="2"/>
        <v>2025</v>
      </c>
      <c r="Y23">
        <f t="shared" si="3"/>
        <v>6</v>
      </c>
      <c r="Z23" s="7">
        <f t="shared" si="4"/>
        <v>-0.23</v>
      </c>
      <c r="AA23">
        <f t="shared" si="5"/>
        <v>3432.6348000000003</v>
      </c>
      <c r="AB23">
        <f t="shared" si="6"/>
        <v>753.05000000000018</v>
      </c>
      <c r="AC23" t="str">
        <f t="shared" si="7"/>
        <v>Clean</v>
      </c>
    </row>
    <row r="24" spans="1:29">
      <c r="A24" t="s">
        <v>119</v>
      </c>
      <c r="B24" s="4">
        <v>45676</v>
      </c>
      <c r="C24" s="4">
        <v>45678</v>
      </c>
      <c r="D24" t="s">
        <v>120</v>
      </c>
      <c r="E24" t="str">
        <f>PROPER(TRIM([1]raw_orders!E24))</f>
        <v>Mira Das</v>
      </c>
      <c r="F24" t="str">
        <f>PROPER(TRIM([1]raw_orders!F24))</f>
        <v>Consumer</v>
      </c>
      <c r="G24" t="str">
        <f>IF('[1]Cleaned Text Field'!G24="","Unknown",'[1]Cleaned Text Field'!G24)</f>
        <v>South</v>
      </c>
      <c r="H24" t="str">
        <f>PROPER(TRIM([1]raw_orders!H24))</f>
        <v>Telangana</v>
      </c>
      <c r="I24" t="str">
        <f>PROPER(TRIM([1]raw_orders!I24))</f>
        <v>Hyderabad</v>
      </c>
      <c r="J24" t="str">
        <f>PROPER(TRIM([1]raw_orders!J24))</f>
        <v>Office Supplies</v>
      </c>
      <c r="K24" t="str">
        <f>PROPER(TRIM([1]raw_orders!K24))</f>
        <v>Binders</v>
      </c>
      <c r="L24" t="s">
        <v>121</v>
      </c>
      <c r="M24" t="str">
        <f>IF('[1]Cleaned Text Field'!M24="","Unknown",'[1]Cleaned Text Field'!M24)</f>
        <v>Standard Class</v>
      </c>
      <c r="N24">
        <f>IF('[1]Cleaned Text Field'!N24="",0,'[1]Cleaned Text Field'!N24)</f>
        <v>8</v>
      </c>
      <c r="O24">
        <v>1219.3399999999999</v>
      </c>
      <c r="P24" s="5">
        <f>IF('[1]Cleaned Text Field'!P24="",0,'[1]Cleaned Text Field'!P24)</f>
        <v>0.15</v>
      </c>
      <c r="Q24">
        <v>8291.51</v>
      </c>
      <c r="R24">
        <v>6685.03</v>
      </c>
      <c r="S24">
        <v>1606.48</v>
      </c>
      <c r="T24" t="str">
        <f>PROPER(TRIM([1]raw_orders!T24))</f>
        <v>Failed</v>
      </c>
      <c r="U24" t="str">
        <f>PROPER(TRIM([1]raw_orders!U24))</f>
        <v>Returned</v>
      </c>
      <c r="V24" s="6">
        <f t="shared" si="0"/>
        <v>0.19374999246216912</v>
      </c>
      <c r="W24" t="str">
        <f t="shared" si="1"/>
        <v>January</v>
      </c>
      <c r="X24">
        <f t="shared" si="2"/>
        <v>2025</v>
      </c>
      <c r="Y24">
        <f t="shared" si="3"/>
        <v>2</v>
      </c>
      <c r="Z24" s="7">
        <f t="shared" si="4"/>
        <v>0.15</v>
      </c>
      <c r="AA24">
        <f t="shared" si="5"/>
        <v>8291.5119999999988</v>
      </c>
      <c r="AB24">
        <f t="shared" si="6"/>
        <v>1606.4800000000005</v>
      </c>
      <c r="AC24" t="str">
        <f t="shared" si="7"/>
        <v>Clean</v>
      </c>
    </row>
    <row r="25" spans="1:29">
      <c r="A25" t="s">
        <v>122</v>
      </c>
      <c r="B25" s="4">
        <v>45898</v>
      </c>
      <c r="C25" s="4">
        <v>45900</v>
      </c>
      <c r="D25" t="s">
        <v>123</v>
      </c>
      <c r="E25" t="str">
        <f>PROPER(TRIM([1]raw_orders!E25))</f>
        <v>Rahul Verma</v>
      </c>
      <c r="F25" t="str">
        <f>PROPER(TRIM([1]raw_orders!F25))</f>
        <v>Home Office</v>
      </c>
      <c r="G25" t="str">
        <f>IF('[1]Cleaned Text Field'!G25="","Unknown",'[1]Cleaned Text Field'!G25)</f>
        <v>East</v>
      </c>
      <c r="H25" t="str">
        <f>PROPER(TRIM([1]raw_orders!H25))</f>
        <v>Bihar</v>
      </c>
      <c r="I25" t="str">
        <f>PROPER(TRIM([1]raw_orders!I25))</f>
        <v>Patna</v>
      </c>
      <c r="J25" t="str">
        <f>PROPER(TRIM([1]raw_orders!J25))</f>
        <v>Furniture</v>
      </c>
      <c r="K25" t="str">
        <f>PROPER(TRIM([1]raw_orders!K25))</f>
        <v>Bookcases</v>
      </c>
      <c r="L25" t="s">
        <v>124</v>
      </c>
      <c r="M25" t="str">
        <f>IF('[1]Cleaned Text Field'!M25="","Unknown",'[1]Cleaned Text Field'!M25)</f>
        <v>First Class</v>
      </c>
      <c r="N25">
        <f>IF('[1]Cleaned Text Field'!N25="",0,'[1]Cleaned Text Field'!N25)</f>
        <v>4</v>
      </c>
      <c r="O25">
        <v>1958.01</v>
      </c>
      <c r="P25" s="5">
        <f>IF('[1]Cleaned Text Field'!P25="",0,'[1]Cleaned Text Field'!P25)</f>
        <v>0.2</v>
      </c>
      <c r="Q25">
        <v>6265.63</v>
      </c>
      <c r="R25">
        <v>4321.8599999999997</v>
      </c>
      <c r="S25">
        <v>1943.77</v>
      </c>
      <c r="T25" t="str">
        <f>PROPER(TRIM([1]raw_orders!T25))</f>
        <v>Paid</v>
      </c>
      <c r="U25" t="str">
        <f>PROPER(TRIM([1]raw_orders!U25))</f>
        <v>Completed</v>
      </c>
      <c r="V25" s="6">
        <f t="shared" si="0"/>
        <v>0.31022738335969408</v>
      </c>
      <c r="W25" t="str">
        <f t="shared" si="1"/>
        <v>August</v>
      </c>
      <c r="X25">
        <f t="shared" si="2"/>
        <v>2025</v>
      </c>
      <c r="Y25">
        <f t="shared" si="3"/>
        <v>2</v>
      </c>
      <c r="Z25" s="7">
        <f t="shared" si="4"/>
        <v>0.2</v>
      </c>
      <c r="AA25">
        <f t="shared" si="5"/>
        <v>6265.6320000000005</v>
      </c>
      <c r="AB25">
        <f t="shared" si="6"/>
        <v>1943.7700000000004</v>
      </c>
      <c r="AC25" t="str">
        <f t="shared" si="7"/>
        <v>Clean</v>
      </c>
    </row>
    <row r="26" spans="1:29">
      <c r="A26" t="s">
        <v>125</v>
      </c>
      <c r="B26" s="4">
        <v>45355</v>
      </c>
      <c r="C26" s="4">
        <v>45352</v>
      </c>
      <c r="D26" t="s">
        <v>126</v>
      </c>
      <c r="E26" t="str">
        <f>PROPER(TRIM([1]raw_orders!E26))</f>
        <v>Diya Patel</v>
      </c>
      <c r="F26" t="str">
        <f>PROPER(TRIM([1]raw_orders!F26))</f>
        <v>Consumer</v>
      </c>
      <c r="G26" t="str">
        <f>IF('[1]Cleaned Text Field'!G26="","Unknown",'[1]Cleaned Text Field'!G26)</f>
        <v>North</v>
      </c>
      <c r="H26" t="str">
        <f>PROPER(TRIM([1]raw_orders!H26))</f>
        <v>Punjab</v>
      </c>
      <c r="I26" t="str">
        <f>PROPER(TRIM([1]raw_orders!I26))</f>
        <v>Ludhiana</v>
      </c>
      <c r="J26" t="str">
        <f>PROPER(TRIM([1]raw_orders!J26))</f>
        <v>Office Supplies</v>
      </c>
      <c r="K26" t="str">
        <f>PROPER(TRIM([1]raw_orders!K26))</f>
        <v>Art</v>
      </c>
      <c r="L26" t="s">
        <v>127</v>
      </c>
      <c r="M26" t="str">
        <f>IF('[1]Cleaned Text Field'!M26="","Unknown",'[1]Cleaned Text Field'!M26)</f>
        <v>Standard Class</v>
      </c>
      <c r="N26">
        <f>IF('[1]Cleaned Text Field'!N26="",0,'[1]Cleaned Text Field'!N26)</f>
        <v>4</v>
      </c>
      <c r="O26">
        <v>4492.9399999999996</v>
      </c>
      <c r="P26" s="5">
        <f>IF('[1]Cleaned Text Field'!P26="",0,'[1]Cleaned Text Field'!P26)</f>
        <v>0.25</v>
      </c>
      <c r="Q26">
        <v>13478.82</v>
      </c>
      <c r="R26">
        <v>10937.35</v>
      </c>
      <c r="S26">
        <v>2541.4699999999998</v>
      </c>
      <c r="T26" t="str">
        <f>PROPER(TRIM([1]raw_orders!T26))</f>
        <v>Pending</v>
      </c>
      <c r="U26" t="str">
        <f>PROPER(TRIM([1]raw_orders!U26))</f>
        <v>Cancelled</v>
      </c>
      <c r="V26" s="6">
        <f t="shared" si="0"/>
        <v>0.18855285551702597</v>
      </c>
      <c r="W26" t="str">
        <f t="shared" si="1"/>
        <v>March</v>
      </c>
      <c r="X26">
        <f t="shared" si="2"/>
        <v>2024</v>
      </c>
      <c r="Y26">
        <f t="shared" si="3"/>
        <v>-3</v>
      </c>
      <c r="Z26" s="7">
        <f t="shared" si="4"/>
        <v>0.25</v>
      </c>
      <c r="AA26">
        <f t="shared" si="5"/>
        <v>13478.82</v>
      </c>
      <c r="AB26">
        <f t="shared" si="6"/>
        <v>2541.4699999999993</v>
      </c>
      <c r="AC26" t="str">
        <f t="shared" si="7"/>
        <v>Warning</v>
      </c>
    </row>
    <row r="27" spans="1:29">
      <c r="A27" t="s">
        <v>128</v>
      </c>
      <c r="B27" s="4">
        <v>45606</v>
      </c>
      <c r="C27" s="4">
        <v>45584</v>
      </c>
      <c r="D27" t="s">
        <v>129</v>
      </c>
      <c r="E27" t="str">
        <f>PROPER(TRIM([1]raw_orders!E27))</f>
        <v>Arjun Bose</v>
      </c>
      <c r="F27" t="str">
        <f>PROPER(TRIM([1]raw_orders!F27))</f>
        <v>Corporate</v>
      </c>
      <c r="G27" t="str">
        <f>IF('[1]Cleaned Text Field'!G27="","Unknown",'[1]Cleaned Text Field'!G27)</f>
        <v>East</v>
      </c>
      <c r="H27" t="str">
        <f>PROPER(TRIM([1]raw_orders!H27))</f>
        <v>Assam</v>
      </c>
      <c r="I27" t="str">
        <f>PROPER(TRIM([1]raw_orders!I27))</f>
        <v>Guwahati</v>
      </c>
      <c r="J27" t="str">
        <f>PROPER(TRIM([1]raw_orders!J27))</f>
        <v>Technology</v>
      </c>
      <c r="K27" t="str">
        <f>PROPER(TRIM([1]raw_orders!K27))</f>
        <v>Accessories</v>
      </c>
      <c r="L27" t="s">
        <v>130</v>
      </c>
      <c r="M27" t="str">
        <f>IF('[1]Cleaned Text Field'!M27="","Unknown",'[1]Cleaned Text Field'!M27)</f>
        <v>First Class</v>
      </c>
      <c r="N27">
        <f>IF('[1]Cleaned Text Field'!N27="",0,'[1]Cleaned Text Field'!N27)</f>
        <v>2</v>
      </c>
      <c r="O27">
        <v>4315.2</v>
      </c>
      <c r="P27" s="5">
        <f>IF('[1]Cleaned Text Field'!P27="",0,'[1]Cleaned Text Field'!P27)</f>
        <v>0.15</v>
      </c>
      <c r="Q27">
        <v>7335.84</v>
      </c>
      <c r="R27">
        <v>4968.41</v>
      </c>
      <c r="S27">
        <v>2367.4299999999998</v>
      </c>
      <c r="T27" t="str">
        <f>PROPER(TRIM([1]raw_orders!T27))</f>
        <v>Paid</v>
      </c>
      <c r="U27" t="str">
        <f>PROPER(TRIM([1]raw_orders!U27))</f>
        <v>Completed</v>
      </c>
      <c r="V27" s="6">
        <f t="shared" si="0"/>
        <v>0.32272105171323257</v>
      </c>
      <c r="W27" t="str">
        <f t="shared" si="1"/>
        <v>November</v>
      </c>
      <c r="X27">
        <f t="shared" si="2"/>
        <v>2024</v>
      </c>
      <c r="Y27">
        <f t="shared" si="3"/>
        <v>-22</v>
      </c>
      <c r="Z27" s="7">
        <f t="shared" si="4"/>
        <v>0.15</v>
      </c>
      <c r="AA27">
        <f t="shared" si="5"/>
        <v>7335.8399999999992</v>
      </c>
      <c r="AB27">
        <f t="shared" si="6"/>
        <v>2367.4300000000003</v>
      </c>
      <c r="AC27" t="str">
        <f t="shared" si="7"/>
        <v>Warning</v>
      </c>
    </row>
    <row r="28" spans="1:29">
      <c r="A28" t="s">
        <v>131</v>
      </c>
      <c r="B28" s="4">
        <v>45619</v>
      </c>
      <c r="C28" s="4">
        <v>45619</v>
      </c>
      <c r="D28" t="s">
        <v>132</v>
      </c>
      <c r="E28" t="str">
        <f>PROPER(TRIM([1]raw_orders!E28))</f>
        <v>Diya Patel</v>
      </c>
      <c r="F28" t="str">
        <f>PROPER(TRIM([1]raw_orders!F28))</f>
        <v>Corporate</v>
      </c>
      <c r="G28" t="str">
        <f>IF('[1]Cleaned Text Field'!G28="","Unknown",'[1]Cleaned Text Field'!G28)</f>
        <v>North</v>
      </c>
      <c r="H28" t="str">
        <f>PROPER(TRIM([1]raw_orders!H28))</f>
        <v>Uttar Pradesh</v>
      </c>
      <c r="I28" t="str">
        <f>PROPER(TRIM([1]raw_orders!I28))</f>
        <v>Noida</v>
      </c>
      <c r="J28" t="str">
        <f>PROPER(TRIM([1]raw_orders!J28))</f>
        <v>Technology</v>
      </c>
      <c r="K28" t="str">
        <f>PROPER(TRIM([1]raw_orders!K28))</f>
        <v>Phones</v>
      </c>
      <c r="L28" t="s">
        <v>133</v>
      </c>
      <c r="M28" t="str">
        <f>IF('[1]Cleaned Text Field'!M28="","Unknown",'[1]Cleaned Text Field'!M28)</f>
        <v>Standard Class</v>
      </c>
      <c r="N28">
        <f>IF('[1]Cleaned Text Field'!N28="",0,'[1]Cleaned Text Field'!N28)</f>
        <v>4</v>
      </c>
      <c r="O28">
        <v>716.13</v>
      </c>
      <c r="P28" s="5">
        <f>IF('[1]Cleaned Text Field'!P28="",0,'[1]Cleaned Text Field'!P28)</f>
        <v>0.1</v>
      </c>
      <c r="Q28">
        <v>2578.0700000000002</v>
      </c>
      <c r="R28">
        <v>1527.55</v>
      </c>
      <c r="S28">
        <v>1050.52</v>
      </c>
      <c r="T28" t="str">
        <f>PROPER(TRIM([1]raw_orders!T28))</f>
        <v>Paid</v>
      </c>
      <c r="U28" t="str">
        <f>PROPER(TRIM([1]raw_orders!U28))</f>
        <v>Returned</v>
      </c>
      <c r="V28" s="6">
        <f t="shared" si="0"/>
        <v>0.40748311721559149</v>
      </c>
      <c r="W28" t="str">
        <f t="shared" si="1"/>
        <v>November</v>
      </c>
      <c r="X28">
        <f t="shared" si="2"/>
        <v>2024</v>
      </c>
      <c r="Y28">
        <f t="shared" si="3"/>
        <v>0</v>
      </c>
      <c r="Z28" s="7">
        <f t="shared" si="4"/>
        <v>0.1</v>
      </c>
      <c r="AA28">
        <f t="shared" si="5"/>
        <v>2578.0680000000002</v>
      </c>
      <c r="AB28">
        <f t="shared" si="6"/>
        <v>1050.5200000000002</v>
      </c>
      <c r="AC28" t="str">
        <f t="shared" si="7"/>
        <v>Clean</v>
      </c>
    </row>
    <row r="29" spans="1:29">
      <c r="A29" t="s">
        <v>134</v>
      </c>
      <c r="B29" s="4">
        <v>45929</v>
      </c>
      <c r="C29" s="4">
        <v>45787</v>
      </c>
      <c r="D29" t="s">
        <v>135</v>
      </c>
      <c r="E29" t="str">
        <f>PROPER(TRIM([1]raw_orders!E29))</f>
        <v>Arjun Bose</v>
      </c>
      <c r="F29" t="str">
        <f>PROPER(TRIM([1]raw_orders!F29))</f>
        <v>Small Business</v>
      </c>
      <c r="G29" t="str">
        <f>IF('[1]Cleaned Text Field'!G29="","Unknown",'[1]Cleaned Text Field'!G29)</f>
        <v>South</v>
      </c>
      <c r="H29" t="str">
        <f>PROPER(TRIM([1]raw_orders!H29))</f>
        <v>Karnataka</v>
      </c>
      <c r="I29" t="str">
        <f>PROPER(TRIM([1]raw_orders!I29))</f>
        <v>Bengaluru</v>
      </c>
      <c r="J29" t="str">
        <f>PROPER(TRIM([1]raw_orders!J29))</f>
        <v>Office Supplies</v>
      </c>
      <c r="K29" t="str">
        <f>PROPER(TRIM([1]raw_orders!K29))</f>
        <v>Paper</v>
      </c>
      <c r="L29" t="s">
        <v>136</v>
      </c>
      <c r="M29" t="str">
        <f>IF('[1]Cleaned Text Field'!M29="","Unknown",'[1]Cleaned Text Field'!M29)</f>
        <v>Second Class</v>
      </c>
      <c r="N29">
        <f>IF('[1]Cleaned Text Field'!N29="",0,'[1]Cleaned Text Field'!N29)</f>
        <v>5</v>
      </c>
      <c r="O29">
        <v>1806.51</v>
      </c>
      <c r="P29" s="5">
        <f>IF('[1]Cleaned Text Field'!P29="",0,'[1]Cleaned Text Field'!P29)</f>
        <v>0.25</v>
      </c>
      <c r="Q29">
        <v>6774.41</v>
      </c>
      <c r="R29">
        <v>4710.3599999999997</v>
      </c>
      <c r="S29">
        <v>2064.0500000000002</v>
      </c>
      <c r="T29" t="str">
        <f>PROPER(TRIM([1]raw_orders!T29))</f>
        <v>Failed</v>
      </c>
      <c r="U29" t="str">
        <f>PROPER(TRIM([1]raw_orders!U29))</f>
        <v>Returned</v>
      </c>
      <c r="V29" s="6">
        <f t="shared" si="0"/>
        <v>0.30468335987931056</v>
      </c>
      <c r="W29" t="str">
        <f t="shared" si="1"/>
        <v>September</v>
      </c>
      <c r="X29">
        <f t="shared" si="2"/>
        <v>2025</v>
      </c>
      <c r="Y29">
        <f t="shared" si="3"/>
        <v>-142</v>
      </c>
      <c r="Z29" s="7">
        <f t="shared" si="4"/>
        <v>0.25</v>
      </c>
      <c r="AA29">
        <f t="shared" si="5"/>
        <v>6774.4124999999995</v>
      </c>
      <c r="AB29">
        <f t="shared" si="6"/>
        <v>2064.0500000000002</v>
      </c>
      <c r="AC29" t="str">
        <f t="shared" si="7"/>
        <v>Warning</v>
      </c>
    </row>
    <row r="30" spans="1:29">
      <c r="A30" t="s">
        <v>137</v>
      </c>
      <c r="B30" s="4">
        <v>45606</v>
      </c>
      <c r="C30" s="4">
        <v>45583</v>
      </c>
      <c r="D30" t="s">
        <v>138</v>
      </c>
      <c r="E30" t="str">
        <f>PROPER(TRIM([1]raw_orders!E30))</f>
        <v>Ananya Rao</v>
      </c>
      <c r="F30" t="str">
        <f>PROPER(TRIM([1]raw_orders!F30))</f>
        <v>Home Office</v>
      </c>
      <c r="G30" t="str">
        <f>IF('[1]Cleaned Text Field'!G30="","Unknown",'[1]Cleaned Text Field'!G30)</f>
        <v>West</v>
      </c>
      <c r="H30" t="str">
        <f>PROPER(TRIM([1]raw_orders!H30))</f>
        <v>Gujarat</v>
      </c>
      <c r="I30" t="str">
        <f>PROPER(TRIM([1]raw_orders!I30))</f>
        <v>Ahmedabad</v>
      </c>
      <c r="J30" t="str">
        <f>PROPER(TRIM([1]raw_orders!J30))</f>
        <v>Technology</v>
      </c>
      <c r="K30" t="str">
        <f>PROPER(TRIM([1]raw_orders!K30))</f>
        <v>Phones</v>
      </c>
      <c r="L30" t="s">
        <v>139</v>
      </c>
      <c r="M30" t="str">
        <f>IF('[1]Cleaned Text Field'!M30="","Unknown",'[1]Cleaned Text Field'!M30)</f>
        <v>Second Class</v>
      </c>
      <c r="N30">
        <f>IF('[1]Cleaned Text Field'!N30="",0,'[1]Cleaned Text Field'!N30)</f>
        <v>2</v>
      </c>
      <c r="O30">
        <v>1942.22</v>
      </c>
      <c r="P30" s="5">
        <f>IF('[1]Cleaned Text Field'!P30="",0,'[1]Cleaned Text Field'!P30)</f>
        <v>0.25</v>
      </c>
      <c r="Q30">
        <v>2913.33</v>
      </c>
      <c r="R30">
        <v>2122.33</v>
      </c>
      <c r="S30">
        <v>791</v>
      </c>
      <c r="T30" t="str">
        <f>PROPER(TRIM([1]raw_orders!T30))</f>
        <v>Refunded</v>
      </c>
      <c r="U30" t="str">
        <f>PROPER(TRIM([1]raw_orders!U30))</f>
        <v>Cancelled</v>
      </c>
      <c r="V30" s="6">
        <f t="shared" si="0"/>
        <v>0.27151060813570727</v>
      </c>
      <c r="W30" t="str">
        <f t="shared" si="1"/>
        <v>November</v>
      </c>
      <c r="X30">
        <f t="shared" si="2"/>
        <v>2024</v>
      </c>
      <c r="Y30">
        <f t="shared" si="3"/>
        <v>-23</v>
      </c>
      <c r="Z30" s="7">
        <f t="shared" si="4"/>
        <v>0.25</v>
      </c>
      <c r="AA30">
        <f t="shared" si="5"/>
        <v>2913.33</v>
      </c>
      <c r="AB30">
        <f t="shared" si="6"/>
        <v>791</v>
      </c>
      <c r="AC30" t="str">
        <f t="shared" si="7"/>
        <v>Warning</v>
      </c>
    </row>
    <row r="31" spans="1:29">
      <c r="A31" t="s">
        <v>140</v>
      </c>
      <c r="B31" s="4">
        <v>45882</v>
      </c>
      <c r="C31" s="4">
        <v>45882</v>
      </c>
      <c r="D31" t="s">
        <v>141</v>
      </c>
      <c r="E31" t="str">
        <f>PROPER(TRIM([1]raw_orders!E31))</f>
        <v>Rohan Mehta</v>
      </c>
      <c r="F31" t="str">
        <f>PROPER(TRIM([1]raw_orders!F31))</f>
        <v>Home Office</v>
      </c>
      <c r="G31" t="str">
        <f>IF('[1]Cleaned Text Field'!G31="","Unknown",'[1]Cleaned Text Field'!G31)</f>
        <v>South</v>
      </c>
      <c r="H31" t="str">
        <f>PROPER(TRIM([1]raw_orders!H31))</f>
        <v>Kerala</v>
      </c>
      <c r="I31" t="str">
        <f>PROPER(TRIM([1]raw_orders!I31))</f>
        <v>Kochi</v>
      </c>
      <c r="J31" t="str">
        <f>PROPER(TRIM([1]raw_orders!J31))</f>
        <v>Technology</v>
      </c>
      <c r="K31" t="str">
        <f>PROPER(TRIM([1]raw_orders!K31))</f>
        <v>Phones</v>
      </c>
      <c r="L31" t="s">
        <v>142</v>
      </c>
      <c r="M31" t="str">
        <f>IF('[1]Cleaned Text Field'!M31="","Unknown",'[1]Cleaned Text Field'!M31)</f>
        <v>Standard Class</v>
      </c>
      <c r="N31">
        <f>IF('[1]Cleaned Text Field'!N31="",0,'[1]Cleaned Text Field'!N31)</f>
        <v>1</v>
      </c>
      <c r="O31">
        <v>256.01</v>
      </c>
      <c r="P31" s="5">
        <f>IF('[1]Cleaned Text Field'!P31="",0,'[1]Cleaned Text Field'!P31)</f>
        <v>0.15</v>
      </c>
      <c r="Q31">
        <v>217.61</v>
      </c>
      <c r="R31">
        <v>119.77</v>
      </c>
      <c r="S31">
        <v>97.84</v>
      </c>
      <c r="T31" t="str">
        <f>PROPER(TRIM([1]raw_orders!T31))</f>
        <v>Paid</v>
      </c>
      <c r="U31" t="str">
        <f>PROPER(TRIM([1]raw_orders!U31))</f>
        <v>Completed</v>
      </c>
      <c r="V31" s="6">
        <f t="shared" si="0"/>
        <v>0.44961169063921691</v>
      </c>
      <c r="W31" t="str">
        <f t="shared" si="1"/>
        <v>August</v>
      </c>
      <c r="X31">
        <f t="shared" si="2"/>
        <v>2025</v>
      </c>
      <c r="Y31">
        <f t="shared" si="3"/>
        <v>0</v>
      </c>
      <c r="Z31" s="7">
        <f t="shared" si="4"/>
        <v>0.15</v>
      </c>
      <c r="AA31">
        <f t="shared" si="5"/>
        <v>217.60849999999999</v>
      </c>
      <c r="AB31">
        <f t="shared" si="6"/>
        <v>97.840000000000018</v>
      </c>
      <c r="AC31" t="str">
        <f t="shared" si="7"/>
        <v>Clean</v>
      </c>
    </row>
    <row r="32" spans="1:29">
      <c r="A32" t="s">
        <v>143</v>
      </c>
      <c r="B32" s="4">
        <v>45331</v>
      </c>
      <c r="C32" s="4">
        <v>45334</v>
      </c>
      <c r="D32" t="s">
        <v>144</v>
      </c>
      <c r="E32" t="str">
        <f>PROPER(TRIM([1]raw_orders!E32))</f>
        <v>Ananya Rao</v>
      </c>
      <c r="F32" t="str">
        <f>PROPER(TRIM([1]raw_orders!F32))</f>
        <v>Corporate</v>
      </c>
      <c r="G32" t="str">
        <f>IF('[1]Cleaned Text Field'!G32="","Unknown",'[1]Cleaned Text Field'!G32)</f>
        <v>West</v>
      </c>
      <c r="H32" t="str">
        <f>PROPER(TRIM([1]raw_orders!H32))</f>
        <v>Goa</v>
      </c>
      <c r="I32" t="str">
        <f>PROPER(TRIM([1]raw_orders!I32))</f>
        <v>Panaji</v>
      </c>
      <c r="J32" t="str">
        <f>PROPER(TRIM([1]raw_orders!J32))</f>
        <v>Office Supplies</v>
      </c>
      <c r="K32" t="str">
        <f>PROPER(TRIM([1]raw_orders!K32))</f>
        <v>Labels</v>
      </c>
      <c r="L32" t="s">
        <v>145</v>
      </c>
      <c r="M32" t="str">
        <f>IF('[1]Cleaned Text Field'!M32="","Unknown",'[1]Cleaned Text Field'!M32)</f>
        <v>First Class</v>
      </c>
      <c r="N32">
        <f>IF('[1]Cleaned Text Field'!N32="",0,'[1]Cleaned Text Field'!N32)</f>
        <v>1</v>
      </c>
      <c r="O32">
        <v>3421.77</v>
      </c>
      <c r="P32" s="5">
        <f>IF('[1]Cleaned Text Field'!P32="",0,'[1]Cleaned Text Field'!P32)</f>
        <v>0.1</v>
      </c>
      <c r="Q32">
        <v>3079.59</v>
      </c>
      <c r="R32">
        <v>2001.89</v>
      </c>
      <c r="S32">
        <v>1077.7</v>
      </c>
      <c r="T32" t="str">
        <f>PROPER(TRIM([1]raw_orders!T32))</f>
        <v>Paid</v>
      </c>
      <c r="U32" t="str">
        <f>PROPER(TRIM([1]raw_orders!U32))</f>
        <v>Completed</v>
      </c>
      <c r="V32" s="6">
        <f t="shared" si="0"/>
        <v>0.34994918154689425</v>
      </c>
      <c r="W32" t="str">
        <f t="shared" si="1"/>
        <v>February</v>
      </c>
      <c r="X32">
        <f t="shared" si="2"/>
        <v>2024</v>
      </c>
      <c r="Y32">
        <f t="shared" si="3"/>
        <v>3</v>
      </c>
      <c r="Z32" s="7">
        <f t="shared" si="4"/>
        <v>0.1</v>
      </c>
      <c r="AA32">
        <f t="shared" si="5"/>
        <v>3079.5929999999998</v>
      </c>
      <c r="AB32">
        <f t="shared" si="6"/>
        <v>1077.7</v>
      </c>
      <c r="AC32" t="str">
        <f t="shared" si="7"/>
        <v>Clean</v>
      </c>
    </row>
    <row r="33" spans="1:29">
      <c r="A33" t="s">
        <v>146</v>
      </c>
      <c r="B33" s="4">
        <v>45823</v>
      </c>
      <c r="C33" s="4">
        <v>45827</v>
      </c>
      <c r="D33" t="s">
        <v>147</v>
      </c>
      <c r="E33" t="str">
        <f>PROPER(TRIM([1]raw_orders!E33))</f>
        <v>Karan Malhotra</v>
      </c>
      <c r="F33" t="str">
        <f>PROPER(TRIM([1]raw_orders!F33))</f>
        <v>Small Business</v>
      </c>
      <c r="G33" t="str">
        <f>IF('[1]Cleaned Text Field'!G33="","Unknown",'[1]Cleaned Text Field'!G33)</f>
        <v>West</v>
      </c>
      <c r="H33" t="str">
        <f>PROPER(TRIM([1]raw_orders!H33))</f>
        <v>Madhya Pradesh</v>
      </c>
      <c r="I33" t="str">
        <f>PROPER(TRIM([1]raw_orders!I33))</f>
        <v>Indore</v>
      </c>
      <c r="J33" t="str">
        <f>PROPER(TRIM([1]raw_orders!J33))</f>
        <v>Office Supplies</v>
      </c>
      <c r="K33" t="str">
        <f>PROPER(TRIM([1]raw_orders!K33))</f>
        <v>Paper</v>
      </c>
      <c r="L33" t="s">
        <v>148</v>
      </c>
      <c r="M33" t="str">
        <f>IF('[1]Cleaned Text Field'!M33="","Unknown",'[1]Cleaned Text Field'!M33)</f>
        <v>Second Class</v>
      </c>
      <c r="N33">
        <f>IF('[1]Cleaned Text Field'!N33="",0,'[1]Cleaned Text Field'!N33)</f>
        <v>9</v>
      </c>
      <c r="O33">
        <v>3092.55</v>
      </c>
      <c r="P33" s="5">
        <f>IF('[1]Cleaned Text Field'!P33="",0,'[1]Cleaned Text Field'!P33)</f>
        <v>0</v>
      </c>
      <c r="Q33">
        <v>27832.95</v>
      </c>
      <c r="R33">
        <v>17769.75</v>
      </c>
      <c r="S33">
        <v>10063.200000000001</v>
      </c>
      <c r="T33" t="str">
        <f>PROPER(TRIM([1]raw_orders!T33))</f>
        <v>Failed</v>
      </c>
      <c r="U33" t="str">
        <f>PROPER(TRIM([1]raw_orders!U33))</f>
        <v>Returned</v>
      </c>
      <c r="V33" s="6">
        <f t="shared" si="0"/>
        <v>0.36155707533696574</v>
      </c>
      <c r="W33" t="str">
        <f t="shared" si="1"/>
        <v>June</v>
      </c>
      <c r="X33">
        <f t="shared" si="2"/>
        <v>2025</v>
      </c>
      <c r="Y33">
        <f t="shared" si="3"/>
        <v>4</v>
      </c>
      <c r="Z33" s="7">
        <f t="shared" si="4"/>
        <v>0</v>
      </c>
      <c r="AA33">
        <f t="shared" si="5"/>
        <v>27832.95</v>
      </c>
      <c r="AB33">
        <f t="shared" si="6"/>
        <v>10063.200000000001</v>
      </c>
      <c r="AC33" t="str">
        <f t="shared" si="7"/>
        <v>Clean</v>
      </c>
    </row>
    <row r="34" spans="1:29">
      <c r="A34" t="s">
        <v>149</v>
      </c>
      <c r="B34" s="4">
        <v>45618</v>
      </c>
      <c r="C34" s="4">
        <v>45622</v>
      </c>
      <c r="D34" t="s">
        <v>150</v>
      </c>
      <c r="E34" t="str">
        <f>PROPER(TRIM([1]raw_orders!E34))</f>
        <v>Aarav Sharma</v>
      </c>
      <c r="F34" t="str">
        <f>PROPER(TRIM([1]raw_orders!F34))</f>
        <v>Corporate</v>
      </c>
      <c r="G34" t="str">
        <f>IF('[1]Cleaned Text Field'!G34="","Unknown",'[1]Cleaned Text Field'!G34)</f>
        <v>South</v>
      </c>
      <c r="H34" t="str">
        <f>PROPER(TRIM([1]raw_orders!H34))</f>
        <v>Andhra Pradesh</v>
      </c>
      <c r="I34" t="str">
        <f>PROPER(TRIM([1]raw_orders!I34))</f>
        <v>Vijayawada</v>
      </c>
      <c r="J34" t="str">
        <f>PROPER(TRIM([1]raw_orders!J34))</f>
        <v>Technology</v>
      </c>
      <c r="K34" t="str">
        <f>PROPER(TRIM([1]raw_orders!K34))</f>
        <v>Phones</v>
      </c>
      <c r="L34" t="s">
        <v>151</v>
      </c>
      <c r="M34" t="str">
        <f>IF('[1]Cleaned Text Field'!M34="","Unknown",'[1]Cleaned Text Field'!M34)</f>
        <v>Second Class</v>
      </c>
      <c r="N34">
        <f>IF('[1]Cleaned Text Field'!N34="",0,'[1]Cleaned Text Field'!N34)</f>
        <v>3</v>
      </c>
      <c r="O34">
        <v>4001.25</v>
      </c>
      <c r="P34" s="5">
        <f>IF('[1]Cleaned Text Field'!P34="",0,'[1]Cleaned Text Field'!P34)</f>
        <v>0</v>
      </c>
      <c r="Q34">
        <v>9002.81</v>
      </c>
      <c r="R34">
        <v>7529.92</v>
      </c>
      <c r="S34">
        <v>1472.89</v>
      </c>
      <c r="T34" t="str">
        <f>PROPER(TRIM([1]raw_orders!T34))</f>
        <v>Paid</v>
      </c>
      <c r="U34" t="str">
        <f>PROPER(TRIM([1]raw_orders!U34))</f>
        <v>Completed</v>
      </c>
      <c r="V34" s="6">
        <f t="shared" si="0"/>
        <v>0.16360336383862373</v>
      </c>
      <c r="W34" t="str">
        <f t="shared" si="1"/>
        <v>November</v>
      </c>
      <c r="X34">
        <f t="shared" si="2"/>
        <v>2024</v>
      </c>
      <c r="Y34">
        <f t="shared" si="3"/>
        <v>4</v>
      </c>
      <c r="Z34" s="7">
        <f t="shared" si="4"/>
        <v>0</v>
      </c>
      <c r="AA34">
        <f t="shared" si="5"/>
        <v>12003.75</v>
      </c>
      <c r="AB34">
        <f t="shared" si="6"/>
        <v>1472.8899999999994</v>
      </c>
      <c r="AC34" t="str">
        <f t="shared" si="7"/>
        <v>Clean</v>
      </c>
    </row>
    <row r="35" spans="1:29">
      <c r="A35" t="s">
        <v>152</v>
      </c>
      <c r="B35" s="4">
        <v>45495</v>
      </c>
      <c r="C35" s="4">
        <v>45500</v>
      </c>
      <c r="D35" t="s">
        <v>153</v>
      </c>
      <c r="E35" t="str">
        <f>PROPER(TRIM([1]raw_orders!E35))</f>
        <v>Priya Menon</v>
      </c>
      <c r="F35" t="str">
        <f>PROPER(TRIM([1]raw_orders!F35))</f>
        <v>Home Office</v>
      </c>
      <c r="G35" t="str">
        <f>IF('[1]Cleaned Text Field'!G35="","Unknown",'[1]Cleaned Text Field'!G35)</f>
        <v>West</v>
      </c>
      <c r="H35" t="str">
        <f>PROPER(TRIM([1]raw_orders!H35))</f>
        <v>Goa</v>
      </c>
      <c r="I35" t="str">
        <f>PROPER(TRIM([1]raw_orders!I35))</f>
        <v>Panaji</v>
      </c>
      <c r="J35" t="str">
        <f>PROPER(TRIM([1]raw_orders!J35))</f>
        <v>Furniture</v>
      </c>
      <c r="K35" t="str">
        <f>PROPER(TRIM([1]raw_orders!K35))</f>
        <v>Tables</v>
      </c>
      <c r="L35" t="s">
        <v>154</v>
      </c>
      <c r="M35" t="str">
        <f>IF('[1]Cleaned Text Field'!M35="","Unknown",'[1]Cleaned Text Field'!M35)</f>
        <v>Same Day</v>
      </c>
      <c r="N35">
        <f>IF('[1]Cleaned Text Field'!N35="",0,'[1]Cleaned Text Field'!N35)</f>
        <v>7</v>
      </c>
      <c r="O35">
        <v>492.41</v>
      </c>
      <c r="P35" s="5">
        <f>IF('[1]Cleaned Text Field'!P35="",0,'[1]Cleaned Text Field'!P35)</f>
        <v>0.25</v>
      </c>
      <c r="Q35">
        <v>2585.15</v>
      </c>
      <c r="R35">
        <v>2070.73</v>
      </c>
      <c r="S35">
        <v>514.41999999999996</v>
      </c>
      <c r="T35" t="str">
        <f>PROPER(TRIM([1]raw_orders!T35))</f>
        <v>Paid</v>
      </c>
      <c r="U35" t="str">
        <f>PROPER(TRIM([1]raw_orders!U35))</f>
        <v>Completed</v>
      </c>
      <c r="V35" s="6">
        <f t="shared" si="0"/>
        <v>0.19899038740498615</v>
      </c>
      <c r="W35" t="str">
        <f t="shared" si="1"/>
        <v>July</v>
      </c>
      <c r="X35">
        <f t="shared" si="2"/>
        <v>2024</v>
      </c>
      <c r="Y35">
        <f t="shared" si="3"/>
        <v>5</v>
      </c>
      <c r="Z35" s="7">
        <f t="shared" si="4"/>
        <v>0.25</v>
      </c>
      <c r="AA35">
        <f t="shared" si="5"/>
        <v>2585.1525000000001</v>
      </c>
      <c r="AB35">
        <f t="shared" si="6"/>
        <v>514.42000000000007</v>
      </c>
      <c r="AC35" t="str">
        <f t="shared" si="7"/>
        <v>Clean</v>
      </c>
    </row>
    <row r="36" spans="1:29">
      <c r="A36" t="s">
        <v>155</v>
      </c>
      <c r="B36" s="4">
        <v>45688</v>
      </c>
      <c r="C36" s="4">
        <v>45693</v>
      </c>
      <c r="D36" t="s">
        <v>156</v>
      </c>
      <c r="E36" t="str">
        <f>PROPER(TRIM([1]raw_orders!E36))</f>
        <v>Priya Menon</v>
      </c>
      <c r="F36" t="str">
        <f>PROPER(TRIM([1]raw_orders!F36))</f>
        <v>Home Office</v>
      </c>
      <c r="G36" t="str">
        <f>IF('[1]Cleaned Text Field'!G36="","Unknown",'[1]Cleaned Text Field'!G36)</f>
        <v>East</v>
      </c>
      <c r="H36" t="str">
        <f>PROPER(TRIM([1]raw_orders!H36))</f>
        <v>West Bengal</v>
      </c>
      <c r="I36" t="str">
        <f>PROPER(TRIM([1]raw_orders!I36))</f>
        <v>Kolkata</v>
      </c>
      <c r="J36" t="str">
        <f>PROPER(TRIM([1]raw_orders!J36))</f>
        <v>Furniture</v>
      </c>
      <c r="K36" t="str">
        <f>PROPER(TRIM([1]raw_orders!K36))</f>
        <v>Chairs</v>
      </c>
      <c r="L36" t="s">
        <v>157</v>
      </c>
      <c r="M36" t="str">
        <f>IF('[1]Cleaned Text Field'!M36="","Unknown",'[1]Cleaned Text Field'!M36)</f>
        <v>Unknown</v>
      </c>
      <c r="N36">
        <f>IF('[1]Cleaned Text Field'!N36="",0,'[1]Cleaned Text Field'!N36)</f>
        <v>2</v>
      </c>
      <c r="O36">
        <v>4159.6899999999996</v>
      </c>
      <c r="P36" s="5">
        <f>IF('[1]Cleaned Text Field'!P36="",0,'[1]Cleaned Text Field'!P36)</f>
        <v>0.2</v>
      </c>
      <c r="Q36">
        <v>6655.5</v>
      </c>
      <c r="R36">
        <v>4340.21</v>
      </c>
      <c r="S36">
        <v>2607.3200000000002</v>
      </c>
      <c r="T36" t="str">
        <f>PROPER(TRIM([1]raw_orders!T36))</f>
        <v>Paid</v>
      </c>
      <c r="U36" t="str">
        <f>PROPER(TRIM([1]raw_orders!U36))</f>
        <v>Completed</v>
      </c>
      <c r="V36" s="6">
        <f t="shared" si="0"/>
        <v>0.39175418826534447</v>
      </c>
      <c r="W36" t="str">
        <f t="shared" si="1"/>
        <v>January</v>
      </c>
      <c r="X36">
        <f t="shared" si="2"/>
        <v>2025</v>
      </c>
      <c r="Y36">
        <f t="shared" si="3"/>
        <v>5</v>
      </c>
      <c r="Z36" s="7">
        <f t="shared" si="4"/>
        <v>0.2</v>
      </c>
      <c r="AA36">
        <f t="shared" si="5"/>
        <v>6655.5039999999999</v>
      </c>
      <c r="AB36">
        <f t="shared" si="6"/>
        <v>2315.29</v>
      </c>
      <c r="AC36" t="str">
        <f t="shared" si="7"/>
        <v>Clean</v>
      </c>
    </row>
    <row r="37" spans="1:29">
      <c r="A37" t="s">
        <v>158</v>
      </c>
      <c r="B37" s="4">
        <v>45441</v>
      </c>
      <c r="C37" s="4">
        <v>45441</v>
      </c>
      <c r="D37" t="s">
        <v>159</v>
      </c>
      <c r="E37" t="str">
        <f>PROPER(TRIM([1]raw_orders!E37))</f>
        <v>Sneha Kapoor</v>
      </c>
      <c r="F37" t="str">
        <f>PROPER(TRIM([1]raw_orders!F37))</f>
        <v>Small Business</v>
      </c>
      <c r="G37" t="str">
        <f>IF('[1]Cleaned Text Field'!G37="","Unknown",'[1]Cleaned Text Field'!G37)</f>
        <v>West</v>
      </c>
      <c r="H37" t="str">
        <f>PROPER(TRIM([1]raw_orders!H37))</f>
        <v>Gujarat</v>
      </c>
      <c r="I37" t="str">
        <f>PROPER(TRIM([1]raw_orders!I37))</f>
        <v>Ahmedabad</v>
      </c>
      <c r="J37" t="str">
        <f>PROPER(TRIM([1]raw_orders!J37))</f>
        <v>Furniture</v>
      </c>
      <c r="K37" t="str">
        <f>PROPER(TRIM([1]raw_orders!K37))</f>
        <v>Bookcases</v>
      </c>
      <c r="L37" t="s">
        <v>160</v>
      </c>
      <c r="M37" t="str">
        <f>IF('[1]Cleaned Text Field'!M37="","Unknown",'[1]Cleaned Text Field'!M37)</f>
        <v>Second Class</v>
      </c>
      <c r="N37">
        <f>IF('[1]Cleaned Text Field'!N37="",0,'[1]Cleaned Text Field'!N37)</f>
        <v>8</v>
      </c>
      <c r="O37">
        <v>2507.12</v>
      </c>
      <c r="P37" s="5">
        <f>IF('[1]Cleaned Text Field'!P37="",0,'[1]Cleaned Text Field'!P37)</f>
        <v>0.05</v>
      </c>
      <c r="Q37">
        <v>19054.11</v>
      </c>
      <c r="R37">
        <v>15313.83</v>
      </c>
      <c r="S37">
        <v>3740.28</v>
      </c>
      <c r="T37" t="str">
        <f>PROPER(TRIM([1]raw_orders!T37))</f>
        <v>Pending</v>
      </c>
      <c r="U37" t="str">
        <f>PROPER(TRIM([1]raw_orders!U37))</f>
        <v>Returned</v>
      </c>
      <c r="V37" s="6">
        <f t="shared" si="0"/>
        <v>0.1962978066149508</v>
      </c>
      <c r="W37" t="str">
        <f t="shared" si="1"/>
        <v>May</v>
      </c>
      <c r="X37">
        <f t="shared" si="2"/>
        <v>2024</v>
      </c>
      <c r="Y37">
        <f t="shared" si="3"/>
        <v>0</v>
      </c>
      <c r="Z37" s="7">
        <f t="shared" si="4"/>
        <v>0.05</v>
      </c>
      <c r="AA37">
        <f t="shared" si="5"/>
        <v>19054.111999999997</v>
      </c>
      <c r="AB37">
        <f t="shared" si="6"/>
        <v>3740.2800000000007</v>
      </c>
      <c r="AC37" t="str">
        <f t="shared" si="7"/>
        <v>Clean</v>
      </c>
    </row>
    <row r="38" spans="1:29">
      <c r="A38" t="s">
        <v>161</v>
      </c>
      <c r="B38" s="4">
        <v>45590</v>
      </c>
      <c r="C38" s="4">
        <v>45593</v>
      </c>
      <c r="D38" t="s">
        <v>162</v>
      </c>
      <c r="E38" t="str">
        <f>PROPER(TRIM([1]raw_orders!E38))</f>
        <v>Rohan Mehta</v>
      </c>
      <c r="F38" t="str">
        <f>PROPER(TRIM([1]raw_orders!F38))</f>
        <v>Corporate</v>
      </c>
      <c r="G38" t="str">
        <f>IF('[1]Cleaned Text Field'!G38="","Unknown",'[1]Cleaned Text Field'!G38)</f>
        <v>West</v>
      </c>
      <c r="H38" t="str">
        <f>PROPER(TRIM([1]raw_orders!H38))</f>
        <v>Maharashtra</v>
      </c>
      <c r="I38" t="str">
        <f>PROPER(TRIM([1]raw_orders!I38))</f>
        <v>Mumbai</v>
      </c>
      <c r="J38" t="str">
        <f>PROPER(TRIM([1]raw_orders!J38))</f>
        <v>Furniture</v>
      </c>
      <c r="K38" t="str">
        <f>PROPER(TRIM([1]raw_orders!K38))</f>
        <v>Bookcases</v>
      </c>
      <c r="L38" t="s">
        <v>163</v>
      </c>
      <c r="M38" t="str">
        <f>IF('[1]Cleaned Text Field'!M38="","Unknown",'[1]Cleaned Text Field'!M38)</f>
        <v>Second Class</v>
      </c>
      <c r="N38">
        <f>IF('[1]Cleaned Text Field'!N38="",0,'[1]Cleaned Text Field'!N38)</f>
        <v>3</v>
      </c>
      <c r="O38">
        <v>3126.47</v>
      </c>
      <c r="P38" s="5">
        <f>IF('[1]Cleaned Text Field'!P38="",0,'[1]Cleaned Text Field'!P38)</f>
        <v>0</v>
      </c>
      <c r="Q38">
        <v>9379.41</v>
      </c>
      <c r="R38">
        <v>6670.85</v>
      </c>
      <c r="S38">
        <v>2708.56</v>
      </c>
      <c r="T38" t="str">
        <f>PROPER(TRIM([1]raw_orders!T38))</f>
        <v>Paid</v>
      </c>
      <c r="U38" t="str">
        <f>PROPER(TRIM([1]raw_orders!U38))</f>
        <v>Returned</v>
      </c>
      <c r="V38" s="6">
        <f t="shared" si="0"/>
        <v>0.28877722585962229</v>
      </c>
      <c r="W38" t="str">
        <f t="shared" si="1"/>
        <v>October</v>
      </c>
      <c r="X38">
        <f t="shared" si="2"/>
        <v>2024</v>
      </c>
      <c r="Y38">
        <f t="shared" si="3"/>
        <v>3</v>
      </c>
      <c r="Z38" s="7">
        <f t="shared" si="4"/>
        <v>0</v>
      </c>
      <c r="AA38">
        <f t="shared" si="5"/>
        <v>9379.41</v>
      </c>
      <c r="AB38">
        <f t="shared" si="6"/>
        <v>2708.5599999999995</v>
      </c>
      <c r="AC38" t="str">
        <f t="shared" si="7"/>
        <v>Clean</v>
      </c>
    </row>
    <row r="39" spans="1:29">
      <c r="A39" t="s">
        <v>164</v>
      </c>
      <c r="B39" s="4">
        <v>45867</v>
      </c>
      <c r="C39" s="4">
        <v>45867</v>
      </c>
      <c r="D39" t="s">
        <v>165</v>
      </c>
      <c r="E39" t="str">
        <f>PROPER(TRIM([1]raw_orders!E39))</f>
        <v>Diya Patel</v>
      </c>
      <c r="F39" t="str">
        <f>PROPER(TRIM([1]raw_orders!F39))</f>
        <v>Consumer</v>
      </c>
      <c r="G39" t="str">
        <f>IF('[1]Cleaned Text Field'!G39="","Unknown",'[1]Cleaned Text Field'!G39)</f>
        <v>West</v>
      </c>
      <c r="H39" t="str">
        <f>PROPER(TRIM([1]raw_orders!H39))</f>
        <v>Maharashtra</v>
      </c>
      <c r="I39" t="str">
        <f>PROPER(TRIM([1]raw_orders!I39))</f>
        <v>Mumbai</v>
      </c>
      <c r="J39" t="str">
        <f>PROPER(TRIM([1]raw_orders!J39))</f>
        <v>Technology</v>
      </c>
      <c r="K39" t="str">
        <f>PROPER(TRIM([1]raw_orders!K39))</f>
        <v>Copiers</v>
      </c>
      <c r="L39" t="s">
        <v>166</v>
      </c>
      <c r="M39" t="str">
        <f>IF('[1]Cleaned Text Field'!M39="","Unknown",'[1]Cleaned Text Field'!M39)</f>
        <v>Standard Class</v>
      </c>
      <c r="N39">
        <f>IF('[1]Cleaned Text Field'!N39="",0,'[1]Cleaned Text Field'!N39)</f>
        <v>4</v>
      </c>
      <c r="O39">
        <v>1327.54</v>
      </c>
      <c r="P39" s="5">
        <f>IF('[1]Cleaned Text Field'!P39="",0,'[1]Cleaned Text Field'!P39)</f>
        <v>0.2</v>
      </c>
      <c r="Q39">
        <v>4248.13</v>
      </c>
      <c r="R39">
        <v>3321.09</v>
      </c>
      <c r="S39">
        <v>927.04</v>
      </c>
      <c r="T39" t="str">
        <f>PROPER(TRIM([1]raw_orders!T39))</f>
        <v>Paid</v>
      </c>
      <c r="U39" t="str">
        <f>PROPER(TRIM([1]raw_orders!U39))</f>
        <v>Completed</v>
      </c>
      <c r="V39" s="6">
        <f t="shared" si="0"/>
        <v>0.21822307697739945</v>
      </c>
      <c r="W39" t="str">
        <f t="shared" si="1"/>
        <v>July</v>
      </c>
      <c r="X39">
        <f t="shared" si="2"/>
        <v>2025</v>
      </c>
      <c r="Y39">
        <f t="shared" si="3"/>
        <v>0</v>
      </c>
      <c r="Z39" s="7">
        <f t="shared" si="4"/>
        <v>0.2</v>
      </c>
      <c r="AA39">
        <f t="shared" si="5"/>
        <v>4248.1279999999997</v>
      </c>
      <c r="AB39">
        <f t="shared" si="6"/>
        <v>927.04</v>
      </c>
      <c r="AC39" t="str">
        <f t="shared" si="7"/>
        <v>Clean</v>
      </c>
    </row>
    <row r="40" spans="1:29">
      <c r="A40" t="s">
        <v>167</v>
      </c>
      <c r="B40" s="4">
        <v>45460</v>
      </c>
      <c r="C40" s="4">
        <v>45465</v>
      </c>
      <c r="D40" t="s">
        <v>168</v>
      </c>
      <c r="E40" t="str">
        <f>PROPER(TRIM([1]raw_orders!E40))</f>
        <v>Aarav Sharma</v>
      </c>
      <c r="F40" t="str">
        <f>PROPER(TRIM([1]raw_orders!F40))</f>
        <v>Corporate</v>
      </c>
      <c r="G40" t="str">
        <f>IF('[1]Cleaned Text Field'!G40="","Unknown",'[1]Cleaned Text Field'!G40)</f>
        <v>West</v>
      </c>
      <c r="H40" t="str">
        <f>PROPER(TRIM([1]raw_orders!H40))</f>
        <v>Gujarat</v>
      </c>
      <c r="I40" t="str">
        <f>PROPER(TRIM([1]raw_orders!I40))</f>
        <v>Ahmedabad</v>
      </c>
      <c r="J40" t="str">
        <f>PROPER(TRIM([1]raw_orders!J40))</f>
        <v>Technology</v>
      </c>
      <c r="K40" t="str">
        <f>PROPER(TRIM([1]raw_orders!K40))</f>
        <v>Phones</v>
      </c>
      <c r="L40" t="s">
        <v>169</v>
      </c>
      <c r="M40" t="str">
        <f>IF('[1]Cleaned Text Field'!M40="","Unknown",'[1]Cleaned Text Field'!M40)</f>
        <v>First Class</v>
      </c>
      <c r="N40">
        <f>IF('[1]Cleaned Text Field'!N40="",0,'[1]Cleaned Text Field'!N40)</f>
        <v>7</v>
      </c>
      <c r="O40">
        <v>2210.6799999999998</v>
      </c>
      <c r="P40" s="5">
        <f>IF('[1]Cleaned Text Field'!P40="",0,'[1]Cleaned Text Field'!P40)</f>
        <v>0.1</v>
      </c>
      <c r="Q40">
        <v>13927.28</v>
      </c>
      <c r="R40">
        <v>10504.87</v>
      </c>
      <c r="S40">
        <v>3422.41</v>
      </c>
      <c r="T40" t="str">
        <f>PROPER(TRIM([1]raw_orders!T40))</f>
        <v>Paid</v>
      </c>
      <c r="U40" t="str">
        <f>PROPER(TRIM([1]raw_orders!U40))</f>
        <v>Completed</v>
      </c>
      <c r="V40" s="6">
        <f t="shared" si="0"/>
        <v>0.24573427115703853</v>
      </c>
      <c r="W40" t="str">
        <f t="shared" si="1"/>
        <v>June</v>
      </c>
      <c r="X40">
        <f t="shared" si="2"/>
        <v>2024</v>
      </c>
      <c r="Y40">
        <f t="shared" si="3"/>
        <v>5</v>
      </c>
      <c r="Z40" s="7">
        <f t="shared" si="4"/>
        <v>0.1</v>
      </c>
      <c r="AA40">
        <f t="shared" si="5"/>
        <v>13927.284</v>
      </c>
      <c r="AB40">
        <f t="shared" si="6"/>
        <v>3422.41</v>
      </c>
      <c r="AC40" t="str">
        <f t="shared" si="7"/>
        <v>Clean</v>
      </c>
    </row>
    <row r="41" spans="1:29">
      <c r="A41" t="s">
        <v>170</v>
      </c>
      <c r="B41" s="4">
        <v>45637</v>
      </c>
      <c r="C41" s="4">
        <v>45637</v>
      </c>
      <c r="D41" t="s">
        <v>171</v>
      </c>
      <c r="E41" t="str">
        <f>PROPER(TRIM([1]raw_orders!E41))</f>
        <v>Mira Das</v>
      </c>
      <c r="F41" t="str">
        <f>PROPER(TRIM([1]raw_orders!F41))</f>
        <v>Small Business</v>
      </c>
      <c r="G41" t="str">
        <f>IF('[1]Cleaned Text Field'!G41="","Unknown",'[1]Cleaned Text Field'!G41)</f>
        <v>West</v>
      </c>
      <c r="H41" t="str">
        <f>PROPER(TRIM([1]raw_orders!H41))</f>
        <v>Madhya Pradesh</v>
      </c>
      <c r="I41" t="str">
        <f>PROPER(TRIM([1]raw_orders!I41))</f>
        <v>Indore</v>
      </c>
      <c r="J41" t="str">
        <f>PROPER(TRIM([1]raw_orders!J41))</f>
        <v>Technology</v>
      </c>
      <c r="K41" t="str">
        <f>PROPER(TRIM([1]raw_orders!K41))</f>
        <v>Copiers</v>
      </c>
      <c r="L41" t="s">
        <v>172</v>
      </c>
      <c r="M41" t="str">
        <f>IF('[1]Cleaned Text Field'!M41="","Unknown",'[1]Cleaned Text Field'!M41)</f>
        <v>First Class</v>
      </c>
      <c r="N41">
        <f>IF('[1]Cleaned Text Field'!N41="",0,'[1]Cleaned Text Field'!N41)</f>
        <v>4</v>
      </c>
      <c r="O41">
        <v>1370.92</v>
      </c>
      <c r="P41" s="5">
        <f>IF('[1]Cleaned Text Field'!P41="",0,'[1]Cleaned Text Field'!P41)</f>
        <v>0.1</v>
      </c>
      <c r="Q41">
        <v>4935.3100000000004</v>
      </c>
      <c r="R41">
        <v>3374.77</v>
      </c>
      <c r="S41">
        <v>1560.54</v>
      </c>
      <c r="T41" t="str">
        <f>PROPER(TRIM([1]raw_orders!T41))</f>
        <v>Pending</v>
      </c>
      <c r="U41" t="str">
        <f>PROPER(TRIM([1]raw_orders!U41))</f>
        <v>Returned</v>
      </c>
      <c r="V41" s="6">
        <f t="shared" si="0"/>
        <v>0.31619898243474065</v>
      </c>
      <c r="W41" t="str">
        <f t="shared" si="1"/>
        <v>December</v>
      </c>
      <c r="X41">
        <f t="shared" si="2"/>
        <v>2024</v>
      </c>
      <c r="Y41">
        <f t="shared" si="3"/>
        <v>0</v>
      </c>
      <c r="Z41" s="7">
        <f t="shared" si="4"/>
        <v>0.1</v>
      </c>
      <c r="AA41">
        <f t="shared" si="5"/>
        <v>4935.3120000000008</v>
      </c>
      <c r="AB41">
        <f t="shared" si="6"/>
        <v>1560.5400000000004</v>
      </c>
      <c r="AC41" t="str">
        <f t="shared" si="7"/>
        <v>Clean</v>
      </c>
    </row>
    <row r="42" spans="1:29">
      <c r="A42" t="s">
        <v>173</v>
      </c>
      <c r="B42" s="4">
        <v>45575</v>
      </c>
      <c r="C42" s="4">
        <v>45581</v>
      </c>
      <c r="D42" t="s">
        <v>174</v>
      </c>
      <c r="E42" t="str">
        <f>PROPER(TRIM([1]raw_orders!E42))</f>
        <v>Isha Nair</v>
      </c>
      <c r="F42" t="str">
        <f>PROPER(TRIM([1]raw_orders!F42))</f>
        <v>Home Office</v>
      </c>
      <c r="G42" t="str">
        <f>IF('[1]Cleaned Text Field'!G42="","Unknown",'[1]Cleaned Text Field'!G42)</f>
        <v>West</v>
      </c>
      <c r="H42" t="str">
        <f>PROPER(TRIM([1]raw_orders!H42))</f>
        <v>Rajasthan</v>
      </c>
      <c r="I42" t="str">
        <f>PROPER(TRIM([1]raw_orders!I42))</f>
        <v>Udaipur</v>
      </c>
      <c r="J42" t="str">
        <f>PROPER(TRIM([1]raw_orders!J42))</f>
        <v>Technology</v>
      </c>
      <c r="K42" t="str">
        <f>PROPER(TRIM([1]raw_orders!K42))</f>
        <v>Copiers</v>
      </c>
      <c r="L42" t="s">
        <v>175</v>
      </c>
      <c r="M42" t="str">
        <f>IF('[1]Cleaned Text Field'!M42="","Unknown",'[1]Cleaned Text Field'!M42)</f>
        <v>Standard Class</v>
      </c>
      <c r="N42">
        <f>IF('[1]Cleaned Text Field'!N42="",0,'[1]Cleaned Text Field'!N42)</f>
        <v>7</v>
      </c>
      <c r="O42">
        <v>2509.27</v>
      </c>
      <c r="P42" s="5">
        <f>IF('[1]Cleaned Text Field'!P42="",0,'[1]Cleaned Text Field'!P42)</f>
        <v>0.2</v>
      </c>
      <c r="Q42">
        <v>14051.91</v>
      </c>
      <c r="R42">
        <v>11990.37</v>
      </c>
      <c r="S42">
        <v>2061.54</v>
      </c>
      <c r="T42" t="str">
        <f>PROPER(TRIM([1]raw_orders!T42))</f>
        <v>Paid</v>
      </c>
      <c r="U42" t="str">
        <f>PROPER(TRIM([1]raw_orders!U42))</f>
        <v>Completed</v>
      </c>
      <c r="V42" s="6">
        <f t="shared" si="0"/>
        <v>0.14670888156841311</v>
      </c>
      <c r="W42" t="str">
        <f t="shared" si="1"/>
        <v>October</v>
      </c>
      <c r="X42">
        <f t="shared" si="2"/>
        <v>2024</v>
      </c>
      <c r="Y42">
        <f t="shared" si="3"/>
        <v>6</v>
      </c>
      <c r="Z42" s="7">
        <f t="shared" si="4"/>
        <v>0.2</v>
      </c>
      <c r="AA42">
        <f t="shared" si="5"/>
        <v>14051.912</v>
      </c>
      <c r="AB42">
        <f t="shared" si="6"/>
        <v>2061.5399999999991</v>
      </c>
      <c r="AC42" t="str">
        <f t="shared" si="7"/>
        <v>Clean</v>
      </c>
    </row>
    <row r="43" spans="1:29">
      <c r="A43" t="s">
        <v>176</v>
      </c>
      <c r="B43" s="4">
        <v>45363</v>
      </c>
      <c r="C43" s="4">
        <v>45368</v>
      </c>
      <c r="D43" t="s">
        <v>177</v>
      </c>
      <c r="E43" t="str">
        <f>PROPER(TRIM([1]raw_orders!E43))</f>
        <v>Aarav Sharma</v>
      </c>
      <c r="F43" t="str">
        <f>PROPER(TRIM([1]raw_orders!F43))</f>
        <v>Small Business</v>
      </c>
      <c r="G43" t="str">
        <f>IF('[1]Cleaned Text Field'!G43="","Unknown",'[1]Cleaned Text Field'!G43)</f>
        <v>East</v>
      </c>
      <c r="H43" t="str">
        <f>PROPER(TRIM([1]raw_orders!H43))</f>
        <v>Odisha</v>
      </c>
      <c r="I43" t="str">
        <f>PROPER(TRIM([1]raw_orders!I43))</f>
        <v>Bhubaneswar</v>
      </c>
      <c r="J43" t="str">
        <f>PROPER(TRIM([1]raw_orders!J43))</f>
        <v>Furniture</v>
      </c>
      <c r="K43" t="str">
        <f>PROPER(TRIM([1]raw_orders!K43))</f>
        <v>Bookcases</v>
      </c>
      <c r="L43" t="s">
        <v>178</v>
      </c>
      <c r="M43" t="str">
        <f>IF('[1]Cleaned Text Field'!M43="","Unknown",'[1]Cleaned Text Field'!M43)</f>
        <v>Same Day</v>
      </c>
      <c r="N43">
        <f>IF('[1]Cleaned Text Field'!N43="",0,'[1]Cleaned Text Field'!N43)</f>
        <v>8</v>
      </c>
      <c r="O43">
        <v>855.81</v>
      </c>
      <c r="P43" s="5">
        <f>IF('[1]Cleaned Text Field'!P43="",0,'[1]Cleaned Text Field'!P43)</f>
        <v>0</v>
      </c>
      <c r="Q43">
        <v>6846.48</v>
      </c>
      <c r="R43">
        <v>4239.8900000000003</v>
      </c>
      <c r="S43">
        <v>2606.59</v>
      </c>
      <c r="T43" t="str">
        <f>PROPER(TRIM([1]raw_orders!T43))</f>
        <v>Pending</v>
      </c>
      <c r="U43" t="str">
        <f>PROPER(TRIM([1]raw_orders!U43))</f>
        <v>Cancelled</v>
      </c>
      <c r="V43" s="6">
        <f t="shared" si="0"/>
        <v>0.38071972750961081</v>
      </c>
      <c r="W43" t="str">
        <f t="shared" si="1"/>
        <v>March</v>
      </c>
      <c r="X43">
        <f t="shared" si="2"/>
        <v>2024</v>
      </c>
      <c r="Y43">
        <f t="shared" si="3"/>
        <v>5</v>
      </c>
      <c r="Z43" s="7">
        <f t="shared" si="4"/>
        <v>0</v>
      </c>
      <c r="AA43">
        <f t="shared" si="5"/>
        <v>6846.48</v>
      </c>
      <c r="AB43">
        <f t="shared" si="6"/>
        <v>2606.5899999999992</v>
      </c>
      <c r="AC43" t="str">
        <f t="shared" si="7"/>
        <v>Clean</v>
      </c>
    </row>
    <row r="44" spans="1:29">
      <c r="A44" t="s">
        <v>179</v>
      </c>
      <c r="B44" s="4">
        <v>45940</v>
      </c>
      <c r="C44" s="4">
        <v>45945</v>
      </c>
      <c r="D44" t="s">
        <v>180</v>
      </c>
      <c r="E44" t="str">
        <f>PROPER(TRIM([1]raw_orders!E44))</f>
        <v>Arjun Bose</v>
      </c>
      <c r="F44" t="str">
        <f>PROPER(TRIM([1]raw_orders!F44))</f>
        <v>Corporate</v>
      </c>
      <c r="G44" t="str">
        <f>IF('[1]Cleaned Text Field'!G44="","Unknown",'[1]Cleaned Text Field'!G44)</f>
        <v>East</v>
      </c>
      <c r="H44" t="str">
        <f>PROPER(TRIM([1]raw_orders!H44))</f>
        <v>Jharkhand</v>
      </c>
      <c r="I44" t="str">
        <f>PROPER(TRIM([1]raw_orders!I44))</f>
        <v>Ranchi</v>
      </c>
      <c r="J44" t="str">
        <f>PROPER(TRIM([1]raw_orders!J44))</f>
        <v>Technology</v>
      </c>
      <c r="K44" t="str">
        <f>PROPER(TRIM([1]raw_orders!K44))</f>
        <v>Phones</v>
      </c>
      <c r="L44" t="s">
        <v>181</v>
      </c>
      <c r="M44" t="str">
        <f>IF('[1]Cleaned Text Field'!M44="","Unknown",'[1]Cleaned Text Field'!M44)</f>
        <v>Standard Class</v>
      </c>
      <c r="N44">
        <f>IF('[1]Cleaned Text Field'!N44="",0,'[1]Cleaned Text Field'!N44)</f>
        <v>8</v>
      </c>
      <c r="O44">
        <v>979.87</v>
      </c>
      <c r="P44" s="5">
        <f>IF('[1]Cleaned Text Field'!P44="",0,'[1]Cleaned Text Field'!P44)</f>
        <v>0.05</v>
      </c>
      <c r="Q44">
        <v>7447.01</v>
      </c>
      <c r="R44">
        <v>4496.22</v>
      </c>
      <c r="S44">
        <v>2950.79</v>
      </c>
      <c r="T44" t="str">
        <f>PROPER(TRIM([1]raw_orders!T44))</f>
        <v>Paid</v>
      </c>
      <c r="U44" t="str">
        <f>PROPER(TRIM([1]raw_orders!U44))</f>
        <v>Completed</v>
      </c>
      <c r="V44" s="6">
        <f t="shared" si="0"/>
        <v>0.39623822178297058</v>
      </c>
      <c r="W44" t="str">
        <f t="shared" si="1"/>
        <v>October</v>
      </c>
      <c r="X44">
        <f t="shared" si="2"/>
        <v>2025</v>
      </c>
      <c r="Y44">
        <f t="shared" si="3"/>
        <v>5</v>
      </c>
      <c r="Z44" s="7">
        <f t="shared" si="4"/>
        <v>0.05</v>
      </c>
      <c r="AA44">
        <f t="shared" si="5"/>
        <v>7447.0119999999997</v>
      </c>
      <c r="AB44">
        <f t="shared" si="6"/>
        <v>2950.79</v>
      </c>
      <c r="AC44" t="str">
        <f t="shared" si="7"/>
        <v>Clean</v>
      </c>
    </row>
    <row r="45" spans="1:29">
      <c r="A45" t="s">
        <v>182</v>
      </c>
      <c r="B45" s="4">
        <v>45481</v>
      </c>
      <c r="C45" s="4">
        <v>45487</v>
      </c>
      <c r="D45" t="s">
        <v>183</v>
      </c>
      <c r="E45" t="str">
        <f>PROPER(TRIM([1]raw_orders!E45))</f>
        <v>Priya Menon</v>
      </c>
      <c r="F45" t="str">
        <f>PROPER(TRIM([1]raw_orders!F45))</f>
        <v>Small Business</v>
      </c>
      <c r="G45" t="str">
        <f>IF('[1]Cleaned Text Field'!G45="","Unknown",'[1]Cleaned Text Field'!G45)</f>
        <v>East</v>
      </c>
      <c r="H45" t="str">
        <f>PROPER(TRIM([1]raw_orders!H45))</f>
        <v>Odisha</v>
      </c>
      <c r="I45" t="str">
        <f>PROPER(TRIM([1]raw_orders!I45))</f>
        <v>Bhubaneswar</v>
      </c>
      <c r="J45" t="str">
        <f>PROPER(TRIM([1]raw_orders!J45))</f>
        <v>Furniture</v>
      </c>
      <c r="K45" t="str">
        <f>PROPER(TRIM([1]raw_orders!K45))</f>
        <v>Furnishings</v>
      </c>
      <c r="L45" t="s">
        <v>184</v>
      </c>
      <c r="M45" t="str">
        <f>IF('[1]Cleaned Text Field'!M45="","Unknown",'[1]Cleaned Text Field'!M45)</f>
        <v>Same Day</v>
      </c>
      <c r="N45">
        <f>IF('[1]Cleaned Text Field'!N45="",0,'[1]Cleaned Text Field'!N45)</f>
        <v>3</v>
      </c>
      <c r="O45">
        <v>1010.23</v>
      </c>
      <c r="P45" s="5">
        <f>IF('[1]Cleaned Text Field'!P45="",0,'[1]Cleaned Text Field'!P45)</f>
        <v>0</v>
      </c>
      <c r="Q45">
        <v>3030.69</v>
      </c>
      <c r="R45">
        <v>1721.08</v>
      </c>
      <c r="S45">
        <v>1309.6099999999999</v>
      </c>
      <c r="T45" t="str">
        <f>PROPER(TRIM([1]raw_orders!T45))</f>
        <v>Paid</v>
      </c>
      <c r="U45" t="str">
        <f>PROPER(TRIM([1]raw_orders!U45))</f>
        <v>Completed</v>
      </c>
      <c r="V45" s="6">
        <f t="shared" si="0"/>
        <v>0.43211611877163281</v>
      </c>
      <c r="W45" t="str">
        <f t="shared" si="1"/>
        <v>July</v>
      </c>
      <c r="X45">
        <f t="shared" si="2"/>
        <v>2024</v>
      </c>
      <c r="Y45">
        <f t="shared" si="3"/>
        <v>6</v>
      </c>
      <c r="Z45" s="7">
        <f t="shared" si="4"/>
        <v>0</v>
      </c>
      <c r="AA45">
        <f t="shared" si="5"/>
        <v>3030.69</v>
      </c>
      <c r="AB45">
        <f t="shared" si="6"/>
        <v>1309.6100000000001</v>
      </c>
      <c r="AC45" t="str">
        <f t="shared" si="7"/>
        <v>Clean</v>
      </c>
    </row>
    <row r="46" spans="1:29">
      <c r="A46" t="s">
        <v>185</v>
      </c>
      <c r="B46" s="4">
        <v>45465</v>
      </c>
      <c r="C46" s="4">
        <v>45468</v>
      </c>
      <c r="D46" t="s">
        <v>186</v>
      </c>
      <c r="E46" t="str">
        <f>PROPER(TRIM([1]raw_orders!E46))</f>
        <v>Rohan Mehta</v>
      </c>
      <c r="F46" t="str">
        <f>PROPER(TRIM([1]raw_orders!F46))</f>
        <v>Small Business</v>
      </c>
      <c r="G46" t="str">
        <f>IF('[1]Cleaned Text Field'!G46="","Unknown",'[1]Cleaned Text Field'!G46)</f>
        <v>North</v>
      </c>
      <c r="H46" t="str">
        <f>PROPER(TRIM([1]raw_orders!H46))</f>
        <v>Haryana</v>
      </c>
      <c r="I46" t="str">
        <f>PROPER(TRIM([1]raw_orders!I46))</f>
        <v>Gurugram</v>
      </c>
      <c r="J46" t="str">
        <f>PROPER(TRIM([1]raw_orders!J46))</f>
        <v>Furniture</v>
      </c>
      <c r="K46" t="str">
        <f>PROPER(TRIM([1]raw_orders!K46))</f>
        <v>Chairs</v>
      </c>
      <c r="L46" t="s">
        <v>187</v>
      </c>
      <c r="M46" t="str">
        <f>IF('[1]Cleaned Text Field'!M46="","Unknown",'[1]Cleaned Text Field'!M46)</f>
        <v>Standard Class</v>
      </c>
      <c r="N46">
        <f>IF('[1]Cleaned Text Field'!N46="",0,'[1]Cleaned Text Field'!N46)</f>
        <v>9</v>
      </c>
      <c r="O46">
        <v>3329.77</v>
      </c>
      <c r="P46" s="5">
        <f>IF('[1]Cleaned Text Field'!P46="",0,'[1]Cleaned Text Field'!P46)</f>
        <v>0.1</v>
      </c>
      <c r="Q46">
        <v>26971.14</v>
      </c>
      <c r="R46">
        <v>17376.2</v>
      </c>
      <c r="S46">
        <v>9594.94</v>
      </c>
      <c r="T46" t="str">
        <f>PROPER(TRIM([1]raw_orders!T46))</f>
        <v>Paid</v>
      </c>
      <c r="U46" t="str">
        <f>PROPER(TRIM([1]raw_orders!U46))</f>
        <v>Completed</v>
      </c>
      <c r="V46" s="6">
        <f t="shared" si="0"/>
        <v>0.35574840366406463</v>
      </c>
      <c r="W46" t="str">
        <f t="shared" si="1"/>
        <v>June</v>
      </c>
      <c r="X46">
        <f t="shared" si="2"/>
        <v>2024</v>
      </c>
      <c r="Y46">
        <f t="shared" si="3"/>
        <v>3</v>
      </c>
      <c r="Z46" s="7">
        <f t="shared" si="4"/>
        <v>0.1</v>
      </c>
      <c r="AA46">
        <f t="shared" si="5"/>
        <v>26971.137000000002</v>
      </c>
      <c r="AB46">
        <f t="shared" si="6"/>
        <v>9594.9399999999987</v>
      </c>
      <c r="AC46" t="str">
        <f t="shared" si="7"/>
        <v>Clean</v>
      </c>
    </row>
    <row r="47" spans="1:29">
      <c r="A47" t="s">
        <v>188</v>
      </c>
      <c r="B47" s="4">
        <v>45309</v>
      </c>
      <c r="C47" s="4">
        <v>45315</v>
      </c>
      <c r="D47" t="s">
        <v>189</v>
      </c>
      <c r="E47" t="str">
        <f>PROPER(TRIM([1]raw_orders!E47))</f>
        <v>Isha Nair</v>
      </c>
      <c r="F47" t="str">
        <f>PROPER(TRIM([1]raw_orders!F47))</f>
        <v>Home Office</v>
      </c>
      <c r="G47" t="str">
        <f>IF('[1]Cleaned Text Field'!G47="","Unknown",'[1]Cleaned Text Field'!G47)</f>
        <v>East</v>
      </c>
      <c r="H47" t="str">
        <f>PROPER(TRIM([1]raw_orders!H47))</f>
        <v>Bihar</v>
      </c>
      <c r="I47" t="str">
        <f>PROPER(TRIM([1]raw_orders!I47))</f>
        <v>Patna</v>
      </c>
      <c r="J47" t="str">
        <f>PROPER(TRIM([1]raw_orders!J47))</f>
        <v>Office Supplies</v>
      </c>
      <c r="K47" t="str">
        <f>PROPER(TRIM([1]raw_orders!K47))</f>
        <v>Art</v>
      </c>
      <c r="L47" t="s">
        <v>190</v>
      </c>
      <c r="M47" t="str">
        <f>IF('[1]Cleaned Text Field'!M47="","Unknown",'[1]Cleaned Text Field'!M47)</f>
        <v>Second Class</v>
      </c>
      <c r="N47">
        <f>IF('[1]Cleaned Text Field'!N47="",0,'[1]Cleaned Text Field'!N47)</f>
        <v>8</v>
      </c>
      <c r="O47">
        <v>3927.82</v>
      </c>
      <c r="P47" s="5">
        <f>IF('[1]Cleaned Text Field'!P47="",0,'[1]Cleaned Text Field'!P47)</f>
        <v>0.05</v>
      </c>
      <c r="Q47">
        <v>29851.43</v>
      </c>
      <c r="R47">
        <v>17487.48</v>
      </c>
      <c r="S47">
        <v>12363.95</v>
      </c>
      <c r="T47" t="str">
        <f>PROPER(TRIM([1]raw_orders!T47))</f>
        <v>Pending</v>
      </c>
      <c r="U47" t="str">
        <f>PROPER(TRIM([1]raw_orders!U47))</f>
        <v>Returned</v>
      </c>
      <c r="V47" s="6">
        <f t="shared" si="0"/>
        <v>0.41418283814209239</v>
      </c>
      <c r="W47" t="str">
        <f t="shared" si="1"/>
        <v>January</v>
      </c>
      <c r="X47">
        <f t="shared" si="2"/>
        <v>2024</v>
      </c>
      <c r="Y47">
        <f t="shared" si="3"/>
        <v>6</v>
      </c>
      <c r="Z47" s="7">
        <f t="shared" si="4"/>
        <v>0.05</v>
      </c>
      <c r="AA47">
        <f t="shared" si="5"/>
        <v>29851.432000000001</v>
      </c>
      <c r="AB47">
        <f t="shared" si="6"/>
        <v>12363.95</v>
      </c>
      <c r="AC47" t="str">
        <f t="shared" si="7"/>
        <v>Clean</v>
      </c>
    </row>
    <row r="48" spans="1:29">
      <c r="A48" t="s">
        <v>191</v>
      </c>
      <c r="B48" s="4">
        <v>45492</v>
      </c>
      <c r="C48" s="4">
        <v>45492</v>
      </c>
      <c r="D48" t="s">
        <v>192</v>
      </c>
      <c r="E48" t="str">
        <f>PROPER(TRIM([1]raw_orders!E48))</f>
        <v>Ananya Rao</v>
      </c>
      <c r="F48" t="str">
        <f>PROPER(TRIM([1]raw_orders!F48))</f>
        <v>Small Business</v>
      </c>
      <c r="G48" t="str">
        <f>IF('[1]Cleaned Text Field'!G48="","Unknown",'[1]Cleaned Text Field'!G48)</f>
        <v>South</v>
      </c>
      <c r="H48" t="str">
        <f>PROPER(TRIM([1]raw_orders!H48))</f>
        <v>Kerala</v>
      </c>
      <c r="I48" t="str">
        <f>PROPER(TRIM([1]raw_orders!I48))</f>
        <v>Kochi</v>
      </c>
      <c r="J48" t="str">
        <f>PROPER(TRIM([1]raw_orders!J48))</f>
        <v>Furniture</v>
      </c>
      <c r="K48" t="str">
        <f>PROPER(TRIM([1]raw_orders!K48))</f>
        <v>Bookcases</v>
      </c>
      <c r="L48" t="s">
        <v>193</v>
      </c>
      <c r="M48" t="str">
        <f>IF('[1]Cleaned Text Field'!M48="","Unknown",'[1]Cleaned Text Field'!M48)</f>
        <v>Standard Class</v>
      </c>
      <c r="N48">
        <f>IF('[1]Cleaned Text Field'!N48="",0,'[1]Cleaned Text Field'!N48)</f>
        <v>9</v>
      </c>
      <c r="O48">
        <v>2386.79</v>
      </c>
      <c r="P48" s="5">
        <f>IF('[1]Cleaned Text Field'!P48="",0,'[1]Cleaned Text Field'!P48)</f>
        <v>0.25</v>
      </c>
      <c r="Q48">
        <v>16110.83</v>
      </c>
      <c r="R48">
        <v>10680.03</v>
      </c>
      <c r="S48">
        <v>5430.8</v>
      </c>
      <c r="T48" t="str">
        <f>PROPER(TRIM([1]raw_orders!T48))</f>
        <v>Refunded</v>
      </c>
      <c r="U48" t="str">
        <f>PROPER(TRIM([1]raw_orders!U48))</f>
        <v>Returned</v>
      </c>
      <c r="V48" s="6">
        <f t="shared" si="0"/>
        <v>0.33709001957068629</v>
      </c>
      <c r="W48" t="str">
        <f t="shared" si="1"/>
        <v>July</v>
      </c>
      <c r="X48">
        <f t="shared" si="2"/>
        <v>2024</v>
      </c>
      <c r="Y48">
        <f t="shared" si="3"/>
        <v>0</v>
      </c>
      <c r="Z48" s="7">
        <f t="shared" si="4"/>
        <v>0.25</v>
      </c>
      <c r="AA48">
        <f t="shared" si="5"/>
        <v>16110.8325</v>
      </c>
      <c r="AB48">
        <f t="shared" si="6"/>
        <v>5430.7999999999993</v>
      </c>
      <c r="AC48" t="str">
        <f t="shared" si="7"/>
        <v>Clean</v>
      </c>
    </row>
    <row r="49" spans="1:29">
      <c r="A49" t="s">
        <v>194</v>
      </c>
      <c r="B49" s="4">
        <v>45634</v>
      </c>
      <c r="C49" s="4">
        <v>45516</v>
      </c>
      <c r="D49" t="s">
        <v>195</v>
      </c>
      <c r="E49" t="str">
        <f>PROPER(TRIM([1]raw_orders!E49))</f>
        <v>Rahul Verma</v>
      </c>
      <c r="F49" t="str">
        <f>PROPER(TRIM([1]raw_orders!F49))</f>
        <v>Corporate</v>
      </c>
      <c r="G49" t="str">
        <f>IF('[1]Cleaned Text Field'!G49="","Unknown",'[1]Cleaned Text Field'!G49)</f>
        <v>South</v>
      </c>
      <c r="H49" t="str">
        <f>PROPER(TRIM([1]raw_orders!H49))</f>
        <v>Tamil Nadu</v>
      </c>
      <c r="I49" t="str">
        <f>PROPER(TRIM([1]raw_orders!I49))</f>
        <v>Chennai</v>
      </c>
      <c r="J49" t="str">
        <f>PROPER(TRIM([1]raw_orders!J49))</f>
        <v>Office Supplies</v>
      </c>
      <c r="K49" t="str">
        <f>PROPER(TRIM([1]raw_orders!K49))</f>
        <v>Storage</v>
      </c>
      <c r="L49" t="s">
        <v>196</v>
      </c>
      <c r="M49" t="str">
        <f>IF('[1]Cleaned Text Field'!M49="","Unknown",'[1]Cleaned Text Field'!M49)</f>
        <v>Standard Class</v>
      </c>
      <c r="N49">
        <f>IF('[1]Cleaned Text Field'!N49="",0,'[1]Cleaned Text Field'!N49)</f>
        <v>8</v>
      </c>
      <c r="O49">
        <v>2445.31</v>
      </c>
      <c r="P49" s="5">
        <f>IF('[1]Cleaned Text Field'!P49="",0,'[1]Cleaned Text Field'!P49)</f>
        <v>0.1</v>
      </c>
      <c r="Q49">
        <v>17606.23</v>
      </c>
      <c r="R49">
        <v>12438.96</v>
      </c>
      <c r="S49">
        <v>5167.2700000000004</v>
      </c>
      <c r="T49" t="str">
        <f>PROPER(TRIM([1]raw_orders!T49))</f>
        <v>Paid</v>
      </c>
      <c r="U49" t="str">
        <f>PROPER(TRIM([1]raw_orders!U49))</f>
        <v>Completed</v>
      </c>
      <c r="V49" s="6">
        <f t="shared" si="0"/>
        <v>0.29349099722087013</v>
      </c>
      <c r="W49" t="str">
        <f t="shared" si="1"/>
        <v>December</v>
      </c>
      <c r="X49">
        <f t="shared" si="2"/>
        <v>2024</v>
      </c>
      <c r="Y49">
        <f t="shared" si="3"/>
        <v>-118</v>
      </c>
      <c r="Z49" s="7">
        <f t="shared" si="4"/>
        <v>0.1</v>
      </c>
      <c r="AA49">
        <f t="shared" si="5"/>
        <v>17606.232</v>
      </c>
      <c r="AB49">
        <f t="shared" si="6"/>
        <v>5167.2700000000004</v>
      </c>
      <c r="AC49" t="str">
        <f t="shared" si="7"/>
        <v>Warning</v>
      </c>
    </row>
    <row r="50" spans="1:29">
      <c r="A50" t="s">
        <v>197</v>
      </c>
      <c r="B50" s="4">
        <v>45687</v>
      </c>
      <c r="C50" s="4">
        <v>45693</v>
      </c>
      <c r="D50" t="s">
        <v>198</v>
      </c>
      <c r="E50" t="str">
        <f>PROPER(TRIM([1]raw_orders!E50))</f>
        <v>Neha Gupta</v>
      </c>
      <c r="F50" t="str">
        <f>PROPER(TRIM([1]raw_orders!F50))</f>
        <v>Corporate</v>
      </c>
      <c r="G50" t="str">
        <f>IF('[1]Cleaned Text Field'!G50="","Unknown",'[1]Cleaned Text Field'!G50)</f>
        <v>West</v>
      </c>
      <c r="H50" t="str">
        <f>PROPER(TRIM([1]raw_orders!H50))</f>
        <v>Maharashtra</v>
      </c>
      <c r="I50" t="str">
        <f>PROPER(TRIM([1]raw_orders!I50))</f>
        <v>Mumbai</v>
      </c>
      <c r="J50" t="str">
        <f>PROPER(TRIM([1]raw_orders!J50))</f>
        <v>Furniture</v>
      </c>
      <c r="K50" t="str">
        <f>PROPER(TRIM([1]raw_orders!K50))</f>
        <v>Chairs</v>
      </c>
      <c r="L50" t="s">
        <v>199</v>
      </c>
      <c r="M50" t="str">
        <f>IF('[1]Cleaned Text Field'!M50="","Unknown",'[1]Cleaned Text Field'!M50)</f>
        <v>Second Class</v>
      </c>
      <c r="N50">
        <f>IF('[1]Cleaned Text Field'!N50="",0,'[1]Cleaned Text Field'!N50)</f>
        <v>7</v>
      </c>
      <c r="O50">
        <v>4063.66</v>
      </c>
      <c r="P50" s="5">
        <f>IF('[1]Cleaned Text Field'!P50="",0,'[1]Cleaned Text Field'!P50)</f>
        <v>0</v>
      </c>
      <c r="Q50">
        <v>28445.62</v>
      </c>
      <c r="R50">
        <v>20938.59</v>
      </c>
      <c r="S50">
        <v>7507.03</v>
      </c>
      <c r="T50" t="str">
        <f>PROPER(TRIM([1]raw_orders!T50))</f>
        <v>Paid</v>
      </c>
      <c r="U50" t="str">
        <f>PROPER(TRIM([1]raw_orders!U50))</f>
        <v>Completed</v>
      </c>
      <c r="V50" s="6">
        <f t="shared" si="0"/>
        <v>0.26390811660986824</v>
      </c>
      <c r="W50" t="str">
        <f t="shared" si="1"/>
        <v>January</v>
      </c>
      <c r="X50">
        <f t="shared" si="2"/>
        <v>2025</v>
      </c>
      <c r="Y50">
        <f t="shared" si="3"/>
        <v>6</v>
      </c>
      <c r="Z50" s="7">
        <f t="shared" si="4"/>
        <v>0</v>
      </c>
      <c r="AA50">
        <f t="shared" si="5"/>
        <v>28445.62</v>
      </c>
      <c r="AB50">
        <f t="shared" si="6"/>
        <v>7507.0299999999988</v>
      </c>
      <c r="AC50" t="str">
        <f t="shared" si="7"/>
        <v>Clean</v>
      </c>
    </row>
    <row r="51" spans="1:29">
      <c r="A51" t="s">
        <v>200</v>
      </c>
      <c r="B51" s="4">
        <v>45388</v>
      </c>
      <c r="C51" s="4">
        <v>45395</v>
      </c>
      <c r="D51" t="s">
        <v>201</v>
      </c>
      <c r="E51" t="str">
        <f>PROPER(TRIM([1]raw_orders!E51))</f>
        <v>Aarav Sharma</v>
      </c>
      <c r="F51" t="str">
        <f>PROPER(TRIM([1]raw_orders!F51))</f>
        <v>Home Office</v>
      </c>
      <c r="G51" t="str">
        <f>IF('[1]Cleaned Text Field'!G51="","Unknown",'[1]Cleaned Text Field'!G51)</f>
        <v>North</v>
      </c>
      <c r="H51" t="str">
        <f>PROPER(TRIM([1]raw_orders!H51))</f>
        <v>Uttar Pradesh</v>
      </c>
      <c r="I51" t="str">
        <f>PROPER(TRIM([1]raw_orders!I51))</f>
        <v>Noida</v>
      </c>
      <c r="J51" t="str">
        <f>PROPER(TRIM([1]raw_orders!J51))</f>
        <v>Technology</v>
      </c>
      <c r="K51" t="str">
        <f>PROPER(TRIM([1]raw_orders!K51))</f>
        <v>Copiers</v>
      </c>
      <c r="L51" t="s">
        <v>202</v>
      </c>
      <c r="M51" t="str">
        <f>IF('[1]Cleaned Text Field'!M51="","Unknown",'[1]Cleaned Text Field'!M51)</f>
        <v>Second Class</v>
      </c>
      <c r="N51">
        <f>IF('[1]Cleaned Text Field'!N51="",0,'[1]Cleaned Text Field'!N51)</f>
        <v>9</v>
      </c>
      <c r="O51">
        <v>792.11</v>
      </c>
      <c r="P51" s="5">
        <f>IF('[1]Cleaned Text Field'!P51="",0,'[1]Cleaned Text Field'!P51)</f>
        <v>0.05</v>
      </c>
      <c r="Q51">
        <v>6772.54</v>
      </c>
      <c r="R51">
        <v>5755.46</v>
      </c>
      <c r="S51">
        <v>1017.08</v>
      </c>
      <c r="T51" t="str">
        <f>PROPER(TRIM([1]raw_orders!T51))</f>
        <v>Paid</v>
      </c>
      <c r="U51" t="str">
        <f>PROPER(TRIM([1]raw_orders!U51))</f>
        <v>Completed</v>
      </c>
      <c r="V51" s="6">
        <f t="shared" si="0"/>
        <v>0.15017703845233843</v>
      </c>
      <c r="W51" t="str">
        <f t="shared" si="1"/>
        <v>April</v>
      </c>
      <c r="X51">
        <f t="shared" si="2"/>
        <v>2024</v>
      </c>
      <c r="Y51">
        <f t="shared" si="3"/>
        <v>7</v>
      </c>
      <c r="Z51" s="7">
        <f t="shared" si="4"/>
        <v>0.05</v>
      </c>
      <c r="AA51">
        <f t="shared" si="5"/>
        <v>6772.5404999999992</v>
      </c>
      <c r="AB51">
        <f t="shared" si="6"/>
        <v>1017.0799999999999</v>
      </c>
      <c r="AC51" t="str">
        <f t="shared" si="7"/>
        <v>Clean</v>
      </c>
    </row>
    <row r="52" spans="1:29">
      <c r="A52" t="s">
        <v>203</v>
      </c>
      <c r="B52" s="4">
        <v>45788</v>
      </c>
      <c r="C52" s="4">
        <v>45796</v>
      </c>
      <c r="D52" t="s">
        <v>204</v>
      </c>
      <c r="E52" t="str">
        <f>PROPER(TRIM([1]raw_orders!E52))</f>
        <v>Sneha Kapoor</v>
      </c>
      <c r="F52" t="str">
        <f>PROPER(TRIM([1]raw_orders!F52))</f>
        <v>Consumer</v>
      </c>
      <c r="G52" t="str">
        <f>IF('[1]Cleaned Text Field'!G52="","Unknown",'[1]Cleaned Text Field'!G52)</f>
        <v>East</v>
      </c>
      <c r="H52" t="str">
        <f>PROPER(TRIM([1]raw_orders!H52))</f>
        <v>West Bengal</v>
      </c>
      <c r="I52" t="str">
        <f>PROPER(TRIM([1]raw_orders!I52))</f>
        <v>Kolkata</v>
      </c>
      <c r="J52" t="str">
        <f>PROPER(TRIM([1]raw_orders!J52))</f>
        <v>Technology</v>
      </c>
      <c r="K52" t="str">
        <f>PROPER(TRIM([1]raw_orders!K52))</f>
        <v>Copiers</v>
      </c>
      <c r="L52" t="s">
        <v>205</v>
      </c>
      <c r="M52" t="str">
        <f>IF('[1]Cleaned Text Field'!M52="","Unknown",'[1]Cleaned Text Field'!M52)</f>
        <v>Standard Class</v>
      </c>
      <c r="N52">
        <f>IF('[1]Cleaned Text Field'!N52="",0,'[1]Cleaned Text Field'!N52)</f>
        <v>1</v>
      </c>
      <c r="O52">
        <v>2382.8000000000002</v>
      </c>
      <c r="P52" s="5">
        <f>IF('[1]Cleaned Text Field'!P52="",0,'[1]Cleaned Text Field'!P52)</f>
        <v>0.15</v>
      </c>
      <c r="Q52">
        <v>2025.38</v>
      </c>
      <c r="R52">
        <v>1140.6500000000001</v>
      </c>
      <c r="S52">
        <v>884.73</v>
      </c>
      <c r="T52" t="str">
        <f>PROPER(TRIM([1]raw_orders!T52))</f>
        <v>Paid</v>
      </c>
      <c r="U52" t="str">
        <f>PROPER(TRIM([1]raw_orders!U52))</f>
        <v>Completed</v>
      </c>
      <c r="V52" s="6">
        <f t="shared" si="0"/>
        <v>0.43682173221815163</v>
      </c>
      <c r="W52" t="str">
        <f t="shared" si="1"/>
        <v>May</v>
      </c>
      <c r="X52">
        <f t="shared" si="2"/>
        <v>2025</v>
      </c>
      <c r="Y52">
        <f t="shared" si="3"/>
        <v>8</v>
      </c>
      <c r="Z52" s="7">
        <f t="shared" si="4"/>
        <v>0.15</v>
      </c>
      <c r="AA52">
        <f t="shared" si="5"/>
        <v>2025.38</v>
      </c>
      <c r="AB52">
        <f t="shared" si="6"/>
        <v>884.73</v>
      </c>
      <c r="AC52" t="str">
        <f t="shared" si="7"/>
        <v>Clean</v>
      </c>
    </row>
    <row r="53" spans="1:29">
      <c r="A53" t="s">
        <v>206</v>
      </c>
      <c r="B53" s="4">
        <v>45406</v>
      </c>
      <c r="C53" s="4">
        <v>45411</v>
      </c>
      <c r="D53" t="s">
        <v>207</v>
      </c>
      <c r="E53" t="str">
        <f>PROPER(TRIM([1]raw_orders!E53))</f>
        <v>Ananya Rao</v>
      </c>
      <c r="F53" t="str">
        <f>PROPER(TRIM([1]raw_orders!F53))</f>
        <v>Corporate</v>
      </c>
      <c r="G53" t="str">
        <f>IF('[1]Cleaned Text Field'!G53="","Unknown",'[1]Cleaned Text Field'!G53)</f>
        <v>South</v>
      </c>
      <c r="H53" t="str">
        <f>PROPER(TRIM([1]raw_orders!H53))</f>
        <v>Telangana</v>
      </c>
      <c r="I53" t="str">
        <f>PROPER(TRIM([1]raw_orders!I53))</f>
        <v>Hyderabad</v>
      </c>
      <c r="J53" t="str">
        <f>PROPER(TRIM([1]raw_orders!J53))</f>
        <v>Office Supplies</v>
      </c>
      <c r="K53" t="str">
        <f>PROPER(TRIM([1]raw_orders!K53))</f>
        <v>Art</v>
      </c>
      <c r="L53" t="s">
        <v>208</v>
      </c>
      <c r="M53" t="str">
        <f>IF('[1]Cleaned Text Field'!M53="","Unknown",'[1]Cleaned Text Field'!M53)</f>
        <v>Standard Class</v>
      </c>
      <c r="N53">
        <f>IF('[1]Cleaned Text Field'!N53="",0,'[1]Cleaned Text Field'!N53)</f>
        <v>6</v>
      </c>
      <c r="O53">
        <v>1528.08</v>
      </c>
      <c r="P53" s="5">
        <f>IF('[1]Cleaned Text Field'!P53="",0,'[1]Cleaned Text Field'!P53)</f>
        <v>0</v>
      </c>
      <c r="Q53">
        <v>9168.48</v>
      </c>
      <c r="R53">
        <v>7439.77</v>
      </c>
      <c r="S53">
        <v>1728.71</v>
      </c>
      <c r="T53" t="str">
        <f>PROPER(TRIM([1]raw_orders!T53))</f>
        <v>Paid</v>
      </c>
      <c r="U53" t="str">
        <f>PROPER(TRIM([1]raw_orders!U53))</f>
        <v>Completed</v>
      </c>
      <c r="V53" s="6">
        <f t="shared" si="0"/>
        <v>0.18854924698532363</v>
      </c>
      <c r="W53" t="str">
        <f t="shared" si="1"/>
        <v>April</v>
      </c>
      <c r="X53">
        <f t="shared" si="2"/>
        <v>2024</v>
      </c>
      <c r="Y53">
        <f t="shared" si="3"/>
        <v>5</v>
      </c>
      <c r="Z53" s="7">
        <f t="shared" si="4"/>
        <v>0</v>
      </c>
      <c r="AA53">
        <f t="shared" si="5"/>
        <v>9168.48</v>
      </c>
      <c r="AB53">
        <f t="shared" si="6"/>
        <v>1728.7099999999991</v>
      </c>
      <c r="AC53" t="str">
        <f t="shared" si="7"/>
        <v>Clean</v>
      </c>
    </row>
    <row r="54" spans="1:29">
      <c r="A54" t="s">
        <v>209</v>
      </c>
      <c r="B54" s="4">
        <v>45591</v>
      </c>
      <c r="C54" s="4">
        <v>45593</v>
      </c>
      <c r="D54" t="s">
        <v>210</v>
      </c>
      <c r="E54" t="str">
        <f>PROPER(TRIM([1]raw_orders!E54))</f>
        <v>Kabir Singh</v>
      </c>
      <c r="F54" t="str">
        <f>PROPER(TRIM([1]raw_orders!F54))</f>
        <v>Small Business</v>
      </c>
      <c r="G54" t="str">
        <f>IF('[1]Cleaned Text Field'!G54="","Unknown",'[1]Cleaned Text Field'!G54)</f>
        <v>North</v>
      </c>
      <c r="H54" t="str">
        <f>PROPER(TRIM([1]raw_orders!H54))</f>
        <v>Rajasthan</v>
      </c>
      <c r="I54" t="str">
        <f>PROPER(TRIM([1]raw_orders!I54))</f>
        <v>Jaipur</v>
      </c>
      <c r="J54" t="str">
        <f>PROPER(TRIM([1]raw_orders!J54))</f>
        <v>Furniture</v>
      </c>
      <c r="K54" t="str">
        <f>PROPER(TRIM([1]raw_orders!K54))</f>
        <v>Chairs</v>
      </c>
      <c r="L54" t="s">
        <v>211</v>
      </c>
      <c r="M54" t="str">
        <f>IF('[1]Cleaned Text Field'!M54="","Unknown",'[1]Cleaned Text Field'!M54)</f>
        <v>First Class</v>
      </c>
      <c r="N54">
        <f>IF('[1]Cleaned Text Field'!N54="",0,'[1]Cleaned Text Field'!N54)</f>
        <v>9</v>
      </c>
      <c r="O54">
        <v>1399.63</v>
      </c>
      <c r="P54" s="5">
        <f>IF('[1]Cleaned Text Field'!P54="",0,'[1]Cleaned Text Field'!P54)</f>
        <v>0</v>
      </c>
      <c r="Q54">
        <v>12596.67</v>
      </c>
      <c r="R54">
        <v>10603.29</v>
      </c>
      <c r="S54">
        <v>1993.38</v>
      </c>
      <c r="T54" t="str">
        <f>PROPER(TRIM([1]raw_orders!T54))</f>
        <v>Failed</v>
      </c>
      <c r="U54" t="str">
        <f>PROPER(TRIM([1]raw_orders!U54))</f>
        <v>Cancelled</v>
      </c>
      <c r="V54" s="6">
        <f t="shared" si="0"/>
        <v>0.1582465842163048</v>
      </c>
      <c r="W54" t="str">
        <f t="shared" si="1"/>
        <v>October</v>
      </c>
      <c r="X54">
        <f t="shared" si="2"/>
        <v>2024</v>
      </c>
      <c r="Y54">
        <f t="shared" si="3"/>
        <v>2</v>
      </c>
      <c r="Z54" s="7">
        <f t="shared" si="4"/>
        <v>0</v>
      </c>
      <c r="AA54">
        <f t="shared" si="5"/>
        <v>12596.670000000002</v>
      </c>
      <c r="AB54">
        <f t="shared" si="6"/>
        <v>1993.3799999999992</v>
      </c>
      <c r="AC54" t="str">
        <f t="shared" si="7"/>
        <v>Clean</v>
      </c>
    </row>
    <row r="55" spans="1:29">
      <c r="A55" t="s">
        <v>212</v>
      </c>
      <c r="B55" s="4">
        <v>45747</v>
      </c>
      <c r="C55" s="4">
        <v>45747</v>
      </c>
      <c r="D55" t="s">
        <v>213</v>
      </c>
      <c r="E55" t="str">
        <f>PROPER(TRIM([1]raw_orders!E55))</f>
        <v>Kabir Singh</v>
      </c>
      <c r="F55" t="str">
        <f>PROPER(TRIM([1]raw_orders!F55))</f>
        <v>Home Office</v>
      </c>
      <c r="G55" t="str">
        <f>IF('[1]Cleaned Text Field'!G55="","Unknown",'[1]Cleaned Text Field'!G55)</f>
        <v>West</v>
      </c>
      <c r="H55" t="str">
        <f>PROPER(TRIM([1]raw_orders!H55))</f>
        <v>Gujarat</v>
      </c>
      <c r="I55" t="str">
        <f>PROPER(TRIM([1]raw_orders!I55))</f>
        <v>Ahmedabad</v>
      </c>
      <c r="J55" t="str">
        <f>PROPER(TRIM([1]raw_orders!J55))</f>
        <v>Office Supplies</v>
      </c>
      <c r="K55" t="str">
        <f>PROPER(TRIM([1]raw_orders!K55))</f>
        <v>Storage</v>
      </c>
      <c r="L55" t="s">
        <v>214</v>
      </c>
      <c r="M55" t="str">
        <f>IF('[1]Cleaned Text Field'!M55="","Unknown",'[1]Cleaned Text Field'!M55)</f>
        <v>First Class</v>
      </c>
      <c r="N55">
        <f>IF('[1]Cleaned Text Field'!N55="",0,'[1]Cleaned Text Field'!N55)</f>
        <v>5</v>
      </c>
      <c r="O55">
        <v>1207.47</v>
      </c>
      <c r="P55" s="5">
        <f>IF('[1]Cleaned Text Field'!P55="",0,'[1]Cleaned Text Field'!P55)</f>
        <v>0.15</v>
      </c>
      <c r="Q55">
        <v>5131.75</v>
      </c>
      <c r="R55">
        <v>2838.68</v>
      </c>
      <c r="S55">
        <v>2293.0700000000002</v>
      </c>
      <c r="T55" t="str">
        <f>PROPER(TRIM([1]raw_orders!T55))</f>
        <v>Paid</v>
      </c>
      <c r="U55" t="str">
        <f>PROPER(TRIM([1]raw_orders!U55))</f>
        <v>Completed</v>
      </c>
      <c r="V55" s="6">
        <f t="shared" si="0"/>
        <v>0.44683977200759978</v>
      </c>
      <c r="W55" t="str">
        <f t="shared" si="1"/>
        <v>March</v>
      </c>
      <c r="X55">
        <f t="shared" si="2"/>
        <v>2025</v>
      </c>
      <c r="Y55">
        <f t="shared" si="3"/>
        <v>0</v>
      </c>
      <c r="Z55" s="7">
        <f t="shared" si="4"/>
        <v>0.15</v>
      </c>
      <c r="AA55">
        <f t="shared" si="5"/>
        <v>5131.7475000000004</v>
      </c>
      <c r="AB55">
        <f t="shared" si="6"/>
        <v>2293.0700000000002</v>
      </c>
      <c r="AC55" t="str">
        <f t="shared" si="7"/>
        <v>Clean</v>
      </c>
    </row>
    <row r="56" spans="1:29">
      <c r="A56" t="s">
        <v>215</v>
      </c>
      <c r="B56" s="4">
        <v>45807</v>
      </c>
      <c r="C56" s="4">
        <v>45810</v>
      </c>
      <c r="D56" t="s">
        <v>216</v>
      </c>
      <c r="E56" t="str">
        <f>PROPER(TRIM([1]raw_orders!E56))</f>
        <v>Arjun Bose</v>
      </c>
      <c r="F56" t="str">
        <f>PROPER(TRIM([1]raw_orders!F56))</f>
        <v>Corporate</v>
      </c>
      <c r="G56" t="str">
        <f>IF('[1]Cleaned Text Field'!G56="","Unknown",'[1]Cleaned Text Field'!G56)</f>
        <v>South</v>
      </c>
      <c r="H56" t="str">
        <f>PROPER(TRIM([1]raw_orders!H56))</f>
        <v>Tamil Nadu</v>
      </c>
      <c r="I56" t="str">
        <f>PROPER(TRIM([1]raw_orders!I56))</f>
        <v>Chennai</v>
      </c>
      <c r="J56" t="str">
        <f>PROPER(TRIM([1]raw_orders!J56))</f>
        <v>Office Supplies</v>
      </c>
      <c r="K56" t="str">
        <f>PROPER(TRIM([1]raw_orders!K56))</f>
        <v>Labels</v>
      </c>
      <c r="L56" t="s">
        <v>217</v>
      </c>
      <c r="M56" t="str">
        <f>IF('[1]Cleaned Text Field'!M56="","Unknown",'[1]Cleaned Text Field'!M56)</f>
        <v>Same Day</v>
      </c>
      <c r="N56">
        <f>IF('[1]Cleaned Text Field'!N56="",0,'[1]Cleaned Text Field'!N56)</f>
        <v>8</v>
      </c>
      <c r="O56">
        <v>474.37</v>
      </c>
      <c r="P56" s="5">
        <f>IF('[1]Cleaned Text Field'!P56="",0,'[1]Cleaned Text Field'!P56)</f>
        <v>0.1</v>
      </c>
      <c r="Q56">
        <v>3415.46</v>
      </c>
      <c r="R56">
        <v>1993.23</v>
      </c>
      <c r="S56">
        <v>1422.23</v>
      </c>
      <c r="T56" t="str">
        <f>PROPER(TRIM([1]raw_orders!T56))</f>
        <v>Failed</v>
      </c>
      <c r="U56" t="str">
        <f>PROPER(TRIM([1]raw_orders!U56))</f>
        <v>Cancelled</v>
      </c>
      <c r="V56" s="6">
        <f t="shared" si="0"/>
        <v>0.4164095026731392</v>
      </c>
      <c r="W56" t="str">
        <f t="shared" si="1"/>
        <v>May</v>
      </c>
      <c r="X56">
        <f t="shared" si="2"/>
        <v>2025</v>
      </c>
      <c r="Y56">
        <f t="shared" si="3"/>
        <v>3</v>
      </c>
      <c r="Z56" s="7">
        <f t="shared" si="4"/>
        <v>0.1</v>
      </c>
      <c r="AA56">
        <f t="shared" si="5"/>
        <v>3415.4639999999999</v>
      </c>
      <c r="AB56">
        <f t="shared" si="6"/>
        <v>1422.23</v>
      </c>
      <c r="AC56" t="str">
        <f t="shared" si="7"/>
        <v>Clean</v>
      </c>
    </row>
    <row r="57" spans="1:29">
      <c r="A57" t="s">
        <v>218</v>
      </c>
      <c r="B57" s="4">
        <v>45664</v>
      </c>
      <c r="C57" s="4">
        <v>45723</v>
      </c>
      <c r="D57" t="s">
        <v>219</v>
      </c>
      <c r="E57" t="str">
        <f>PROPER(TRIM([1]raw_orders!E57))</f>
        <v>Mira Das</v>
      </c>
      <c r="F57" t="str">
        <f>PROPER(TRIM([1]raw_orders!F57))</f>
        <v>Small Business</v>
      </c>
      <c r="G57" t="str">
        <f>IF('[1]Cleaned Text Field'!G57="","Unknown",'[1]Cleaned Text Field'!G57)</f>
        <v>South</v>
      </c>
      <c r="H57" t="str">
        <f>PROPER(TRIM([1]raw_orders!H57))</f>
        <v>Andhra Pradesh</v>
      </c>
      <c r="I57" t="str">
        <f>PROPER(TRIM([1]raw_orders!I57))</f>
        <v>Vijayawada</v>
      </c>
      <c r="J57" t="str">
        <f>PROPER(TRIM([1]raw_orders!J57))</f>
        <v>Technology</v>
      </c>
      <c r="K57" t="str">
        <f>PROPER(TRIM([1]raw_orders!K57))</f>
        <v>Machines</v>
      </c>
      <c r="L57" t="s">
        <v>220</v>
      </c>
      <c r="M57" t="str">
        <f>IF('[1]Cleaned Text Field'!M57="","Unknown",'[1]Cleaned Text Field'!M57)</f>
        <v>Same Day</v>
      </c>
      <c r="N57">
        <f>IF('[1]Cleaned Text Field'!N57="",0,'[1]Cleaned Text Field'!N57)</f>
        <v>3</v>
      </c>
      <c r="O57">
        <v>1516.24</v>
      </c>
      <c r="P57" s="5">
        <f>IF('[1]Cleaned Text Field'!P57="",0,'[1]Cleaned Text Field'!P57)</f>
        <v>0.25</v>
      </c>
      <c r="Q57">
        <v>3411.54</v>
      </c>
      <c r="R57">
        <v>2803.13</v>
      </c>
      <c r="S57">
        <v>608.41</v>
      </c>
      <c r="T57" t="str">
        <f>PROPER(TRIM([1]raw_orders!T57))</f>
        <v>Paid</v>
      </c>
      <c r="U57" t="str">
        <f>PROPER(TRIM([1]raw_orders!U57))</f>
        <v>Completed</v>
      </c>
      <c r="V57" s="6">
        <f t="shared" si="0"/>
        <v>0.17833881472883215</v>
      </c>
      <c r="W57" t="str">
        <f t="shared" si="1"/>
        <v>January</v>
      </c>
      <c r="X57">
        <f t="shared" si="2"/>
        <v>2025</v>
      </c>
      <c r="Y57">
        <f t="shared" si="3"/>
        <v>59</v>
      </c>
      <c r="Z57" s="7">
        <f t="shared" si="4"/>
        <v>0.25</v>
      </c>
      <c r="AA57">
        <f t="shared" si="5"/>
        <v>3411.54</v>
      </c>
      <c r="AB57">
        <f t="shared" si="6"/>
        <v>608.40999999999985</v>
      </c>
      <c r="AC57" t="str">
        <f t="shared" si="7"/>
        <v>Clean</v>
      </c>
    </row>
    <row r="58" spans="1:29">
      <c r="A58" t="s">
        <v>221</v>
      </c>
      <c r="B58" s="4">
        <v>45662</v>
      </c>
      <c r="C58" s="4">
        <v>45809</v>
      </c>
      <c r="D58" t="s">
        <v>222</v>
      </c>
      <c r="E58" t="str">
        <f>PROPER(TRIM([1]raw_orders!E58))</f>
        <v>Karan Malhotra</v>
      </c>
      <c r="F58" t="str">
        <f>PROPER(TRIM([1]raw_orders!F58))</f>
        <v>Consumer</v>
      </c>
      <c r="G58" t="str">
        <f>IF('[1]Cleaned Text Field'!G58="","Unknown",'[1]Cleaned Text Field'!G58)</f>
        <v>South</v>
      </c>
      <c r="H58" t="str">
        <f>PROPER(TRIM([1]raw_orders!H58))</f>
        <v>Karnataka</v>
      </c>
      <c r="I58" t="str">
        <f>PROPER(TRIM([1]raw_orders!I58))</f>
        <v>Bengaluru</v>
      </c>
      <c r="J58" t="str">
        <f>PROPER(TRIM([1]raw_orders!J58))</f>
        <v>Office Supplies</v>
      </c>
      <c r="K58" t="str">
        <f>PROPER(TRIM([1]raw_orders!K58))</f>
        <v>Binders</v>
      </c>
      <c r="L58" t="s">
        <v>223</v>
      </c>
      <c r="M58" t="str">
        <f>IF('[1]Cleaned Text Field'!M58="","Unknown",'[1]Cleaned Text Field'!M58)</f>
        <v>Second Class</v>
      </c>
      <c r="N58">
        <f>IF('[1]Cleaned Text Field'!N58="",0,'[1]Cleaned Text Field'!N58)</f>
        <v>3</v>
      </c>
      <c r="O58">
        <v>3155.61</v>
      </c>
      <c r="P58" s="5">
        <f>IF('[1]Cleaned Text Field'!P58="",0,'[1]Cleaned Text Field'!P58)</f>
        <v>0</v>
      </c>
      <c r="Q58">
        <v>9466.83</v>
      </c>
      <c r="R58">
        <v>6557.83</v>
      </c>
      <c r="S58">
        <v>2909</v>
      </c>
      <c r="T58" t="str">
        <f>PROPER(TRIM([1]raw_orders!T58))</f>
        <v>Refunded</v>
      </c>
      <c r="U58" t="str">
        <f>PROPER(TRIM([1]raw_orders!U58))</f>
        <v>Cancelled</v>
      </c>
      <c r="V58" s="6">
        <f t="shared" si="0"/>
        <v>0.30728343067320318</v>
      </c>
      <c r="W58" t="str">
        <f t="shared" si="1"/>
        <v>January</v>
      </c>
      <c r="X58">
        <f t="shared" si="2"/>
        <v>2025</v>
      </c>
      <c r="Y58">
        <f t="shared" si="3"/>
        <v>147</v>
      </c>
      <c r="Z58" s="7">
        <f t="shared" si="4"/>
        <v>0</v>
      </c>
      <c r="AA58">
        <f t="shared" si="5"/>
        <v>9466.83</v>
      </c>
      <c r="AB58">
        <f t="shared" si="6"/>
        <v>2909</v>
      </c>
      <c r="AC58" t="str">
        <f t="shared" si="7"/>
        <v>Clean</v>
      </c>
    </row>
    <row r="59" spans="1:29">
      <c r="A59" t="s">
        <v>224</v>
      </c>
      <c r="B59" s="4">
        <v>45329</v>
      </c>
      <c r="C59" s="4">
        <v>45337</v>
      </c>
      <c r="D59" t="s">
        <v>225</v>
      </c>
      <c r="E59" t="str">
        <f>PROPER(TRIM([1]raw_orders!E59))</f>
        <v>Priya Menon</v>
      </c>
      <c r="F59" t="str">
        <f>PROPER(TRIM([1]raw_orders!F59))</f>
        <v>Consumer</v>
      </c>
      <c r="G59" t="str">
        <f>IF('[1]Cleaned Text Field'!G59="","Unknown",'[1]Cleaned Text Field'!G59)</f>
        <v>West</v>
      </c>
      <c r="H59" t="str">
        <f>PROPER(TRIM([1]raw_orders!H59))</f>
        <v>Goa</v>
      </c>
      <c r="I59" t="str">
        <f>PROPER(TRIM([1]raw_orders!I59))</f>
        <v>Panaji</v>
      </c>
      <c r="J59" t="str">
        <f>PROPER(TRIM([1]raw_orders!J59))</f>
        <v>Furniture</v>
      </c>
      <c r="K59" t="str">
        <f>PROPER(TRIM([1]raw_orders!K59))</f>
        <v>Chairs</v>
      </c>
      <c r="L59" t="s">
        <v>226</v>
      </c>
      <c r="M59" t="str">
        <f>IF('[1]Cleaned Text Field'!M59="","Unknown",'[1]Cleaned Text Field'!M59)</f>
        <v>Same Day</v>
      </c>
      <c r="N59">
        <f>IF('[1]Cleaned Text Field'!N59="",0,'[1]Cleaned Text Field'!N59)</f>
        <v>5</v>
      </c>
      <c r="O59">
        <v>255.87</v>
      </c>
      <c r="P59" s="5">
        <f>IF('[1]Cleaned Text Field'!P59="",0,'[1]Cleaned Text Field'!P59)</f>
        <v>0</v>
      </c>
      <c r="Q59">
        <v>1279.3499999999999</v>
      </c>
      <c r="R59">
        <v>1091.54</v>
      </c>
      <c r="S59">
        <v>187.81</v>
      </c>
      <c r="T59" t="str">
        <f>PROPER(TRIM([1]raw_orders!T59))</f>
        <v>Paid</v>
      </c>
      <c r="U59" t="str">
        <f>PROPER(TRIM([1]raw_orders!U59))</f>
        <v>Completed</v>
      </c>
      <c r="V59" s="6">
        <f t="shared" si="0"/>
        <v>0.14680110993864073</v>
      </c>
      <c r="W59" t="str">
        <f t="shared" si="1"/>
        <v>February</v>
      </c>
      <c r="X59">
        <f t="shared" si="2"/>
        <v>2024</v>
      </c>
      <c r="Y59">
        <f t="shared" si="3"/>
        <v>8</v>
      </c>
      <c r="Z59" s="7">
        <f t="shared" si="4"/>
        <v>0</v>
      </c>
      <c r="AA59">
        <f t="shared" si="5"/>
        <v>1279.3499999999999</v>
      </c>
      <c r="AB59">
        <f t="shared" si="6"/>
        <v>187.80999999999995</v>
      </c>
      <c r="AC59" t="str">
        <f t="shared" si="7"/>
        <v>Clean</v>
      </c>
    </row>
    <row r="60" spans="1:29">
      <c r="A60" t="s">
        <v>227</v>
      </c>
      <c r="B60" s="4">
        <v>45536</v>
      </c>
      <c r="C60" s="4">
        <v>45542</v>
      </c>
      <c r="D60" t="s">
        <v>228</v>
      </c>
      <c r="E60" t="str">
        <f>PROPER(TRIM([1]raw_orders!E60))</f>
        <v>Isha Nair</v>
      </c>
      <c r="F60" t="str">
        <f>PROPER(TRIM([1]raw_orders!F60))</f>
        <v>Home Office</v>
      </c>
      <c r="G60" t="str">
        <f>IF('[1]Cleaned Text Field'!G60="","Unknown",'[1]Cleaned Text Field'!G60)</f>
        <v>North</v>
      </c>
      <c r="H60" t="str">
        <f>PROPER(TRIM([1]raw_orders!H60))</f>
        <v>Rajasthan</v>
      </c>
      <c r="I60" t="str">
        <f>PROPER(TRIM([1]raw_orders!I60))</f>
        <v>Jaipur</v>
      </c>
      <c r="J60" t="str">
        <f>PROPER(TRIM([1]raw_orders!J60))</f>
        <v>Office Supplies</v>
      </c>
      <c r="K60" t="str">
        <f>PROPER(TRIM([1]raw_orders!K60))</f>
        <v>Storage</v>
      </c>
      <c r="L60" t="s">
        <v>229</v>
      </c>
      <c r="M60" t="str">
        <f>IF('[1]Cleaned Text Field'!M60="","Unknown",'[1]Cleaned Text Field'!M60)</f>
        <v>Unknown</v>
      </c>
      <c r="N60">
        <f>IF('[1]Cleaned Text Field'!N60="",0,'[1]Cleaned Text Field'!N60)</f>
        <v>9</v>
      </c>
      <c r="O60">
        <v>1389.48</v>
      </c>
      <c r="P60" s="5">
        <f>IF('[1]Cleaned Text Field'!P60="",0,'[1]Cleaned Text Field'!P60)</f>
        <v>0.1</v>
      </c>
      <c r="Q60">
        <v>11254.79</v>
      </c>
      <c r="R60">
        <v>6578.06</v>
      </c>
      <c r="S60">
        <v>4676.7299999999996</v>
      </c>
      <c r="T60" t="str">
        <f>PROPER(TRIM([1]raw_orders!T60))</f>
        <v>Pending</v>
      </c>
      <c r="U60" t="str">
        <f>PROPER(TRIM([1]raw_orders!U60))</f>
        <v>Returned</v>
      </c>
      <c r="V60" s="6">
        <f t="shared" si="0"/>
        <v>0.41553240886769094</v>
      </c>
      <c r="W60" t="str">
        <f t="shared" si="1"/>
        <v>September</v>
      </c>
      <c r="X60">
        <f t="shared" si="2"/>
        <v>2024</v>
      </c>
      <c r="Y60">
        <f t="shared" si="3"/>
        <v>6</v>
      </c>
      <c r="Z60" s="7">
        <f t="shared" si="4"/>
        <v>0.1</v>
      </c>
      <c r="AA60">
        <f t="shared" si="5"/>
        <v>11254.788</v>
      </c>
      <c r="AB60">
        <f t="shared" si="6"/>
        <v>4676.7300000000005</v>
      </c>
      <c r="AC60" t="str">
        <f t="shared" si="7"/>
        <v>Clean</v>
      </c>
    </row>
    <row r="61" spans="1:29">
      <c r="A61" t="s">
        <v>230</v>
      </c>
      <c r="B61" s="4">
        <v>45493</v>
      </c>
      <c r="C61" s="4">
        <v>45498</v>
      </c>
      <c r="D61" t="s">
        <v>231</v>
      </c>
      <c r="E61" t="str">
        <f>PROPER(TRIM([1]raw_orders!E61))</f>
        <v>Priya Menon</v>
      </c>
      <c r="F61" t="str">
        <f>PROPER(TRIM([1]raw_orders!F61))</f>
        <v>Corporate</v>
      </c>
      <c r="G61" t="str">
        <f>IF('[1]Cleaned Text Field'!G61="","Unknown",'[1]Cleaned Text Field'!G61)</f>
        <v>East</v>
      </c>
      <c r="H61" t="str">
        <f>PROPER(TRIM([1]raw_orders!H61))</f>
        <v>Assam</v>
      </c>
      <c r="I61" t="str">
        <f>PROPER(TRIM([1]raw_orders!I61))</f>
        <v>Guwahati</v>
      </c>
      <c r="J61" t="str">
        <f>PROPER(TRIM([1]raw_orders!J61))</f>
        <v>Office Supplies</v>
      </c>
      <c r="K61" t="str">
        <f>PROPER(TRIM([1]raw_orders!K61))</f>
        <v>Labels</v>
      </c>
      <c r="L61" t="s">
        <v>232</v>
      </c>
      <c r="M61" t="str">
        <f>IF('[1]Cleaned Text Field'!M61="","Unknown",'[1]Cleaned Text Field'!M61)</f>
        <v>Same Day</v>
      </c>
      <c r="N61">
        <f>IF('[1]Cleaned Text Field'!N61="",0,'[1]Cleaned Text Field'!N61)</f>
        <v>5</v>
      </c>
      <c r="O61">
        <v>4133.8500000000004</v>
      </c>
      <c r="P61" s="5">
        <f>IF('[1]Cleaned Text Field'!P61="",0,'[1]Cleaned Text Field'!P61)</f>
        <v>0.2</v>
      </c>
      <c r="Q61">
        <v>16535.400000000001</v>
      </c>
      <c r="R61">
        <v>12990.21</v>
      </c>
      <c r="S61">
        <v>3545.19</v>
      </c>
      <c r="T61" t="str">
        <f>PROPER(TRIM([1]raw_orders!T61))</f>
        <v>Paid</v>
      </c>
      <c r="U61" t="str">
        <f>PROPER(TRIM([1]raw_orders!U61))</f>
        <v>Cancelled</v>
      </c>
      <c r="V61" s="6">
        <f t="shared" si="0"/>
        <v>0.21440001451431473</v>
      </c>
      <c r="W61" t="str">
        <f t="shared" si="1"/>
        <v>July</v>
      </c>
      <c r="X61">
        <f t="shared" si="2"/>
        <v>2024</v>
      </c>
      <c r="Y61">
        <f t="shared" si="3"/>
        <v>5</v>
      </c>
      <c r="Z61" s="7">
        <f t="shared" si="4"/>
        <v>0.2</v>
      </c>
      <c r="AA61">
        <f t="shared" si="5"/>
        <v>16535.400000000001</v>
      </c>
      <c r="AB61">
        <f t="shared" si="6"/>
        <v>3545.1900000000023</v>
      </c>
      <c r="AC61" t="str">
        <f t="shared" si="7"/>
        <v>Clean</v>
      </c>
    </row>
    <row r="62" spans="1:29">
      <c r="A62" t="s">
        <v>233</v>
      </c>
      <c r="B62" s="4">
        <v>45486</v>
      </c>
      <c r="C62" s="4">
        <v>45492</v>
      </c>
      <c r="D62" t="s">
        <v>234</v>
      </c>
      <c r="E62" t="str">
        <f>PROPER(TRIM([1]raw_orders!E62))</f>
        <v>Ananya Rao</v>
      </c>
      <c r="F62" t="str">
        <f>PROPER(TRIM([1]raw_orders!F62))</f>
        <v>Corporate</v>
      </c>
      <c r="G62" t="str">
        <f>IF('[1]Cleaned Text Field'!G62="","Unknown",'[1]Cleaned Text Field'!G62)</f>
        <v>East</v>
      </c>
      <c r="H62" t="str">
        <f>PROPER(TRIM([1]raw_orders!H62))</f>
        <v>Assam</v>
      </c>
      <c r="I62" t="str">
        <f>PROPER(TRIM([1]raw_orders!I62))</f>
        <v>Guwahati</v>
      </c>
      <c r="J62" t="str">
        <f>PROPER(TRIM([1]raw_orders!J62))</f>
        <v>Office Supplies</v>
      </c>
      <c r="K62" t="str">
        <f>PROPER(TRIM([1]raw_orders!K62))</f>
        <v>Labels</v>
      </c>
      <c r="L62" t="s">
        <v>235</v>
      </c>
      <c r="M62" t="str">
        <f>IF('[1]Cleaned Text Field'!M62="","Unknown",'[1]Cleaned Text Field'!M62)</f>
        <v>Same Day</v>
      </c>
      <c r="N62">
        <f>IF('[1]Cleaned Text Field'!N62="",0,'[1]Cleaned Text Field'!N62)</f>
        <v>3</v>
      </c>
      <c r="O62">
        <v>275.76</v>
      </c>
      <c r="P62" s="5">
        <f>IF('[1]Cleaned Text Field'!P62="",0,'[1]Cleaned Text Field'!P62)</f>
        <v>0.2</v>
      </c>
      <c r="Q62">
        <v>661.82</v>
      </c>
      <c r="R62">
        <v>481.47</v>
      </c>
      <c r="S62">
        <v>180.35</v>
      </c>
      <c r="T62" t="str">
        <f>PROPER(TRIM([1]raw_orders!T62))</f>
        <v>Refunded</v>
      </c>
      <c r="U62" t="str">
        <f>PROPER(TRIM([1]raw_orders!U62))</f>
        <v>Cancelled</v>
      </c>
      <c r="V62" s="6">
        <f t="shared" si="0"/>
        <v>0.2725061194886827</v>
      </c>
      <c r="W62" t="str">
        <f t="shared" si="1"/>
        <v>July</v>
      </c>
      <c r="X62">
        <f t="shared" si="2"/>
        <v>2024</v>
      </c>
      <c r="Y62">
        <f t="shared" si="3"/>
        <v>6</v>
      </c>
      <c r="Z62" s="7">
        <f t="shared" si="4"/>
        <v>0.2</v>
      </c>
      <c r="AA62">
        <f t="shared" si="5"/>
        <v>661.82400000000007</v>
      </c>
      <c r="AB62">
        <f t="shared" si="6"/>
        <v>180.35000000000002</v>
      </c>
      <c r="AC62" t="str">
        <f t="shared" si="7"/>
        <v>Clean</v>
      </c>
    </row>
    <row r="63" spans="1:29">
      <c r="A63" t="s">
        <v>236</v>
      </c>
      <c r="B63" s="4">
        <v>45398</v>
      </c>
      <c r="C63" s="4">
        <v>45398</v>
      </c>
      <c r="D63" t="s">
        <v>237</v>
      </c>
      <c r="E63" t="str">
        <f>PROPER(TRIM([1]raw_orders!E63))</f>
        <v>Vikram Iyer</v>
      </c>
      <c r="F63" t="str">
        <f>PROPER(TRIM([1]raw_orders!F63))</f>
        <v>Home Office</v>
      </c>
      <c r="G63" t="str">
        <f>IF('[1]Cleaned Text Field'!G63="","Unknown",'[1]Cleaned Text Field'!G63)</f>
        <v>East</v>
      </c>
      <c r="H63" t="str">
        <f>PROPER(TRIM([1]raw_orders!H63))</f>
        <v>Bihar</v>
      </c>
      <c r="I63" t="str">
        <f>PROPER(TRIM([1]raw_orders!I63))</f>
        <v>Patna</v>
      </c>
      <c r="J63" t="str">
        <f>PROPER(TRIM([1]raw_orders!J63))</f>
        <v>Furniture</v>
      </c>
      <c r="K63" t="str">
        <f>PROPER(TRIM([1]raw_orders!K63))</f>
        <v>Bookcases</v>
      </c>
      <c r="L63" t="s">
        <v>238</v>
      </c>
      <c r="M63" t="str">
        <f>IF('[1]Cleaned Text Field'!M63="","Unknown",'[1]Cleaned Text Field'!M63)</f>
        <v>Standard Class</v>
      </c>
      <c r="N63">
        <f>IF('[1]Cleaned Text Field'!N63="",0,'[1]Cleaned Text Field'!N63)</f>
        <v>1</v>
      </c>
      <c r="O63">
        <v>949.59</v>
      </c>
      <c r="P63" s="5">
        <f>IF('[1]Cleaned Text Field'!P63="",0,'[1]Cleaned Text Field'!P63)</f>
        <v>0</v>
      </c>
      <c r="Q63">
        <v>949.59</v>
      </c>
      <c r="R63">
        <v>751.25</v>
      </c>
      <c r="S63">
        <v>198.34</v>
      </c>
      <c r="T63" t="str">
        <f>PROPER(TRIM([1]raw_orders!T63))</f>
        <v>Paid</v>
      </c>
      <c r="U63" t="str">
        <f>PROPER(TRIM([1]raw_orders!U63))</f>
        <v>Completed</v>
      </c>
      <c r="V63" s="6">
        <f t="shared" si="0"/>
        <v>0.20886909087079686</v>
      </c>
      <c r="W63" t="str">
        <f t="shared" si="1"/>
        <v>April</v>
      </c>
      <c r="X63">
        <f t="shared" si="2"/>
        <v>2024</v>
      </c>
      <c r="Y63">
        <f t="shared" si="3"/>
        <v>0</v>
      </c>
      <c r="Z63" s="7">
        <f t="shared" si="4"/>
        <v>0</v>
      </c>
      <c r="AA63">
        <f t="shared" si="5"/>
        <v>949.59</v>
      </c>
      <c r="AB63">
        <f t="shared" si="6"/>
        <v>198.34000000000003</v>
      </c>
      <c r="AC63" t="str">
        <f t="shared" si="7"/>
        <v>Clean</v>
      </c>
    </row>
    <row r="64" spans="1:29">
      <c r="A64" t="s">
        <v>239</v>
      </c>
      <c r="B64" s="4">
        <v>45595</v>
      </c>
      <c r="C64" s="4">
        <v>45333</v>
      </c>
      <c r="D64" t="s">
        <v>240</v>
      </c>
      <c r="E64" t="str">
        <f>PROPER(TRIM([1]raw_orders!E64))</f>
        <v>Sneha Kapoor</v>
      </c>
      <c r="F64" t="str">
        <f>PROPER(TRIM([1]raw_orders!F64))</f>
        <v>Home Office</v>
      </c>
      <c r="G64" t="str">
        <f>IF('[1]Cleaned Text Field'!G64="","Unknown",'[1]Cleaned Text Field'!G64)</f>
        <v>North</v>
      </c>
      <c r="H64" t="str">
        <f>PROPER(TRIM([1]raw_orders!H64))</f>
        <v>Rajasthan</v>
      </c>
      <c r="I64" t="str">
        <f>PROPER(TRIM([1]raw_orders!I64))</f>
        <v>Jaipur</v>
      </c>
      <c r="J64" t="str">
        <f>PROPER(TRIM([1]raw_orders!J64))</f>
        <v>Technology</v>
      </c>
      <c r="K64" t="str">
        <f>PROPER(TRIM([1]raw_orders!K64))</f>
        <v>Phones</v>
      </c>
      <c r="L64" t="s">
        <v>241</v>
      </c>
      <c r="M64" t="str">
        <f>IF('[1]Cleaned Text Field'!M64="","Unknown",'[1]Cleaned Text Field'!M64)</f>
        <v>Standard Class</v>
      </c>
      <c r="N64">
        <f>IF('[1]Cleaned Text Field'!N64="",0,'[1]Cleaned Text Field'!N64)</f>
        <v>9</v>
      </c>
      <c r="O64">
        <v>3042.29</v>
      </c>
      <c r="P64" s="5">
        <f>IF('[1]Cleaned Text Field'!P64="",0,'[1]Cleaned Text Field'!P64)</f>
        <v>0.2</v>
      </c>
      <c r="Q64">
        <v>21904.49</v>
      </c>
      <c r="R64">
        <v>13570.55</v>
      </c>
      <c r="S64">
        <v>8333.94</v>
      </c>
      <c r="T64" t="str">
        <f>PROPER(TRIM([1]raw_orders!T64))</f>
        <v>Paid</v>
      </c>
      <c r="U64" t="str">
        <f>PROPER(TRIM([1]raw_orders!U64))</f>
        <v>Completed</v>
      </c>
      <c r="V64" s="6">
        <f t="shared" si="0"/>
        <v>0.38046720101677783</v>
      </c>
      <c r="W64" t="str">
        <f t="shared" si="1"/>
        <v>October</v>
      </c>
      <c r="X64">
        <f t="shared" si="2"/>
        <v>2024</v>
      </c>
      <c r="Y64">
        <f t="shared" si="3"/>
        <v>-262</v>
      </c>
      <c r="Z64" s="7">
        <f t="shared" si="4"/>
        <v>0.2</v>
      </c>
      <c r="AA64">
        <f t="shared" si="5"/>
        <v>21904.488000000001</v>
      </c>
      <c r="AB64">
        <f t="shared" si="6"/>
        <v>8333.9400000000023</v>
      </c>
      <c r="AC64" t="str">
        <f t="shared" si="7"/>
        <v>Warning</v>
      </c>
    </row>
    <row r="65" spans="1:29">
      <c r="A65" t="s">
        <v>242</v>
      </c>
      <c r="B65" s="4">
        <v>45316</v>
      </c>
      <c r="C65" s="4">
        <v>45293</v>
      </c>
      <c r="D65" t="s">
        <v>243</v>
      </c>
      <c r="E65" t="str">
        <f>PROPER(TRIM([1]raw_orders!E65))</f>
        <v>Sneha Kapoor</v>
      </c>
      <c r="F65" t="str">
        <f>PROPER(TRIM([1]raw_orders!F65))</f>
        <v>Home Office</v>
      </c>
      <c r="G65" t="str">
        <f>IF('[1]Cleaned Text Field'!G65="","Unknown",'[1]Cleaned Text Field'!G65)</f>
        <v>North</v>
      </c>
      <c r="H65" t="str">
        <f>PROPER(TRIM([1]raw_orders!H65))</f>
        <v>Haryana</v>
      </c>
      <c r="I65" t="str">
        <f>PROPER(TRIM([1]raw_orders!I65))</f>
        <v>Gurugram</v>
      </c>
      <c r="J65" t="str">
        <f>PROPER(TRIM([1]raw_orders!J65))</f>
        <v>Office Supplies</v>
      </c>
      <c r="K65" t="str">
        <f>PROPER(TRIM([1]raw_orders!K65))</f>
        <v>Binders</v>
      </c>
      <c r="L65" t="s">
        <v>244</v>
      </c>
      <c r="M65" t="str">
        <f>IF('[1]Cleaned Text Field'!M65="","Unknown",'[1]Cleaned Text Field'!M65)</f>
        <v>Same Day</v>
      </c>
      <c r="N65">
        <f>IF('[1]Cleaned Text Field'!N65="",0,'[1]Cleaned Text Field'!N65)</f>
        <v>2</v>
      </c>
      <c r="O65">
        <v>2832.77</v>
      </c>
      <c r="P65" s="5">
        <f>IF('[1]Cleaned Text Field'!P65="",0,'[1]Cleaned Text Field'!P65)</f>
        <v>0.15</v>
      </c>
      <c r="Q65">
        <v>4815.71</v>
      </c>
      <c r="R65">
        <v>3027.75</v>
      </c>
      <c r="S65">
        <v>1917.47</v>
      </c>
      <c r="T65" t="str">
        <f>PROPER(TRIM([1]raw_orders!T65))</f>
        <v>Paid</v>
      </c>
      <c r="U65" t="str">
        <f>PROPER(TRIM([1]raw_orders!U65))</f>
        <v>Completed</v>
      </c>
      <c r="V65" s="6">
        <f t="shared" si="0"/>
        <v>0.39816974028751734</v>
      </c>
      <c r="W65" t="str">
        <f t="shared" si="1"/>
        <v>January</v>
      </c>
      <c r="X65">
        <f t="shared" si="2"/>
        <v>2024</v>
      </c>
      <c r="Y65">
        <f t="shared" si="3"/>
        <v>-23</v>
      </c>
      <c r="Z65" s="7">
        <f t="shared" si="4"/>
        <v>0.15</v>
      </c>
      <c r="AA65">
        <f t="shared" si="5"/>
        <v>4815.7089999999998</v>
      </c>
      <c r="AB65">
        <f t="shared" si="6"/>
        <v>1787.96</v>
      </c>
      <c r="AC65" t="str">
        <f t="shared" si="7"/>
        <v>Warning</v>
      </c>
    </row>
    <row r="66" spans="1:29">
      <c r="A66" t="s">
        <v>245</v>
      </c>
      <c r="B66" s="4">
        <v>45649</v>
      </c>
      <c r="C66" s="4">
        <v>45655</v>
      </c>
      <c r="D66" t="s">
        <v>246</v>
      </c>
      <c r="E66" t="str">
        <f>PROPER(TRIM([1]raw_orders!E66))</f>
        <v>Aarav Sharma</v>
      </c>
      <c r="F66" t="str">
        <f>PROPER(TRIM([1]raw_orders!F66))</f>
        <v>Corporate</v>
      </c>
      <c r="G66" t="str">
        <f>IF('[1]Cleaned Text Field'!G66="","Unknown",'[1]Cleaned Text Field'!G66)</f>
        <v>East</v>
      </c>
      <c r="H66" t="str">
        <f>PROPER(TRIM([1]raw_orders!H66))</f>
        <v>Jharkhand</v>
      </c>
      <c r="I66" t="str">
        <f>PROPER(TRIM([1]raw_orders!I66))</f>
        <v>Ranchi</v>
      </c>
      <c r="J66" t="str">
        <f>PROPER(TRIM([1]raw_orders!J66))</f>
        <v>Office Supplies</v>
      </c>
      <c r="K66" t="str">
        <f>PROPER(TRIM([1]raw_orders!K66))</f>
        <v>Paper</v>
      </c>
      <c r="L66" t="s">
        <v>247</v>
      </c>
      <c r="M66" t="str">
        <f>IF('[1]Cleaned Text Field'!M66="","Unknown",'[1]Cleaned Text Field'!M66)</f>
        <v>First Class</v>
      </c>
      <c r="N66">
        <f>IF('[1]Cleaned Text Field'!N66="",0,'[1]Cleaned Text Field'!N66)</f>
        <v>7</v>
      </c>
      <c r="O66">
        <v>447.84</v>
      </c>
      <c r="P66" s="5">
        <f>IF('[1]Cleaned Text Field'!P66="",0,'[1]Cleaned Text Field'!P66)</f>
        <v>0</v>
      </c>
      <c r="Q66">
        <v>3134.88</v>
      </c>
      <c r="R66">
        <v>2367.63</v>
      </c>
      <c r="S66">
        <v>767.25</v>
      </c>
      <c r="T66" t="str">
        <f>PROPER(TRIM([1]raw_orders!T66))</f>
        <v>Refunded</v>
      </c>
      <c r="U66" t="str">
        <f>PROPER(TRIM([1]raw_orders!U66))</f>
        <v>Returned</v>
      </c>
      <c r="V66" s="6">
        <f t="shared" si="0"/>
        <v>0.2447462103812586</v>
      </c>
      <c r="W66" t="str">
        <f t="shared" si="1"/>
        <v>December</v>
      </c>
      <c r="X66">
        <f t="shared" si="2"/>
        <v>2024</v>
      </c>
      <c r="Y66">
        <f t="shared" si="3"/>
        <v>6</v>
      </c>
      <c r="Z66" s="7">
        <f t="shared" si="4"/>
        <v>0</v>
      </c>
      <c r="AA66">
        <f t="shared" si="5"/>
        <v>3134.8799999999997</v>
      </c>
      <c r="AB66">
        <f t="shared" si="6"/>
        <v>767.25</v>
      </c>
      <c r="AC66" t="str">
        <f t="shared" si="7"/>
        <v>Clean</v>
      </c>
    </row>
    <row r="67" spans="1:29">
      <c r="A67" t="s">
        <v>248</v>
      </c>
      <c r="B67" s="4">
        <v>45404</v>
      </c>
      <c r="C67" s="4">
        <v>45409</v>
      </c>
      <c r="D67" t="s">
        <v>249</v>
      </c>
      <c r="E67" t="str">
        <f>PROPER(TRIM([1]raw_orders!E67))</f>
        <v>Mira Das</v>
      </c>
      <c r="F67" t="str">
        <f>PROPER(TRIM([1]raw_orders!F67))</f>
        <v>Home Office</v>
      </c>
      <c r="G67" t="str">
        <f>IF('[1]Cleaned Text Field'!G67="","Unknown",'[1]Cleaned Text Field'!G67)</f>
        <v>West</v>
      </c>
      <c r="H67" t="str">
        <f>PROPER(TRIM([1]raw_orders!H67))</f>
        <v>Maharashtra</v>
      </c>
      <c r="I67" t="str">
        <f>PROPER(TRIM([1]raw_orders!I67))</f>
        <v>Mumbai</v>
      </c>
      <c r="J67" t="str">
        <f>PROPER(TRIM([1]raw_orders!J67))</f>
        <v>Office Supplies</v>
      </c>
      <c r="K67" t="str">
        <f>PROPER(TRIM([1]raw_orders!K67))</f>
        <v>Paper</v>
      </c>
      <c r="L67" t="s">
        <v>250</v>
      </c>
      <c r="M67" t="str">
        <f>IF('[1]Cleaned Text Field'!M67="","Unknown",'[1]Cleaned Text Field'!M67)</f>
        <v>Second Class</v>
      </c>
      <c r="N67">
        <f>IF('[1]Cleaned Text Field'!N67="",0,'[1]Cleaned Text Field'!N67)</f>
        <v>1</v>
      </c>
      <c r="O67">
        <v>4280.1899999999996</v>
      </c>
      <c r="P67" s="5">
        <f>IF('[1]Cleaned Text Field'!P67="",0,'[1]Cleaned Text Field'!P67)</f>
        <v>0.05</v>
      </c>
      <c r="Q67">
        <v>4066.18</v>
      </c>
      <c r="R67">
        <v>2628.92</v>
      </c>
      <c r="S67">
        <v>1437.26</v>
      </c>
      <c r="T67" t="str">
        <f>PROPER(TRIM([1]raw_orders!T67))</f>
        <v>Paid</v>
      </c>
      <c r="U67" t="str">
        <f>PROPER(TRIM([1]raw_orders!U67))</f>
        <v>Completed</v>
      </c>
      <c r="V67" s="6">
        <f t="shared" ref="V67:V130" si="8">IF(Q67=0,0,S67/Q67)</f>
        <v>0.35346689029998674</v>
      </c>
      <c r="W67" t="str">
        <f t="shared" ref="W67:W130" si="9">TEXT(B67,"mmmm")</f>
        <v>April</v>
      </c>
      <c r="X67">
        <f t="shared" ref="X67:X130" si="10">YEAR(B67)</f>
        <v>2024</v>
      </c>
      <c r="Y67">
        <f t="shared" ref="Y67:Y130" si="11">C67-B67</f>
        <v>5</v>
      </c>
      <c r="Z67" s="7">
        <f t="shared" ref="Z67:Z130" si="12">P67</f>
        <v>0.05</v>
      </c>
      <c r="AA67">
        <f t="shared" ref="AA67:AA130" si="13">N67*O67*(1-P67)</f>
        <v>4066.1804999999995</v>
      </c>
      <c r="AB67">
        <f t="shared" ref="AB67:AB130" si="14">Q67-R67</f>
        <v>1437.2599999999998</v>
      </c>
      <c r="AC67" t="str">
        <f t="shared" ref="AC67:AC130" si="15">IF(OR(B67="",C67="",AA67&lt;=0),"Invalid",IF(Y67&lt;0,"Warning",IF(Z67&gt;100%,"Warning","Clean")))</f>
        <v>Clean</v>
      </c>
    </row>
    <row r="68" spans="1:29">
      <c r="A68" t="s">
        <v>251</v>
      </c>
      <c r="B68" s="4">
        <v>45897</v>
      </c>
      <c r="C68" s="4">
        <v>45901</v>
      </c>
      <c r="D68" t="s">
        <v>252</v>
      </c>
      <c r="E68" t="str">
        <f>PROPER(TRIM([1]raw_orders!E68))</f>
        <v>Karan Malhotra</v>
      </c>
      <c r="F68" t="str">
        <f>PROPER(TRIM([1]raw_orders!F68))</f>
        <v>Small Business</v>
      </c>
      <c r="G68" t="str">
        <f>IF('[1]Cleaned Text Field'!G68="","Unknown",'[1]Cleaned Text Field'!G68)</f>
        <v>South</v>
      </c>
      <c r="H68" t="str">
        <f>PROPER(TRIM([1]raw_orders!H68))</f>
        <v>Tamil Nadu</v>
      </c>
      <c r="I68" t="str">
        <f>PROPER(TRIM([1]raw_orders!I68))</f>
        <v>Chennai</v>
      </c>
      <c r="J68" t="str">
        <f>PROPER(TRIM([1]raw_orders!J68))</f>
        <v>Technology</v>
      </c>
      <c r="K68" t="str">
        <f>PROPER(TRIM([1]raw_orders!K68))</f>
        <v>Accessories</v>
      </c>
      <c r="L68" t="s">
        <v>253</v>
      </c>
      <c r="M68" t="str">
        <f>IF('[1]Cleaned Text Field'!M68="","Unknown",'[1]Cleaned Text Field'!M68)</f>
        <v>Same Day</v>
      </c>
      <c r="N68">
        <f>IF('[1]Cleaned Text Field'!N68="",0,'[1]Cleaned Text Field'!N68)</f>
        <v>7</v>
      </c>
      <c r="O68">
        <v>1057.46</v>
      </c>
      <c r="P68" s="5">
        <f>IF('[1]Cleaned Text Field'!P68="",0,'[1]Cleaned Text Field'!P68)</f>
        <v>0.05</v>
      </c>
      <c r="Q68">
        <v>7032.11</v>
      </c>
      <c r="R68">
        <v>4610.34</v>
      </c>
      <c r="S68">
        <v>2421.77</v>
      </c>
      <c r="T68" t="str">
        <f>PROPER(TRIM([1]raw_orders!T68))</f>
        <v>Paid</v>
      </c>
      <c r="U68" t="str">
        <f>PROPER(TRIM([1]raw_orders!U68))</f>
        <v>Completed</v>
      </c>
      <c r="V68" s="6">
        <f t="shared" si="8"/>
        <v>0.34438738870694574</v>
      </c>
      <c r="W68" t="str">
        <f t="shared" si="9"/>
        <v>August</v>
      </c>
      <c r="X68">
        <f t="shared" si="10"/>
        <v>2025</v>
      </c>
      <c r="Y68">
        <f t="shared" si="11"/>
        <v>4</v>
      </c>
      <c r="Z68" s="7">
        <f t="shared" si="12"/>
        <v>0.05</v>
      </c>
      <c r="AA68">
        <f t="shared" si="13"/>
        <v>7032.1089999999995</v>
      </c>
      <c r="AB68">
        <f t="shared" si="14"/>
        <v>2421.7699999999995</v>
      </c>
      <c r="AC68" t="str">
        <f t="shared" si="15"/>
        <v>Clean</v>
      </c>
    </row>
    <row r="69" spans="1:29">
      <c r="A69" t="s">
        <v>254</v>
      </c>
      <c r="B69" s="4">
        <v>45691</v>
      </c>
      <c r="C69" s="4">
        <v>45840</v>
      </c>
      <c r="D69" t="s">
        <v>255</v>
      </c>
      <c r="E69" t="str">
        <f>PROPER(TRIM([1]raw_orders!E69))</f>
        <v>Kabir Singh</v>
      </c>
      <c r="F69" t="str">
        <f>PROPER(TRIM([1]raw_orders!F69))</f>
        <v>Consumer</v>
      </c>
      <c r="G69" t="str">
        <f>IF('[1]Cleaned Text Field'!G69="","Unknown",'[1]Cleaned Text Field'!G69)</f>
        <v>North</v>
      </c>
      <c r="H69" t="str">
        <f>PROPER(TRIM([1]raw_orders!H69))</f>
        <v>Haryana</v>
      </c>
      <c r="I69" t="str">
        <f>PROPER(TRIM([1]raw_orders!I69))</f>
        <v>Gurugram</v>
      </c>
      <c r="J69" t="str">
        <f>PROPER(TRIM([1]raw_orders!J69))</f>
        <v>Office Supplies</v>
      </c>
      <c r="K69" t="str">
        <f>PROPER(TRIM([1]raw_orders!K69))</f>
        <v>Paper</v>
      </c>
      <c r="L69" t="s">
        <v>256</v>
      </c>
      <c r="M69" t="str">
        <f>IF('[1]Cleaned Text Field'!M69="","Unknown",'[1]Cleaned Text Field'!M69)</f>
        <v>First Class</v>
      </c>
      <c r="N69">
        <f>IF('[1]Cleaned Text Field'!N69="",0,'[1]Cleaned Text Field'!N69)</f>
        <v>7</v>
      </c>
      <c r="O69">
        <v>3609.34</v>
      </c>
      <c r="P69" s="5">
        <f>IF('[1]Cleaned Text Field'!P69="",0,'[1]Cleaned Text Field'!P69)</f>
        <v>0.05</v>
      </c>
      <c r="Q69">
        <v>24002.11</v>
      </c>
      <c r="R69">
        <v>18707.57</v>
      </c>
      <c r="S69">
        <v>5294.54</v>
      </c>
      <c r="T69" t="str">
        <f>PROPER(TRIM([1]raw_orders!T69))</f>
        <v>Paid</v>
      </c>
      <c r="U69" t="str">
        <f>PROPER(TRIM([1]raw_orders!U69))</f>
        <v>Completed</v>
      </c>
      <c r="V69" s="6">
        <f t="shared" si="8"/>
        <v>0.2205864401088071</v>
      </c>
      <c r="W69" t="str">
        <f t="shared" si="9"/>
        <v>February</v>
      </c>
      <c r="X69">
        <f t="shared" si="10"/>
        <v>2025</v>
      </c>
      <c r="Y69">
        <f t="shared" si="11"/>
        <v>149</v>
      </c>
      <c r="Z69" s="7">
        <f t="shared" si="12"/>
        <v>0.05</v>
      </c>
      <c r="AA69">
        <f t="shared" si="13"/>
        <v>24002.111000000001</v>
      </c>
      <c r="AB69">
        <f t="shared" si="14"/>
        <v>5294.5400000000009</v>
      </c>
      <c r="AC69" t="str">
        <f t="shared" si="15"/>
        <v>Clean</v>
      </c>
    </row>
    <row r="70" spans="1:29">
      <c r="A70" t="s">
        <v>257</v>
      </c>
      <c r="B70" s="4">
        <v>45606</v>
      </c>
      <c r="C70" s="4">
        <v>45609</v>
      </c>
      <c r="D70" t="s">
        <v>258</v>
      </c>
      <c r="E70" t="str">
        <f>PROPER(TRIM([1]raw_orders!E70))</f>
        <v>Isha Nair</v>
      </c>
      <c r="F70" t="str">
        <f>PROPER(TRIM([1]raw_orders!F70))</f>
        <v>Corporate</v>
      </c>
      <c r="G70" t="str">
        <f>IF('[1]Cleaned Text Field'!G70="","Unknown",'[1]Cleaned Text Field'!G70)</f>
        <v>East</v>
      </c>
      <c r="H70" t="str">
        <f>PROPER(TRIM([1]raw_orders!H70))</f>
        <v>Jharkhand</v>
      </c>
      <c r="I70" t="str">
        <f>PROPER(TRIM([1]raw_orders!I70))</f>
        <v>Ranchi</v>
      </c>
      <c r="J70" t="str">
        <f>PROPER(TRIM([1]raw_orders!J70))</f>
        <v>Office Supplies</v>
      </c>
      <c r="K70" t="str">
        <f>PROPER(TRIM([1]raw_orders!K70))</f>
        <v>Storage</v>
      </c>
      <c r="L70" t="s">
        <v>259</v>
      </c>
      <c r="M70" t="str">
        <f>IF('[1]Cleaned Text Field'!M70="","Unknown",'[1]Cleaned Text Field'!M70)</f>
        <v>Second Class</v>
      </c>
      <c r="N70">
        <f>IF('[1]Cleaned Text Field'!N70="",0,'[1]Cleaned Text Field'!N70)</f>
        <v>9</v>
      </c>
      <c r="O70">
        <v>2211.12</v>
      </c>
      <c r="P70" s="5">
        <f>IF('[1]Cleaned Text Field'!P70="",0,'[1]Cleaned Text Field'!P70)</f>
        <v>0</v>
      </c>
      <c r="Q70">
        <v>19900.080000000002</v>
      </c>
      <c r="R70">
        <v>10962.66</v>
      </c>
      <c r="S70">
        <v>8937.42</v>
      </c>
      <c r="T70" t="str">
        <f>PROPER(TRIM([1]raw_orders!T70))</f>
        <v>Failed</v>
      </c>
      <c r="U70" t="str">
        <f>PROPER(TRIM([1]raw_orders!U70))</f>
        <v>Returned</v>
      </c>
      <c r="V70" s="6">
        <f t="shared" si="8"/>
        <v>0.44911477742803041</v>
      </c>
      <c r="W70" t="str">
        <f t="shared" si="9"/>
        <v>November</v>
      </c>
      <c r="X70">
        <f t="shared" si="10"/>
        <v>2024</v>
      </c>
      <c r="Y70">
        <f t="shared" si="11"/>
        <v>3</v>
      </c>
      <c r="Z70" s="7">
        <f t="shared" si="12"/>
        <v>0</v>
      </c>
      <c r="AA70">
        <f t="shared" si="13"/>
        <v>19900.079999999998</v>
      </c>
      <c r="AB70">
        <f t="shared" si="14"/>
        <v>8937.4200000000019</v>
      </c>
      <c r="AC70" t="str">
        <f t="shared" si="15"/>
        <v>Clean</v>
      </c>
    </row>
    <row r="71" spans="1:29">
      <c r="A71" t="s">
        <v>260</v>
      </c>
      <c r="B71" s="4">
        <v>45391</v>
      </c>
      <c r="C71" s="4">
        <v>45396</v>
      </c>
      <c r="D71" t="s">
        <v>261</v>
      </c>
      <c r="E71" t="str">
        <f>PROPER(TRIM([1]raw_orders!E71))</f>
        <v>Neha Gupta</v>
      </c>
      <c r="F71" t="str">
        <f>PROPER(TRIM([1]raw_orders!F71))</f>
        <v>Small Business</v>
      </c>
      <c r="G71" t="str">
        <f>IF('[1]Cleaned Text Field'!G71="","Unknown",'[1]Cleaned Text Field'!G71)</f>
        <v>West</v>
      </c>
      <c r="H71" t="str">
        <f>PROPER(TRIM([1]raw_orders!H71))</f>
        <v>Gujarat</v>
      </c>
      <c r="I71" t="str">
        <f>PROPER(TRIM([1]raw_orders!I71))</f>
        <v>Ahmedabad</v>
      </c>
      <c r="J71" t="str">
        <f>PROPER(TRIM([1]raw_orders!J71))</f>
        <v>Technology</v>
      </c>
      <c r="K71" t="str">
        <f>PROPER(TRIM([1]raw_orders!K71))</f>
        <v>Machines</v>
      </c>
      <c r="L71" t="s">
        <v>262</v>
      </c>
      <c r="M71" t="str">
        <f>IF('[1]Cleaned Text Field'!M71="","Unknown",'[1]Cleaned Text Field'!M71)</f>
        <v>Same Day</v>
      </c>
      <c r="N71">
        <f>IF('[1]Cleaned Text Field'!N71="",0,'[1]Cleaned Text Field'!N71)</f>
        <v>7</v>
      </c>
      <c r="O71">
        <v>3417.09</v>
      </c>
      <c r="P71" s="5">
        <f>IF('[1]Cleaned Text Field'!P71="",0,'[1]Cleaned Text Field'!P71)</f>
        <v>0.1</v>
      </c>
      <c r="Q71">
        <v>21527.67</v>
      </c>
      <c r="R71">
        <v>18287.580000000002</v>
      </c>
      <c r="S71">
        <v>3240.09</v>
      </c>
      <c r="T71" t="str">
        <f>PROPER(TRIM([1]raw_orders!T71))</f>
        <v>Refunded</v>
      </c>
      <c r="U71" t="str">
        <f>PROPER(TRIM([1]raw_orders!U71))</f>
        <v>Returned</v>
      </c>
      <c r="V71" s="6">
        <f t="shared" si="8"/>
        <v>0.15050815996343311</v>
      </c>
      <c r="W71" t="str">
        <f t="shared" si="9"/>
        <v>April</v>
      </c>
      <c r="X71">
        <f t="shared" si="10"/>
        <v>2024</v>
      </c>
      <c r="Y71">
        <f t="shared" si="11"/>
        <v>5</v>
      </c>
      <c r="Z71" s="7">
        <f t="shared" si="12"/>
        <v>0.1</v>
      </c>
      <c r="AA71">
        <f t="shared" si="13"/>
        <v>21527.667000000001</v>
      </c>
      <c r="AB71">
        <f t="shared" si="14"/>
        <v>3240.0899999999965</v>
      </c>
      <c r="AC71" t="str">
        <f t="shared" si="15"/>
        <v>Clean</v>
      </c>
    </row>
    <row r="72" spans="1:29">
      <c r="A72" t="s">
        <v>263</v>
      </c>
      <c r="B72" s="4">
        <v>45891</v>
      </c>
      <c r="C72" s="4">
        <v>45896</v>
      </c>
      <c r="D72" t="s">
        <v>264</v>
      </c>
      <c r="E72" t="str">
        <f>PROPER(TRIM([1]raw_orders!E72))</f>
        <v>Karan Malhotra</v>
      </c>
      <c r="F72" t="str">
        <f>PROPER(TRIM([1]raw_orders!F72))</f>
        <v>Corporate</v>
      </c>
      <c r="G72" t="str">
        <f>IF('[1]Cleaned Text Field'!G72="","Unknown",'[1]Cleaned Text Field'!G72)</f>
        <v>South</v>
      </c>
      <c r="H72" t="str">
        <f>PROPER(TRIM([1]raw_orders!H72))</f>
        <v>Andhra Pradesh</v>
      </c>
      <c r="I72" t="str">
        <f>PROPER(TRIM([1]raw_orders!I72))</f>
        <v>Vijayawada</v>
      </c>
      <c r="J72" t="str">
        <f>PROPER(TRIM([1]raw_orders!J72))</f>
        <v>Technology</v>
      </c>
      <c r="K72" t="str">
        <f>PROPER(TRIM([1]raw_orders!K72))</f>
        <v>Phones</v>
      </c>
      <c r="L72" t="s">
        <v>265</v>
      </c>
      <c r="M72" t="str">
        <f>IF('[1]Cleaned Text Field'!M72="","Unknown",'[1]Cleaned Text Field'!M72)</f>
        <v>First Class</v>
      </c>
      <c r="N72">
        <f>IF('[1]Cleaned Text Field'!N72="",0,'[1]Cleaned Text Field'!N72)</f>
        <v>2</v>
      </c>
      <c r="O72">
        <v>905.87</v>
      </c>
      <c r="P72" s="5">
        <f>IF('[1]Cleaned Text Field'!P72="",0,'[1]Cleaned Text Field'!P72)</f>
        <v>0.15</v>
      </c>
      <c r="Q72">
        <v>1539.98</v>
      </c>
      <c r="R72">
        <v>1070.2</v>
      </c>
      <c r="S72">
        <v>469.78</v>
      </c>
      <c r="T72" t="str">
        <f>PROPER(TRIM([1]raw_orders!T72))</f>
        <v>Paid</v>
      </c>
      <c r="U72" t="str">
        <f>PROPER(TRIM([1]raw_orders!U72))</f>
        <v>Completed</v>
      </c>
      <c r="V72" s="6">
        <f t="shared" si="8"/>
        <v>0.30505590981701058</v>
      </c>
      <c r="W72" t="str">
        <f t="shared" si="9"/>
        <v>August</v>
      </c>
      <c r="X72">
        <f t="shared" si="10"/>
        <v>2025</v>
      </c>
      <c r="Y72">
        <f t="shared" si="11"/>
        <v>5</v>
      </c>
      <c r="Z72" s="7">
        <f t="shared" si="12"/>
        <v>0.15</v>
      </c>
      <c r="AA72">
        <f t="shared" si="13"/>
        <v>1539.979</v>
      </c>
      <c r="AB72">
        <f t="shared" si="14"/>
        <v>469.78</v>
      </c>
      <c r="AC72" t="str">
        <f t="shared" si="15"/>
        <v>Clean</v>
      </c>
    </row>
    <row r="73" spans="1:29">
      <c r="A73" t="s">
        <v>266</v>
      </c>
      <c r="B73" s="4">
        <v>45763</v>
      </c>
      <c r="C73" s="4">
        <v>45770</v>
      </c>
      <c r="D73" t="s">
        <v>267</v>
      </c>
      <c r="E73" t="str">
        <f>PROPER(TRIM([1]raw_orders!E73))</f>
        <v>Mira Das</v>
      </c>
      <c r="F73" t="str">
        <f>PROPER(TRIM([1]raw_orders!F73))</f>
        <v>Small Business</v>
      </c>
      <c r="G73" t="str">
        <f>IF('[1]Cleaned Text Field'!G73="","Unknown",'[1]Cleaned Text Field'!G73)</f>
        <v>West</v>
      </c>
      <c r="H73" t="str">
        <f>PROPER(TRIM([1]raw_orders!H73))</f>
        <v>Goa</v>
      </c>
      <c r="I73" t="str">
        <f>PROPER(TRIM([1]raw_orders!I73))</f>
        <v>Panaji</v>
      </c>
      <c r="J73" t="str">
        <f>PROPER(TRIM([1]raw_orders!J73))</f>
        <v>Technology</v>
      </c>
      <c r="K73" t="str">
        <f>PROPER(TRIM([1]raw_orders!K73))</f>
        <v>Machines</v>
      </c>
      <c r="L73" t="s">
        <v>268</v>
      </c>
      <c r="M73" t="str">
        <f>IF('[1]Cleaned Text Field'!M73="","Unknown",'[1]Cleaned Text Field'!M73)</f>
        <v>Standard Class</v>
      </c>
      <c r="N73">
        <f>IF('[1]Cleaned Text Field'!N73="",0,'[1]Cleaned Text Field'!N73)</f>
        <v>6</v>
      </c>
      <c r="O73">
        <v>2027.32</v>
      </c>
      <c r="P73" s="5">
        <f>IF('[1]Cleaned Text Field'!P73="",0,'[1]Cleaned Text Field'!P73)</f>
        <v>0.1</v>
      </c>
      <c r="Q73">
        <v>10947.53</v>
      </c>
      <c r="R73">
        <v>6447.36</v>
      </c>
      <c r="S73">
        <v>4500.17</v>
      </c>
      <c r="T73" t="str">
        <f>PROPER(TRIM([1]raw_orders!T73))</f>
        <v>Paid</v>
      </c>
      <c r="U73" t="str">
        <f>PROPER(TRIM([1]raw_orders!U73))</f>
        <v>Completed</v>
      </c>
      <c r="V73" s="6">
        <f t="shared" si="8"/>
        <v>0.41106715396075644</v>
      </c>
      <c r="W73" t="str">
        <f t="shared" si="9"/>
        <v>April</v>
      </c>
      <c r="X73">
        <f t="shared" si="10"/>
        <v>2025</v>
      </c>
      <c r="Y73">
        <f t="shared" si="11"/>
        <v>7</v>
      </c>
      <c r="Z73" s="7">
        <f t="shared" si="12"/>
        <v>0.1</v>
      </c>
      <c r="AA73">
        <f t="shared" si="13"/>
        <v>10947.528</v>
      </c>
      <c r="AB73">
        <f t="shared" si="14"/>
        <v>4500.170000000001</v>
      </c>
      <c r="AC73" t="str">
        <f t="shared" si="15"/>
        <v>Clean</v>
      </c>
    </row>
    <row r="74" spans="1:29">
      <c r="A74" t="s">
        <v>269</v>
      </c>
      <c r="B74" s="4">
        <v>45333</v>
      </c>
      <c r="C74" s="4">
        <v>45329</v>
      </c>
      <c r="D74" t="s">
        <v>270</v>
      </c>
      <c r="E74" t="str">
        <f>PROPER(TRIM([1]raw_orders!E74))</f>
        <v>Karan Malhotra</v>
      </c>
      <c r="F74" t="str">
        <f>PROPER(TRIM([1]raw_orders!F74))</f>
        <v>Home Office</v>
      </c>
      <c r="G74" t="str">
        <f>IF('[1]Cleaned Text Field'!G74="","Unknown",'[1]Cleaned Text Field'!G74)</f>
        <v>South</v>
      </c>
      <c r="H74" t="str">
        <f>PROPER(TRIM([1]raw_orders!H74))</f>
        <v>Tamil Nadu</v>
      </c>
      <c r="I74" t="str">
        <f>PROPER(TRIM([1]raw_orders!I74))</f>
        <v>Chennai</v>
      </c>
      <c r="J74" t="str">
        <f>PROPER(TRIM([1]raw_orders!J74))</f>
        <v>Furniture</v>
      </c>
      <c r="K74" t="str">
        <f>PROPER(TRIM([1]raw_orders!K74))</f>
        <v>Tables</v>
      </c>
      <c r="L74" t="s">
        <v>271</v>
      </c>
      <c r="M74" t="str">
        <f>IF('[1]Cleaned Text Field'!M74="","Unknown",'[1]Cleaned Text Field'!M74)</f>
        <v>First Class</v>
      </c>
      <c r="N74">
        <f>IF('[1]Cleaned Text Field'!N74="",0,'[1]Cleaned Text Field'!N74)</f>
        <v>7</v>
      </c>
      <c r="O74">
        <v>2287.4699999999998</v>
      </c>
      <c r="P74" s="5">
        <f>IF('[1]Cleaned Text Field'!P74="",0,'[1]Cleaned Text Field'!P74)</f>
        <v>0.15</v>
      </c>
      <c r="Q74">
        <v>13610.45</v>
      </c>
      <c r="R74">
        <v>10039.049999999999</v>
      </c>
      <c r="S74">
        <v>3571.4</v>
      </c>
      <c r="T74" t="str">
        <f>PROPER(TRIM([1]raw_orders!T74))</f>
        <v>Paid</v>
      </c>
      <c r="U74" t="str">
        <f>PROPER(TRIM([1]raw_orders!U74))</f>
        <v>Completed</v>
      </c>
      <c r="V74" s="6">
        <f t="shared" si="8"/>
        <v>0.26240131663537941</v>
      </c>
      <c r="W74" t="str">
        <f t="shared" si="9"/>
        <v>February</v>
      </c>
      <c r="X74">
        <f t="shared" si="10"/>
        <v>2024</v>
      </c>
      <c r="Y74">
        <f t="shared" si="11"/>
        <v>-4</v>
      </c>
      <c r="Z74" s="7">
        <f t="shared" si="12"/>
        <v>0.15</v>
      </c>
      <c r="AA74">
        <f t="shared" si="13"/>
        <v>13610.446499999998</v>
      </c>
      <c r="AB74">
        <f t="shared" si="14"/>
        <v>3571.4000000000015</v>
      </c>
      <c r="AC74" t="str">
        <f t="shared" si="15"/>
        <v>Warning</v>
      </c>
    </row>
    <row r="75" spans="1:29">
      <c r="A75" t="s">
        <v>272</v>
      </c>
      <c r="B75" s="4">
        <v>45745</v>
      </c>
      <c r="C75" s="4">
        <v>45750</v>
      </c>
      <c r="D75" t="s">
        <v>273</v>
      </c>
      <c r="E75" t="str">
        <f>PROPER(TRIM([1]raw_orders!E75))</f>
        <v>Sneha Kapoor</v>
      </c>
      <c r="F75" t="str">
        <f>PROPER(TRIM([1]raw_orders!F75))</f>
        <v>Corporate</v>
      </c>
      <c r="G75" t="str">
        <f>IF('[1]Cleaned Text Field'!G75="","Unknown",'[1]Cleaned Text Field'!G75)</f>
        <v>East</v>
      </c>
      <c r="H75" t="str">
        <f>PROPER(TRIM([1]raw_orders!H75))</f>
        <v>West Bengal</v>
      </c>
      <c r="I75" t="str">
        <f>PROPER(TRIM([1]raw_orders!I75))</f>
        <v>Kolkata</v>
      </c>
      <c r="J75" t="str">
        <f>PROPER(TRIM([1]raw_orders!J75))</f>
        <v>Furniture</v>
      </c>
      <c r="K75" t="str">
        <f>PROPER(TRIM([1]raw_orders!K75))</f>
        <v>Bookcases</v>
      </c>
      <c r="L75" t="s">
        <v>274</v>
      </c>
      <c r="M75" t="str">
        <f>IF('[1]Cleaned Text Field'!M75="","Unknown",'[1]Cleaned Text Field'!M75)</f>
        <v>First Class</v>
      </c>
      <c r="N75">
        <f>IF('[1]Cleaned Text Field'!N75="",0,'[1]Cleaned Text Field'!N75)</f>
        <v>5</v>
      </c>
      <c r="O75">
        <v>1425.74</v>
      </c>
      <c r="P75" s="5">
        <f>IF('[1]Cleaned Text Field'!P75="",0,'[1]Cleaned Text Field'!P75)</f>
        <v>0</v>
      </c>
      <c r="Q75">
        <v>7128.7</v>
      </c>
      <c r="R75">
        <v>4382.1499999999996</v>
      </c>
      <c r="S75">
        <v>2746.55</v>
      </c>
      <c r="T75" t="str">
        <f>PROPER(TRIM([1]raw_orders!T75))</f>
        <v>Paid</v>
      </c>
      <c r="U75" t="str">
        <f>PROPER(TRIM([1]raw_orders!U75))</f>
        <v>Completed</v>
      </c>
      <c r="V75" s="6">
        <f t="shared" si="8"/>
        <v>0.38528062620113068</v>
      </c>
      <c r="W75" t="str">
        <f t="shared" si="9"/>
        <v>March</v>
      </c>
      <c r="X75">
        <f t="shared" si="10"/>
        <v>2025</v>
      </c>
      <c r="Y75">
        <f t="shared" si="11"/>
        <v>5</v>
      </c>
      <c r="Z75" s="7">
        <f t="shared" si="12"/>
        <v>0</v>
      </c>
      <c r="AA75">
        <f t="shared" si="13"/>
        <v>7128.7</v>
      </c>
      <c r="AB75">
        <f t="shared" si="14"/>
        <v>2746.55</v>
      </c>
      <c r="AC75" t="str">
        <f t="shared" si="15"/>
        <v>Clean</v>
      </c>
    </row>
    <row r="76" spans="1:29">
      <c r="A76" t="s">
        <v>275</v>
      </c>
      <c r="B76" s="4">
        <v>45715</v>
      </c>
      <c r="C76" s="4">
        <v>45717</v>
      </c>
      <c r="D76" t="s">
        <v>276</v>
      </c>
      <c r="E76" t="str">
        <f>PROPER(TRIM([1]raw_orders!E76))</f>
        <v>Vikram Iyer</v>
      </c>
      <c r="F76" t="str">
        <f>PROPER(TRIM([1]raw_orders!F76))</f>
        <v>Small Business</v>
      </c>
      <c r="G76" t="str">
        <f>IF('[1]Cleaned Text Field'!G76="","Unknown",'[1]Cleaned Text Field'!G76)</f>
        <v>East</v>
      </c>
      <c r="H76" t="str">
        <f>PROPER(TRIM([1]raw_orders!H76))</f>
        <v>West Bengal</v>
      </c>
      <c r="I76" t="str">
        <f>PROPER(TRIM([1]raw_orders!I76))</f>
        <v>Kolkata</v>
      </c>
      <c r="J76" t="str">
        <f>PROPER(TRIM([1]raw_orders!J76))</f>
        <v>Furniture</v>
      </c>
      <c r="K76" t="str">
        <f>PROPER(TRIM([1]raw_orders!K76))</f>
        <v>Chairs</v>
      </c>
      <c r="L76" t="s">
        <v>277</v>
      </c>
      <c r="M76" t="str">
        <f>IF('[1]Cleaned Text Field'!M76="","Unknown",'[1]Cleaned Text Field'!M76)</f>
        <v>Standard Class</v>
      </c>
      <c r="N76">
        <f>IF('[1]Cleaned Text Field'!N76="",0,'[1]Cleaned Text Field'!N76)</f>
        <v>6</v>
      </c>
      <c r="O76">
        <v>551.64</v>
      </c>
      <c r="P76" s="5">
        <f>IF('[1]Cleaned Text Field'!P76="",0,'[1]Cleaned Text Field'!P76)</f>
        <v>0</v>
      </c>
      <c r="Q76">
        <v>3309.84</v>
      </c>
      <c r="R76">
        <v>2671.08</v>
      </c>
      <c r="S76">
        <v>638.76</v>
      </c>
      <c r="T76" t="str">
        <f>PROPER(TRIM([1]raw_orders!T76))</f>
        <v>Paid</v>
      </c>
      <c r="U76" t="str">
        <f>PROPER(TRIM([1]raw_orders!U76))</f>
        <v>Completed</v>
      </c>
      <c r="V76" s="6">
        <f t="shared" si="8"/>
        <v>0.19298818069755636</v>
      </c>
      <c r="W76" t="str">
        <f t="shared" si="9"/>
        <v>February</v>
      </c>
      <c r="X76">
        <f t="shared" si="10"/>
        <v>2025</v>
      </c>
      <c r="Y76">
        <f t="shared" si="11"/>
        <v>2</v>
      </c>
      <c r="Z76" s="7">
        <f t="shared" si="12"/>
        <v>0</v>
      </c>
      <c r="AA76">
        <f t="shared" si="13"/>
        <v>3309.84</v>
      </c>
      <c r="AB76">
        <f t="shared" si="14"/>
        <v>638.76000000000022</v>
      </c>
      <c r="AC76" t="str">
        <f t="shared" si="15"/>
        <v>Clean</v>
      </c>
    </row>
    <row r="77" spans="1:29">
      <c r="A77" t="s">
        <v>278</v>
      </c>
      <c r="B77" s="4">
        <v>45891</v>
      </c>
      <c r="C77" s="4">
        <v>45896</v>
      </c>
      <c r="D77" t="s">
        <v>279</v>
      </c>
      <c r="E77" t="str">
        <f>PROPER(TRIM([1]raw_orders!E77))</f>
        <v>Priya Menon</v>
      </c>
      <c r="F77" t="str">
        <f>PROPER(TRIM([1]raw_orders!F77))</f>
        <v>Small Business</v>
      </c>
      <c r="G77" t="str">
        <f>IF('[1]Cleaned Text Field'!G77="","Unknown",'[1]Cleaned Text Field'!G77)</f>
        <v>East</v>
      </c>
      <c r="H77" t="str">
        <f>PROPER(TRIM([1]raw_orders!H77))</f>
        <v>Odisha</v>
      </c>
      <c r="I77" t="str">
        <f>PROPER(TRIM([1]raw_orders!I77))</f>
        <v>Bhubaneswar</v>
      </c>
      <c r="J77" t="str">
        <f>PROPER(TRIM([1]raw_orders!J77))</f>
        <v>Office Supplies</v>
      </c>
      <c r="K77" t="str">
        <f>PROPER(TRIM([1]raw_orders!K77))</f>
        <v>Labels</v>
      </c>
      <c r="L77" t="s">
        <v>280</v>
      </c>
      <c r="M77" t="str">
        <f>IF('[1]Cleaned Text Field'!M77="","Unknown",'[1]Cleaned Text Field'!M77)</f>
        <v>First Class</v>
      </c>
      <c r="N77">
        <f>IF('[1]Cleaned Text Field'!N77="",0,'[1]Cleaned Text Field'!N77)</f>
        <v>3</v>
      </c>
      <c r="O77">
        <v>3294.82</v>
      </c>
      <c r="P77" s="5">
        <f>IF('[1]Cleaned Text Field'!P77="",0,'[1]Cleaned Text Field'!P77)</f>
        <v>0.2</v>
      </c>
      <c r="Q77">
        <v>7907.57</v>
      </c>
      <c r="R77">
        <v>5391.18</v>
      </c>
      <c r="S77">
        <v>2516.39</v>
      </c>
      <c r="T77" t="str">
        <f>PROPER(TRIM([1]raw_orders!T77))</f>
        <v>Paid</v>
      </c>
      <c r="U77" t="str">
        <f>PROPER(TRIM([1]raw_orders!U77))</f>
        <v>Completed</v>
      </c>
      <c r="V77" s="6">
        <f t="shared" si="8"/>
        <v>0.3182254472612952</v>
      </c>
      <c r="W77" t="str">
        <f t="shared" si="9"/>
        <v>August</v>
      </c>
      <c r="X77">
        <f t="shared" si="10"/>
        <v>2025</v>
      </c>
      <c r="Y77">
        <f t="shared" si="11"/>
        <v>5</v>
      </c>
      <c r="Z77" s="7">
        <f t="shared" si="12"/>
        <v>0.2</v>
      </c>
      <c r="AA77">
        <f t="shared" si="13"/>
        <v>7907.5680000000011</v>
      </c>
      <c r="AB77">
        <f t="shared" si="14"/>
        <v>2516.3899999999994</v>
      </c>
      <c r="AC77" t="str">
        <f t="shared" si="15"/>
        <v>Clean</v>
      </c>
    </row>
    <row r="78" spans="1:29">
      <c r="A78" t="s">
        <v>281</v>
      </c>
      <c r="B78" s="4">
        <v>45599</v>
      </c>
      <c r="C78" s="4">
        <v>45607</v>
      </c>
      <c r="D78" t="s">
        <v>282</v>
      </c>
      <c r="E78" t="str">
        <f>PROPER(TRIM([1]raw_orders!E78))</f>
        <v>Ananya Rao</v>
      </c>
      <c r="F78" t="str">
        <f>PROPER(TRIM([1]raw_orders!F78))</f>
        <v>Corporate</v>
      </c>
      <c r="G78" t="str">
        <f>IF('[1]Cleaned Text Field'!G78="","Unknown",'[1]Cleaned Text Field'!G78)</f>
        <v>East</v>
      </c>
      <c r="H78" t="str">
        <f>PROPER(TRIM([1]raw_orders!H78))</f>
        <v>Jharkhand</v>
      </c>
      <c r="I78" t="str">
        <f>PROPER(TRIM([1]raw_orders!I78))</f>
        <v>Ranchi</v>
      </c>
      <c r="J78" t="str">
        <f>PROPER(TRIM([1]raw_orders!J78))</f>
        <v>Office Supplies</v>
      </c>
      <c r="K78" t="str">
        <f>PROPER(TRIM([1]raw_orders!K78))</f>
        <v>Labels</v>
      </c>
      <c r="L78" t="s">
        <v>283</v>
      </c>
      <c r="M78" t="str">
        <f>IF('[1]Cleaned Text Field'!M78="","Unknown",'[1]Cleaned Text Field'!M78)</f>
        <v>Second Class</v>
      </c>
      <c r="N78">
        <f>IF('[1]Cleaned Text Field'!N78="",0,'[1]Cleaned Text Field'!N78)</f>
        <v>3</v>
      </c>
      <c r="O78">
        <v>3406.27</v>
      </c>
      <c r="P78" s="5">
        <f>IF('[1]Cleaned Text Field'!P78="",0,'[1]Cleaned Text Field'!P78)</f>
        <v>0</v>
      </c>
      <c r="Q78">
        <v>10218.81</v>
      </c>
      <c r="R78">
        <v>7616.97</v>
      </c>
      <c r="S78">
        <v>2601.84</v>
      </c>
      <c r="T78" t="str">
        <f>PROPER(TRIM([1]raw_orders!T78))</f>
        <v>Paid</v>
      </c>
      <c r="U78" t="str">
        <f>PROPER(TRIM([1]raw_orders!U78))</f>
        <v>Completed</v>
      </c>
      <c r="V78" s="6">
        <f t="shared" si="8"/>
        <v>0.25461281695226745</v>
      </c>
      <c r="W78" t="str">
        <f t="shared" si="9"/>
        <v>November</v>
      </c>
      <c r="X78">
        <f t="shared" si="10"/>
        <v>2024</v>
      </c>
      <c r="Y78">
        <f t="shared" si="11"/>
        <v>8</v>
      </c>
      <c r="Z78" s="7">
        <f t="shared" si="12"/>
        <v>0</v>
      </c>
      <c r="AA78">
        <f t="shared" si="13"/>
        <v>10218.81</v>
      </c>
      <c r="AB78">
        <f t="shared" si="14"/>
        <v>2601.8399999999992</v>
      </c>
      <c r="AC78" t="str">
        <f t="shared" si="15"/>
        <v>Clean</v>
      </c>
    </row>
    <row r="79" spans="1:29">
      <c r="A79" t="s">
        <v>284</v>
      </c>
      <c r="B79" s="4">
        <v>45846</v>
      </c>
      <c r="C79" s="4">
        <v>45998</v>
      </c>
      <c r="D79" t="s">
        <v>285</v>
      </c>
      <c r="E79" t="str">
        <f>PROPER(TRIM([1]raw_orders!E79))</f>
        <v>Rohan Mehta</v>
      </c>
      <c r="F79" t="str">
        <f>PROPER(TRIM([1]raw_orders!F79))</f>
        <v>Home Office</v>
      </c>
      <c r="G79" t="str">
        <f>IF('[1]Cleaned Text Field'!G79="","Unknown",'[1]Cleaned Text Field'!G79)</f>
        <v>North</v>
      </c>
      <c r="H79" t="str">
        <f>PROPER(TRIM([1]raw_orders!H79))</f>
        <v>Uttar Pradesh</v>
      </c>
      <c r="I79" t="str">
        <f>PROPER(TRIM([1]raw_orders!I79))</f>
        <v>Noida</v>
      </c>
      <c r="J79" t="str">
        <f>PROPER(TRIM([1]raw_orders!J79))</f>
        <v>Furniture</v>
      </c>
      <c r="K79" t="str">
        <f>PROPER(TRIM([1]raw_orders!K79))</f>
        <v>Furnishings</v>
      </c>
      <c r="L79" t="s">
        <v>286</v>
      </c>
      <c r="M79" t="str">
        <f>IF('[1]Cleaned Text Field'!M79="","Unknown",'[1]Cleaned Text Field'!M79)</f>
        <v>Standard Class</v>
      </c>
      <c r="N79">
        <f>IF('[1]Cleaned Text Field'!N79="",0,'[1]Cleaned Text Field'!N79)</f>
        <v>1</v>
      </c>
      <c r="O79">
        <v>2582.1999999999998</v>
      </c>
      <c r="P79" s="5">
        <f>IF('[1]Cleaned Text Field'!P79="",0,'[1]Cleaned Text Field'!P79)</f>
        <v>0.15</v>
      </c>
      <c r="Q79">
        <v>2194.87</v>
      </c>
      <c r="R79">
        <v>1223.17</v>
      </c>
      <c r="S79">
        <v>971.7</v>
      </c>
      <c r="T79" t="str">
        <f>PROPER(TRIM([1]raw_orders!T79))</f>
        <v>Refunded</v>
      </c>
      <c r="U79" t="str">
        <f>PROPER(TRIM([1]raw_orders!U79))</f>
        <v>Cancelled</v>
      </c>
      <c r="V79" s="6">
        <f t="shared" si="8"/>
        <v>0.44271414707932594</v>
      </c>
      <c r="W79" t="str">
        <f t="shared" si="9"/>
        <v>July</v>
      </c>
      <c r="X79">
        <f t="shared" si="10"/>
        <v>2025</v>
      </c>
      <c r="Y79">
        <f t="shared" si="11"/>
        <v>152</v>
      </c>
      <c r="Z79" s="7">
        <f t="shared" si="12"/>
        <v>0.15</v>
      </c>
      <c r="AA79">
        <f t="shared" si="13"/>
        <v>2194.87</v>
      </c>
      <c r="AB79">
        <f t="shared" si="14"/>
        <v>971.69999999999982</v>
      </c>
      <c r="AC79" t="str">
        <f t="shared" si="15"/>
        <v>Clean</v>
      </c>
    </row>
    <row r="80" spans="1:29">
      <c r="A80" t="s">
        <v>287</v>
      </c>
      <c r="B80" s="4">
        <v>45854</v>
      </c>
      <c r="C80" s="4">
        <v>45859</v>
      </c>
      <c r="D80" t="s">
        <v>288</v>
      </c>
      <c r="E80" t="str">
        <f>PROPER(TRIM([1]raw_orders!E80))</f>
        <v>Sneha Kapoor</v>
      </c>
      <c r="F80" t="str">
        <f>PROPER(TRIM([1]raw_orders!F80))</f>
        <v>Corporate</v>
      </c>
      <c r="G80" t="str">
        <f>IF('[1]Cleaned Text Field'!G80="","Unknown",'[1]Cleaned Text Field'!G80)</f>
        <v>East</v>
      </c>
      <c r="H80" t="str">
        <f>PROPER(TRIM([1]raw_orders!H80))</f>
        <v>West Bengal</v>
      </c>
      <c r="I80" t="str">
        <f>PROPER(TRIM([1]raw_orders!I80))</f>
        <v>Kolkata</v>
      </c>
      <c r="J80" t="str">
        <f>PROPER(TRIM([1]raw_orders!J80))</f>
        <v>Furniture</v>
      </c>
      <c r="K80" t="str">
        <f>PROPER(TRIM([1]raw_orders!K80))</f>
        <v>Tables</v>
      </c>
      <c r="L80" t="s">
        <v>289</v>
      </c>
      <c r="M80" t="str">
        <f>IF('[1]Cleaned Text Field'!M80="","Unknown",'[1]Cleaned Text Field'!M80)</f>
        <v>First Class</v>
      </c>
      <c r="N80">
        <f>IF('[1]Cleaned Text Field'!N80="",0,'[1]Cleaned Text Field'!N80)</f>
        <v>5</v>
      </c>
      <c r="O80">
        <v>2129.5100000000002</v>
      </c>
      <c r="P80" s="5">
        <f>IF('[1]Cleaned Text Field'!P80="",0,'[1]Cleaned Text Field'!P80)</f>
        <v>0.15</v>
      </c>
      <c r="Q80">
        <v>9050.42</v>
      </c>
      <c r="R80">
        <v>6778.85</v>
      </c>
      <c r="S80">
        <v>2271.5700000000002</v>
      </c>
      <c r="T80" t="str">
        <f>PROPER(TRIM([1]raw_orders!T80))</f>
        <v>Paid</v>
      </c>
      <c r="U80" t="str">
        <f>PROPER(TRIM([1]raw_orders!U80))</f>
        <v>Completed</v>
      </c>
      <c r="V80" s="6">
        <f t="shared" si="8"/>
        <v>0.25099056176398443</v>
      </c>
      <c r="W80" t="str">
        <f t="shared" si="9"/>
        <v>July</v>
      </c>
      <c r="X80">
        <f t="shared" si="10"/>
        <v>2025</v>
      </c>
      <c r="Y80">
        <f t="shared" si="11"/>
        <v>5</v>
      </c>
      <c r="Z80" s="7">
        <f t="shared" si="12"/>
        <v>0.15</v>
      </c>
      <c r="AA80">
        <f t="shared" si="13"/>
        <v>9050.4175000000014</v>
      </c>
      <c r="AB80">
        <f t="shared" si="14"/>
        <v>2271.5699999999997</v>
      </c>
      <c r="AC80" t="str">
        <f t="shared" si="15"/>
        <v>Clean</v>
      </c>
    </row>
    <row r="81" spans="1:29">
      <c r="A81" t="s">
        <v>290</v>
      </c>
      <c r="B81" s="4">
        <v>45927</v>
      </c>
      <c r="C81" s="4">
        <v>45933</v>
      </c>
      <c r="D81" t="s">
        <v>291</v>
      </c>
      <c r="E81" t="str">
        <f>PROPER(TRIM([1]raw_orders!E81))</f>
        <v>Diya Patel</v>
      </c>
      <c r="F81" t="str">
        <f>PROPER(TRIM([1]raw_orders!F81))</f>
        <v>Home Office</v>
      </c>
      <c r="G81" t="str">
        <f>IF('[1]Cleaned Text Field'!G81="","Unknown",'[1]Cleaned Text Field'!G81)</f>
        <v>South</v>
      </c>
      <c r="H81" t="str">
        <f>PROPER(TRIM([1]raw_orders!H81))</f>
        <v>Tamil Nadu</v>
      </c>
      <c r="I81" t="str">
        <f>PROPER(TRIM([1]raw_orders!I81))</f>
        <v>Chennai</v>
      </c>
      <c r="J81" t="str">
        <f>PROPER(TRIM([1]raw_orders!J81))</f>
        <v>Furniture</v>
      </c>
      <c r="K81" t="str">
        <f>PROPER(TRIM([1]raw_orders!K81))</f>
        <v>Chairs</v>
      </c>
      <c r="L81" t="s">
        <v>292</v>
      </c>
      <c r="M81" t="str">
        <f>IF('[1]Cleaned Text Field'!M81="","Unknown",'[1]Cleaned Text Field'!M81)</f>
        <v>Same Day</v>
      </c>
      <c r="N81">
        <f>IF('[1]Cleaned Text Field'!N81="",0,'[1]Cleaned Text Field'!N81)</f>
        <v>9</v>
      </c>
      <c r="O81">
        <v>4131.5200000000004</v>
      </c>
      <c r="P81" s="5">
        <f>IF('[1]Cleaned Text Field'!P81="",0,'[1]Cleaned Text Field'!P81)</f>
        <v>0.1</v>
      </c>
      <c r="Q81">
        <v>33465.31</v>
      </c>
      <c r="R81">
        <v>24781.26</v>
      </c>
      <c r="S81">
        <v>8684.0499999999993</v>
      </c>
      <c r="T81" t="str">
        <f>PROPER(TRIM([1]raw_orders!T81))</f>
        <v>Paid</v>
      </c>
      <c r="U81" t="str">
        <f>PROPER(TRIM([1]raw_orders!U81))</f>
        <v>Completed</v>
      </c>
      <c r="V81" s="6">
        <f t="shared" si="8"/>
        <v>0.25949408506898636</v>
      </c>
      <c r="W81" t="str">
        <f t="shared" si="9"/>
        <v>September</v>
      </c>
      <c r="X81">
        <f t="shared" si="10"/>
        <v>2025</v>
      </c>
      <c r="Y81">
        <f t="shared" si="11"/>
        <v>6</v>
      </c>
      <c r="Z81" s="7">
        <f t="shared" si="12"/>
        <v>0.1</v>
      </c>
      <c r="AA81">
        <f t="shared" si="13"/>
        <v>33465.312000000005</v>
      </c>
      <c r="AB81">
        <f t="shared" si="14"/>
        <v>8684.0499999999993</v>
      </c>
      <c r="AC81" t="str">
        <f t="shared" si="15"/>
        <v>Clean</v>
      </c>
    </row>
    <row r="82" spans="1:29">
      <c r="A82" t="s">
        <v>293</v>
      </c>
      <c r="B82" s="4">
        <v>45514</v>
      </c>
      <c r="C82" s="4">
        <v>45518</v>
      </c>
      <c r="D82" t="s">
        <v>294</v>
      </c>
      <c r="E82" t="str">
        <f>PROPER(TRIM([1]raw_orders!E82))</f>
        <v>Aarav Sharma</v>
      </c>
      <c r="F82" t="str">
        <f>PROPER(TRIM([1]raw_orders!F82))</f>
        <v>Small Business</v>
      </c>
      <c r="G82" t="str">
        <f>IF('[1]Cleaned Text Field'!G82="","Unknown",'[1]Cleaned Text Field'!G82)</f>
        <v>North</v>
      </c>
      <c r="H82" t="str">
        <f>PROPER(TRIM([1]raw_orders!H82))</f>
        <v>Delhi</v>
      </c>
      <c r="I82" t="str">
        <f>PROPER(TRIM([1]raw_orders!I82))</f>
        <v>New Delhi</v>
      </c>
      <c r="J82" t="str">
        <f>PROPER(TRIM([1]raw_orders!J82))</f>
        <v>Office Supplies</v>
      </c>
      <c r="K82" t="str">
        <f>PROPER(TRIM([1]raw_orders!K82))</f>
        <v>Storage</v>
      </c>
      <c r="L82" t="s">
        <v>295</v>
      </c>
      <c r="M82" t="str">
        <f>IF('[1]Cleaned Text Field'!M82="","Unknown",'[1]Cleaned Text Field'!M82)</f>
        <v>Second Class</v>
      </c>
      <c r="N82">
        <f>IF('[1]Cleaned Text Field'!N82="",0,'[1]Cleaned Text Field'!N82)</f>
        <v>4</v>
      </c>
      <c r="O82">
        <v>1182.32</v>
      </c>
      <c r="P82" s="5">
        <f>IF('[1]Cleaned Text Field'!P82="",0,'[1]Cleaned Text Field'!P82)</f>
        <v>0.1</v>
      </c>
      <c r="Q82">
        <v>4256.3500000000004</v>
      </c>
      <c r="R82">
        <v>2495.33</v>
      </c>
      <c r="S82">
        <v>1761.02</v>
      </c>
      <c r="T82" t="str">
        <f>PROPER(TRIM([1]raw_orders!T82))</f>
        <v>Pending</v>
      </c>
      <c r="U82" t="str">
        <f>PROPER(TRIM([1]raw_orders!U82))</f>
        <v>Returned</v>
      </c>
      <c r="V82" s="6">
        <f t="shared" si="8"/>
        <v>0.41373947161300173</v>
      </c>
      <c r="W82" t="str">
        <f t="shared" si="9"/>
        <v>August</v>
      </c>
      <c r="X82">
        <f t="shared" si="10"/>
        <v>2024</v>
      </c>
      <c r="Y82">
        <f t="shared" si="11"/>
        <v>4</v>
      </c>
      <c r="Z82" s="7">
        <f t="shared" si="12"/>
        <v>0.1</v>
      </c>
      <c r="AA82">
        <f t="shared" si="13"/>
        <v>4256.3519999999999</v>
      </c>
      <c r="AB82">
        <f t="shared" si="14"/>
        <v>1761.0200000000004</v>
      </c>
      <c r="AC82" t="str">
        <f t="shared" si="15"/>
        <v>Clean</v>
      </c>
    </row>
    <row r="83" spans="1:29">
      <c r="A83" t="s">
        <v>296</v>
      </c>
      <c r="B83" s="4">
        <v>45732</v>
      </c>
      <c r="C83" s="4">
        <v>45733</v>
      </c>
      <c r="D83" t="s">
        <v>297</v>
      </c>
      <c r="E83" t="str">
        <f>PROPER(TRIM([1]raw_orders!E83))</f>
        <v>Karan Malhotra</v>
      </c>
      <c r="F83" t="str">
        <f>PROPER(TRIM([1]raw_orders!F83))</f>
        <v>Home Office</v>
      </c>
      <c r="G83" t="str">
        <f>IF('[1]Cleaned Text Field'!G83="","Unknown",'[1]Cleaned Text Field'!G83)</f>
        <v>West</v>
      </c>
      <c r="H83" t="str">
        <f>PROPER(TRIM([1]raw_orders!H83))</f>
        <v>Goa</v>
      </c>
      <c r="I83" t="str">
        <f>PROPER(TRIM([1]raw_orders!I83))</f>
        <v>Panaji</v>
      </c>
      <c r="J83" t="str">
        <f>PROPER(TRIM([1]raw_orders!J83))</f>
        <v>Office Supplies</v>
      </c>
      <c r="K83" t="str">
        <f>PROPER(TRIM([1]raw_orders!K83))</f>
        <v>Labels</v>
      </c>
      <c r="L83" t="s">
        <v>298</v>
      </c>
      <c r="M83" t="str">
        <f>IF('[1]Cleaned Text Field'!M83="","Unknown",'[1]Cleaned Text Field'!M83)</f>
        <v>Same Day</v>
      </c>
      <c r="N83">
        <f>IF('[1]Cleaned Text Field'!N83="",0,'[1]Cleaned Text Field'!N83)</f>
        <v>3</v>
      </c>
      <c r="O83">
        <v>1841.91</v>
      </c>
      <c r="P83" s="5">
        <f>IF('[1]Cleaned Text Field'!P83="",0,'[1]Cleaned Text Field'!P83)</f>
        <v>0</v>
      </c>
      <c r="Q83">
        <v>5525.73</v>
      </c>
      <c r="R83">
        <v>3093.42</v>
      </c>
      <c r="S83">
        <v>2432.31</v>
      </c>
      <c r="T83" t="str">
        <f>PROPER(TRIM([1]raw_orders!T83))</f>
        <v>Paid</v>
      </c>
      <c r="U83" t="str">
        <f>PROPER(TRIM([1]raw_orders!U83))</f>
        <v>Completed</v>
      </c>
      <c r="V83" s="6">
        <f t="shared" si="8"/>
        <v>0.44017894468242208</v>
      </c>
      <c r="W83" t="str">
        <f t="shared" si="9"/>
        <v>March</v>
      </c>
      <c r="X83">
        <f t="shared" si="10"/>
        <v>2025</v>
      </c>
      <c r="Y83">
        <f t="shared" si="11"/>
        <v>1</v>
      </c>
      <c r="Z83" s="7">
        <f t="shared" si="12"/>
        <v>0</v>
      </c>
      <c r="AA83">
        <f t="shared" si="13"/>
        <v>5525.7300000000005</v>
      </c>
      <c r="AB83">
        <f t="shared" si="14"/>
        <v>2432.3099999999995</v>
      </c>
      <c r="AC83" t="str">
        <f t="shared" si="15"/>
        <v>Clean</v>
      </c>
    </row>
    <row r="84" spans="1:29">
      <c r="A84" t="s">
        <v>299</v>
      </c>
      <c r="B84" s="4">
        <v>45507</v>
      </c>
      <c r="C84" s="4">
        <v>45390</v>
      </c>
      <c r="D84" t="s">
        <v>300</v>
      </c>
      <c r="E84" t="str">
        <f>PROPER(TRIM([1]raw_orders!E84))</f>
        <v>Arjun Bose</v>
      </c>
      <c r="F84" t="str">
        <f>PROPER(TRIM([1]raw_orders!F84))</f>
        <v>Consumer</v>
      </c>
      <c r="G84" t="str">
        <f>IF('[1]Cleaned Text Field'!G84="","Unknown",'[1]Cleaned Text Field'!G84)</f>
        <v>North</v>
      </c>
      <c r="H84" t="str">
        <f>PROPER(TRIM([1]raw_orders!H84))</f>
        <v>Uttar Pradesh</v>
      </c>
      <c r="I84" t="str">
        <f>PROPER(TRIM([1]raw_orders!I84))</f>
        <v>Noida</v>
      </c>
      <c r="J84" t="str">
        <f>PROPER(TRIM([1]raw_orders!J84))</f>
        <v>Technology</v>
      </c>
      <c r="K84" t="str">
        <f>PROPER(TRIM([1]raw_orders!K84))</f>
        <v>Copiers</v>
      </c>
      <c r="L84" t="s">
        <v>301</v>
      </c>
      <c r="M84" t="str">
        <f>IF('[1]Cleaned Text Field'!M84="","Unknown",'[1]Cleaned Text Field'!M84)</f>
        <v>Second Class</v>
      </c>
      <c r="N84">
        <f>IF('[1]Cleaned Text Field'!N84="",0,'[1]Cleaned Text Field'!N84)</f>
        <v>6</v>
      </c>
      <c r="O84">
        <v>1001.73</v>
      </c>
      <c r="P84" s="5">
        <f>IF('[1]Cleaned Text Field'!P84="",0,'[1]Cleaned Text Field'!P84)</f>
        <v>0</v>
      </c>
      <c r="Q84">
        <v>6010.38</v>
      </c>
      <c r="R84">
        <v>3762.85</v>
      </c>
      <c r="S84">
        <v>2247.5300000000002</v>
      </c>
      <c r="T84" t="str">
        <f>PROPER(TRIM([1]raw_orders!T84))</f>
        <v>Failed</v>
      </c>
      <c r="U84" t="str">
        <f>PROPER(TRIM([1]raw_orders!U84))</f>
        <v>Returned</v>
      </c>
      <c r="V84" s="6">
        <f t="shared" si="8"/>
        <v>0.37394141468592673</v>
      </c>
      <c r="W84" t="str">
        <f t="shared" si="9"/>
        <v>August</v>
      </c>
      <c r="X84">
        <f t="shared" si="10"/>
        <v>2024</v>
      </c>
      <c r="Y84">
        <f t="shared" si="11"/>
        <v>-117</v>
      </c>
      <c r="Z84" s="7">
        <f t="shared" si="12"/>
        <v>0</v>
      </c>
      <c r="AA84">
        <f t="shared" si="13"/>
        <v>6010.38</v>
      </c>
      <c r="AB84">
        <f t="shared" si="14"/>
        <v>2247.5300000000002</v>
      </c>
      <c r="AC84" t="str">
        <f t="shared" si="15"/>
        <v>Warning</v>
      </c>
    </row>
    <row r="85" spans="1:29">
      <c r="A85" t="s">
        <v>302</v>
      </c>
      <c r="B85" s="4">
        <v>45591</v>
      </c>
      <c r="C85" s="4">
        <v>45594</v>
      </c>
      <c r="D85" t="s">
        <v>303</v>
      </c>
      <c r="E85" t="str">
        <f>PROPER(TRIM([1]raw_orders!E85))</f>
        <v>Aditi Sen</v>
      </c>
      <c r="F85" t="str">
        <f>PROPER(TRIM([1]raw_orders!F85))</f>
        <v>Home Office</v>
      </c>
      <c r="G85" t="str">
        <f>IF('[1]Cleaned Text Field'!G85="","Unknown",'[1]Cleaned Text Field'!G85)</f>
        <v>West</v>
      </c>
      <c r="H85" t="str">
        <f>PROPER(TRIM([1]raw_orders!H85))</f>
        <v>Maharashtra</v>
      </c>
      <c r="I85" t="str">
        <f>PROPER(TRIM([1]raw_orders!I85))</f>
        <v>Mumbai</v>
      </c>
      <c r="J85" t="str">
        <f>PROPER(TRIM([1]raw_orders!J85))</f>
        <v>Furniture</v>
      </c>
      <c r="K85" t="str">
        <f>PROPER(TRIM([1]raw_orders!K85))</f>
        <v>Tables</v>
      </c>
      <c r="L85" t="s">
        <v>304</v>
      </c>
      <c r="M85" t="str">
        <f>IF('[1]Cleaned Text Field'!M85="","Unknown",'[1]Cleaned Text Field'!M85)</f>
        <v>Second Class</v>
      </c>
      <c r="N85">
        <f>IF('[1]Cleaned Text Field'!N85="",0,'[1]Cleaned Text Field'!N85)</f>
        <v>9</v>
      </c>
      <c r="O85">
        <v>131.74</v>
      </c>
      <c r="P85" s="5">
        <f>IF('[1]Cleaned Text Field'!P85="",0,'[1]Cleaned Text Field'!P85)</f>
        <v>0.2</v>
      </c>
      <c r="Q85">
        <v>948.53</v>
      </c>
      <c r="R85">
        <v>674.62</v>
      </c>
      <c r="S85">
        <v>273.91000000000003</v>
      </c>
      <c r="T85" t="str">
        <f>PROPER(TRIM([1]raw_orders!T85))</f>
        <v>Paid</v>
      </c>
      <c r="U85" t="str">
        <f>PROPER(TRIM([1]raw_orders!U85))</f>
        <v>Completed</v>
      </c>
      <c r="V85" s="6">
        <f t="shared" si="8"/>
        <v>0.28877315424920669</v>
      </c>
      <c r="W85" t="str">
        <f t="shared" si="9"/>
        <v>October</v>
      </c>
      <c r="X85">
        <f t="shared" si="10"/>
        <v>2024</v>
      </c>
      <c r="Y85">
        <f t="shared" si="11"/>
        <v>3</v>
      </c>
      <c r="Z85" s="7">
        <f t="shared" si="12"/>
        <v>0.2</v>
      </c>
      <c r="AA85">
        <f t="shared" si="13"/>
        <v>948.52800000000013</v>
      </c>
      <c r="AB85">
        <f t="shared" si="14"/>
        <v>273.90999999999997</v>
      </c>
      <c r="AC85" t="str">
        <f t="shared" si="15"/>
        <v>Clean</v>
      </c>
    </row>
    <row r="86" spans="1:29">
      <c r="A86" t="s">
        <v>305</v>
      </c>
      <c r="B86" s="4">
        <v>45566</v>
      </c>
      <c r="C86" s="4">
        <v>45568</v>
      </c>
      <c r="D86" t="s">
        <v>306</v>
      </c>
      <c r="E86" t="str">
        <f>PROPER(TRIM([1]raw_orders!E86))</f>
        <v>Rohan Mehta</v>
      </c>
      <c r="F86" t="str">
        <f>PROPER(TRIM([1]raw_orders!F86))</f>
        <v>Corporate</v>
      </c>
      <c r="G86" t="str">
        <f>IF('[1]Cleaned Text Field'!G86="","Unknown",'[1]Cleaned Text Field'!G86)</f>
        <v>South</v>
      </c>
      <c r="H86" t="str">
        <f>PROPER(TRIM([1]raw_orders!H86))</f>
        <v>Tamil Nadu</v>
      </c>
      <c r="I86" t="str">
        <f>PROPER(TRIM([1]raw_orders!I86))</f>
        <v>Chennai</v>
      </c>
      <c r="J86" t="str">
        <f>PROPER(TRIM([1]raw_orders!J86))</f>
        <v>Technology</v>
      </c>
      <c r="K86" t="str">
        <f>PROPER(TRIM([1]raw_orders!K86))</f>
        <v>Phones</v>
      </c>
      <c r="L86" t="s">
        <v>307</v>
      </c>
      <c r="M86" t="str">
        <f>IF('[1]Cleaned Text Field'!M86="","Unknown",'[1]Cleaned Text Field'!M86)</f>
        <v>Second Class</v>
      </c>
      <c r="N86">
        <f>IF('[1]Cleaned Text Field'!N86="",0,'[1]Cleaned Text Field'!N86)</f>
        <v>6</v>
      </c>
      <c r="O86">
        <v>570.28</v>
      </c>
      <c r="P86" s="5">
        <f>IF('[1]Cleaned Text Field'!P86="",0,'[1]Cleaned Text Field'!P86)</f>
        <v>0.2</v>
      </c>
      <c r="Q86">
        <v>2737.34</v>
      </c>
      <c r="R86">
        <v>2085.44</v>
      </c>
      <c r="S86">
        <v>651.9</v>
      </c>
      <c r="T86" t="str">
        <f>PROPER(TRIM([1]raw_orders!T86))</f>
        <v>Paid</v>
      </c>
      <c r="U86" t="str">
        <f>PROPER(TRIM([1]raw_orders!U86))</f>
        <v>Completed</v>
      </c>
      <c r="V86" s="6">
        <f t="shared" si="8"/>
        <v>0.23815090562370766</v>
      </c>
      <c r="W86" t="str">
        <f t="shared" si="9"/>
        <v>October</v>
      </c>
      <c r="X86">
        <f t="shared" si="10"/>
        <v>2024</v>
      </c>
      <c r="Y86">
        <f t="shared" si="11"/>
        <v>2</v>
      </c>
      <c r="Z86" s="7">
        <f t="shared" si="12"/>
        <v>0.2</v>
      </c>
      <c r="AA86">
        <f t="shared" si="13"/>
        <v>2737.3440000000001</v>
      </c>
      <c r="AB86">
        <f t="shared" si="14"/>
        <v>651.90000000000009</v>
      </c>
      <c r="AC86" t="str">
        <f t="shared" si="15"/>
        <v>Clean</v>
      </c>
    </row>
    <row r="87" spans="1:29">
      <c r="A87" t="s">
        <v>308</v>
      </c>
      <c r="B87" s="4">
        <v>45503</v>
      </c>
      <c r="C87" s="4">
        <v>45509</v>
      </c>
      <c r="D87" t="s">
        <v>309</v>
      </c>
      <c r="E87" t="str">
        <f>PROPER(TRIM([1]raw_orders!E87))</f>
        <v>Kabir Singh</v>
      </c>
      <c r="F87" t="str">
        <f>PROPER(TRIM([1]raw_orders!F87))</f>
        <v>Corporate</v>
      </c>
      <c r="G87" t="str">
        <f>IF('[1]Cleaned Text Field'!G87="","Unknown",'[1]Cleaned Text Field'!G87)</f>
        <v>North</v>
      </c>
      <c r="H87" t="str">
        <f>PROPER(TRIM([1]raw_orders!H87))</f>
        <v>Delhi</v>
      </c>
      <c r="I87" t="str">
        <f>PROPER(TRIM([1]raw_orders!I87))</f>
        <v>New Delhi</v>
      </c>
      <c r="J87" t="str">
        <f>PROPER(TRIM([1]raw_orders!J87))</f>
        <v>Office Supplies</v>
      </c>
      <c r="K87" t="str">
        <f>PROPER(TRIM([1]raw_orders!K87))</f>
        <v>Binders</v>
      </c>
      <c r="L87" t="s">
        <v>310</v>
      </c>
      <c r="M87" t="str">
        <f>IF('[1]Cleaned Text Field'!M87="","Unknown",'[1]Cleaned Text Field'!M87)</f>
        <v>Standard Class</v>
      </c>
      <c r="N87">
        <f>IF('[1]Cleaned Text Field'!N87="",0,'[1]Cleaned Text Field'!N87)</f>
        <v>1</v>
      </c>
      <c r="O87">
        <v>608.64</v>
      </c>
      <c r="P87" s="5">
        <f>IF('[1]Cleaned Text Field'!P87="",0,'[1]Cleaned Text Field'!P87)</f>
        <v>0</v>
      </c>
      <c r="Q87">
        <v>608.64</v>
      </c>
      <c r="R87">
        <v>343.99</v>
      </c>
      <c r="S87">
        <v>264.64999999999998</v>
      </c>
      <c r="T87" t="str">
        <f>PROPER(TRIM([1]raw_orders!T87))</f>
        <v>Paid</v>
      </c>
      <c r="U87" t="str">
        <f>PROPER(TRIM([1]raw_orders!U87))</f>
        <v>Cancelled</v>
      </c>
      <c r="V87" s="6">
        <f t="shared" si="8"/>
        <v>0.43482189800210302</v>
      </c>
      <c r="W87" t="str">
        <f t="shared" si="9"/>
        <v>July</v>
      </c>
      <c r="X87">
        <f t="shared" si="10"/>
        <v>2024</v>
      </c>
      <c r="Y87">
        <f t="shared" si="11"/>
        <v>6</v>
      </c>
      <c r="Z87" s="7">
        <f t="shared" si="12"/>
        <v>0</v>
      </c>
      <c r="AA87">
        <f t="shared" si="13"/>
        <v>608.64</v>
      </c>
      <c r="AB87">
        <f t="shared" si="14"/>
        <v>264.64999999999998</v>
      </c>
      <c r="AC87" t="str">
        <f t="shared" si="15"/>
        <v>Clean</v>
      </c>
    </row>
    <row r="88" spans="1:29">
      <c r="A88" t="s">
        <v>311</v>
      </c>
      <c r="B88" s="4">
        <v>45474</v>
      </c>
      <c r="C88" s="4">
        <v>45474</v>
      </c>
      <c r="D88" t="s">
        <v>312</v>
      </c>
      <c r="E88" t="str">
        <f>PROPER(TRIM([1]raw_orders!E88))</f>
        <v>Ananya Rao</v>
      </c>
      <c r="F88" t="str">
        <f>PROPER(TRIM([1]raw_orders!F88))</f>
        <v>Small Business</v>
      </c>
      <c r="G88" t="str">
        <f>IF('[1]Cleaned Text Field'!G88="","Unknown",'[1]Cleaned Text Field'!G88)</f>
        <v>North</v>
      </c>
      <c r="H88" t="str">
        <f>PROPER(TRIM([1]raw_orders!H88))</f>
        <v>Delhi</v>
      </c>
      <c r="I88" t="str">
        <f>PROPER(TRIM([1]raw_orders!I88))</f>
        <v>New Delhi</v>
      </c>
      <c r="J88" t="str">
        <f>PROPER(TRIM([1]raw_orders!J88))</f>
        <v>Technology</v>
      </c>
      <c r="K88" t="str">
        <f>PROPER(TRIM([1]raw_orders!K88))</f>
        <v>Copiers</v>
      </c>
      <c r="L88" t="s">
        <v>313</v>
      </c>
      <c r="M88" t="str">
        <f>IF('[1]Cleaned Text Field'!M88="","Unknown",'[1]Cleaned Text Field'!M88)</f>
        <v>Second Class</v>
      </c>
      <c r="N88">
        <f>IF('[1]Cleaned Text Field'!N88="",0,'[1]Cleaned Text Field'!N88)</f>
        <v>3</v>
      </c>
      <c r="O88">
        <v>885.28</v>
      </c>
      <c r="P88" s="5">
        <f>IF('[1]Cleaned Text Field'!P88="",0,'[1]Cleaned Text Field'!P88)</f>
        <v>0.1</v>
      </c>
      <c r="Q88">
        <v>2390.2600000000002</v>
      </c>
      <c r="R88">
        <v>1495.94</v>
      </c>
      <c r="S88">
        <v>894.32</v>
      </c>
      <c r="T88" t="str">
        <f>PROPER(TRIM([1]raw_orders!T88))</f>
        <v>Refunded</v>
      </c>
      <c r="U88" t="str">
        <f>PROPER(TRIM([1]raw_orders!U88))</f>
        <v>Cancelled</v>
      </c>
      <c r="V88" s="6">
        <f t="shared" si="8"/>
        <v>0.37415176591667848</v>
      </c>
      <c r="W88" t="str">
        <f t="shared" si="9"/>
        <v>July</v>
      </c>
      <c r="X88">
        <f t="shared" si="10"/>
        <v>2024</v>
      </c>
      <c r="Y88">
        <f t="shared" si="11"/>
        <v>0</v>
      </c>
      <c r="Z88" s="7">
        <f t="shared" si="12"/>
        <v>0.1</v>
      </c>
      <c r="AA88">
        <f t="shared" si="13"/>
        <v>2390.2560000000003</v>
      </c>
      <c r="AB88">
        <f t="shared" si="14"/>
        <v>894.32000000000016</v>
      </c>
      <c r="AC88" t="str">
        <f t="shared" si="15"/>
        <v>Clean</v>
      </c>
    </row>
    <row r="89" spans="1:29">
      <c r="A89" t="s">
        <v>314</v>
      </c>
      <c r="B89" s="4">
        <v>45330</v>
      </c>
      <c r="C89" s="4">
        <v>45507</v>
      </c>
      <c r="D89" t="s">
        <v>315</v>
      </c>
      <c r="E89" t="str">
        <f>PROPER(TRIM([1]raw_orders!E89))</f>
        <v>Vikram Iyer</v>
      </c>
      <c r="F89" t="str">
        <f>PROPER(TRIM([1]raw_orders!F89))</f>
        <v>Consumer</v>
      </c>
      <c r="G89" t="str">
        <f>IF('[1]Cleaned Text Field'!G89="","Unknown",'[1]Cleaned Text Field'!G89)</f>
        <v>East</v>
      </c>
      <c r="H89" t="str">
        <f>PROPER(TRIM([1]raw_orders!H89))</f>
        <v>Assam</v>
      </c>
      <c r="I89" t="str">
        <f>PROPER(TRIM([1]raw_orders!I89))</f>
        <v>Guwahati</v>
      </c>
      <c r="J89" t="str">
        <f>PROPER(TRIM([1]raw_orders!J89))</f>
        <v>Office Supplies</v>
      </c>
      <c r="K89" t="str">
        <f>PROPER(TRIM([1]raw_orders!K89))</f>
        <v>Binders</v>
      </c>
      <c r="L89" t="s">
        <v>316</v>
      </c>
      <c r="M89" t="str">
        <f>IF('[1]Cleaned Text Field'!M89="","Unknown",'[1]Cleaned Text Field'!M89)</f>
        <v>Standard Class</v>
      </c>
      <c r="N89">
        <f>IF('[1]Cleaned Text Field'!N89="",0,'[1]Cleaned Text Field'!N89)</f>
        <v>7</v>
      </c>
      <c r="O89">
        <v>3345.22</v>
      </c>
      <c r="P89" s="5">
        <f>IF('[1]Cleaned Text Field'!P89="",0,'[1]Cleaned Text Field'!P89)</f>
        <v>0</v>
      </c>
      <c r="Q89">
        <v>23416.54</v>
      </c>
      <c r="R89">
        <v>15490.89</v>
      </c>
      <c r="S89">
        <v>7925.65</v>
      </c>
      <c r="T89" t="str">
        <f>PROPER(TRIM([1]raw_orders!T89))</f>
        <v>Paid</v>
      </c>
      <c r="U89" t="str">
        <f>PROPER(TRIM([1]raw_orders!U89))</f>
        <v>Completed</v>
      </c>
      <c r="V89" s="6">
        <f t="shared" si="8"/>
        <v>0.33846375254414185</v>
      </c>
      <c r="W89" t="str">
        <f t="shared" si="9"/>
        <v>February</v>
      </c>
      <c r="X89">
        <f t="shared" si="10"/>
        <v>2024</v>
      </c>
      <c r="Y89">
        <f t="shared" si="11"/>
        <v>177</v>
      </c>
      <c r="Z89" s="7">
        <f t="shared" si="12"/>
        <v>0</v>
      </c>
      <c r="AA89">
        <f t="shared" si="13"/>
        <v>23416.539999999997</v>
      </c>
      <c r="AB89">
        <f t="shared" si="14"/>
        <v>7925.6500000000015</v>
      </c>
      <c r="AC89" t="str">
        <f t="shared" si="15"/>
        <v>Clean</v>
      </c>
    </row>
    <row r="90" spans="1:29">
      <c r="A90" t="s">
        <v>317</v>
      </c>
      <c r="B90" s="4">
        <v>45375</v>
      </c>
      <c r="C90" s="4">
        <v>45378</v>
      </c>
      <c r="D90" t="s">
        <v>318</v>
      </c>
      <c r="E90" t="str">
        <f>PROPER(TRIM([1]raw_orders!E90))</f>
        <v>Rohan Mehta</v>
      </c>
      <c r="F90" t="str">
        <f>PROPER(TRIM([1]raw_orders!F90))</f>
        <v>Small Business</v>
      </c>
      <c r="G90" t="str">
        <f>IF('[1]Cleaned Text Field'!G90="","Unknown",'[1]Cleaned Text Field'!G90)</f>
        <v>West</v>
      </c>
      <c r="H90" t="str">
        <f>PROPER(TRIM([1]raw_orders!H90))</f>
        <v>Maharashtra</v>
      </c>
      <c r="I90" t="str">
        <f>PROPER(TRIM([1]raw_orders!I90))</f>
        <v>Mumbai</v>
      </c>
      <c r="J90" t="str">
        <f>PROPER(TRIM([1]raw_orders!J90))</f>
        <v>Furniture</v>
      </c>
      <c r="K90" t="str">
        <f>PROPER(TRIM([1]raw_orders!K90))</f>
        <v>Bookcases</v>
      </c>
      <c r="L90" t="s">
        <v>319</v>
      </c>
      <c r="M90" t="str">
        <f>IF('[1]Cleaned Text Field'!M90="","Unknown",'[1]Cleaned Text Field'!M90)</f>
        <v>Standard Class</v>
      </c>
      <c r="N90">
        <f>IF('[1]Cleaned Text Field'!N90="",0,'[1]Cleaned Text Field'!N90)</f>
        <v>2</v>
      </c>
      <c r="O90">
        <v>3284.75</v>
      </c>
      <c r="P90" s="5">
        <f>IF('[1]Cleaned Text Field'!P90="",0,'[1]Cleaned Text Field'!P90)</f>
        <v>0.05</v>
      </c>
      <c r="Q90">
        <v>6241.02</v>
      </c>
      <c r="R90">
        <v>5345.88</v>
      </c>
      <c r="S90">
        <v>895.14</v>
      </c>
      <c r="T90" t="str">
        <f>PROPER(TRIM([1]raw_orders!T90))</f>
        <v>Paid</v>
      </c>
      <c r="U90" t="str">
        <f>PROPER(TRIM([1]raw_orders!U90))</f>
        <v>Completed</v>
      </c>
      <c r="V90" s="6">
        <f t="shared" si="8"/>
        <v>0.1434284780372439</v>
      </c>
      <c r="W90" t="str">
        <f t="shared" si="9"/>
        <v>March</v>
      </c>
      <c r="X90">
        <f t="shared" si="10"/>
        <v>2024</v>
      </c>
      <c r="Y90">
        <f t="shared" si="11"/>
        <v>3</v>
      </c>
      <c r="Z90" s="7">
        <f t="shared" si="12"/>
        <v>0.05</v>
      </c>
      <c r="AA90">
        <f t="shared" si="13"/>
        <v>6241.0249999999996</v>
      </c>
      <c r="AB90">
        <f t="shared" si="14"/>
        <v>895.14000000000033</v>
      </c>
      <c r="AC90" t="str">
        <f t="shared" si="15"/>
        <v>Clean</v>
      </c>
    </row>
    <row r="91" spans="1:29">
      <c r="A91" t="s">
        <v>320</v>
      </c>
      <c r="B91" s="4">
        <v>45540</v>
      </c>
      <c r="C91" s="4">
        <v>45540</v>
      </c>
      <c r="D91" t="s">
        <v>321</v>
      </c>
      <c r="E91" t="str">
        <f>PROPER(TRIM([1]raw_orders!E91))</f>
        <v>Kabir Singh</v>
      </c>
      <c r="F91" t="str">
        <f>PROPER(TRIM([1]raw_orders!F91))</f>
        <v>Consumer</v>
      </c>
      <c r="G91" t="str">
        <f>IF('[1]Cleaned Text Field'!G91="","Unknown",'[1]Cleaned Text Field'!G91)</f>
        <v>South</v>
      </c>
      <c r="H91" t="str">
        <f>PROPER(TRIM([1]raw_orders!H91))</f>
        <v>Andhra Pradesh</v>
      </c>
      <c r="I91" t="str">
        <f>PROPER(TRIM([1]raw_orders!I91))</f>
        <v>Vijayawada</v>
      </c>
      <c r="J91" t="str">
        <f>PROPER(TRIM([1]raw_orders!J91))</f>
        <v>Furniture</v>
      </c>
      <c r="K91" t="str">
        <f>PROPER(TRIM([1]raw_orders!K91))</f>
        <v>Bookcases</v>
      </c>
      <c r="L91" t="s">
        <v>322</v>
      </c>
      <c r="M91" t="str">
        <f>IF('[1]Cleaned Text Field'!M91="","Unknown",'[1]Cleaned Text Field'!M91)</f>
        <v>Standard Class</v>
      </c>
      <c r="N91">
        <f>IF('[1]Cleaned Text Field'!N91="",0,'[1]Cleaned Text Field'!N91)</f>
        <v>7</v>
      </c>
      <c r="O91">
        <v>3761.09</v>
      </c>
      <c r="P91" s="5">
        <f>IF('[1]Cleaned Text Field'!P91="",0,'[1]Cleaned Text Field'!P91)</f>
        <v>0.2</v>
      </c>
      <c r="Q91">
        <v>21062.1</v>
      </c>
      <c r="R91">
        <v>12057.13</v>
      </c>
      <c r="S91">
        <v>9004.9699999999993</v>
      </c>
      <c r="T91" t="str">
        <f>PROPER(TRIM([1]raw_orders!T91))</f>
        <v>Pending</v>
      </c>
      <c r="U91" t="str">
        <f>PROPER(TRIM([1]raw_orders!U91))</f>
        <v>Cancelled</v>
      </c>
      <c r="V91" s="6">
        <f t="shared" si="8"/>
        <v>0.42754378718171504</v>
      </c>
      <c r="W91" t="str">
        <f t="shared" si="9"/>
        <v>September</v>
      </c>
      <c r="X91">
        <f t="shared" si="10"/>
        <v>2024</v>
      </c>
      <c r="Y91">
        <f t="shared" si="11"/>
        <v>0</v>
      </c>
      <c r="Z91" s="7">
        <f t="shared" si="12"/>
        <v>0.2</v>
      </c>
      <c r="AA91">
        <f t="shared" si="13"/>
        <v>21062.104000000003</v>
      </c>
      <c r="AB91">
        <f t="shared" si="14"/>
        <v>9004.9699999999993</v>
      </c>
      <c r="AC91" t="str">
        <f t="shared" si="15"/>
        <v>Clean</v>
      </c>
    </row>
    <row r="92" spans="1:29">
      <c r="A92" t="s">
        <v>323</v>
      </c>
      <c r="B92" s="4">
        <v>45893</v>
      </c>
      <c r="C92" s="4">
        <v>45898</v>
      </c>
      <c r="D92" t="s">
        <v>324</v>
      </c>
      <c r="E92" t="str">
        <f>PROPER(TRIM([1]raw_orders!E92))</f>
        <v>Aarav Sharma</v>
      </c>
      <c r="F92" t="str">
        <f>PROPER(TRIM([1]raw_orders!F92))</f>
        <v>Small Business</v>
      </c>
      <c r="G92" t="str">
        <f>IF('[1]Cleaned Text Field'!G92="","Unknown",'[1]Cleaned Text Field'!G92)</f>
        <v>East</v>
      </c>
      <c r="H92" t="str">
        <f>PROPER(TRIM([1]raw_orders!H92))</f>
        <v>Bihar</v>
      </c>
      <c r="I92" t="str">
        <f>PROPER(TRIM([1]raw_orders!I92))</f>
        <v>Patna</v>
      </c>
      <c r="J92" t="str">
        <f>PROPER(TRIM([1]raw_orders!J92))</f>
        <v>Technology</v>
      </c>
      <c r="K92" t="str">
        <f>PROPER(TRIM([1]raw_orders!K92))</f>
        <v>Copiers</v>
      </c>
      <c r="L92" t="s">
        <v>325</v>
      </c>
      <c r="M92" t="str">
        <f>IF('[1]Cleaned Text Field'!M92="","Unknown",'[1]Cleaned Text Field'!M92)</f>
        <v>First Class</v>
      </c>
      <c r="N92">
        <f>IF('[1]Cleaned Text Field'!N92="",0,'[1]Cleaned Text Field'!N92)</f>
        <v>3</v>
      </c>
      <c r="O92">
        <v>3703.96</v>
      </c>
      <c r="P92" s="5">
        <f>IF('[1]Cleaned Text Field'!P92="",0,'[1]Cleaned Text Field'!P92)</f>
        <v>0.15</v>
      </c>
      <c r="Q92">
        <v>9445.1</v>
      </c>
      <c r="R92">
        <v>5586.28</v>
      </c>
      <c r="S92">
        <v>3858.82</v>
      </c>
      <c r="T92" t="str">
        <f>PROPER(TRIM([1]raw_orders!T92))</f>
        <v>Paid</v>
      </c>
      <c r="U92" t="str">
        <f>PROPER(TRIM([1]raw_orders!U92))</f>
        <v>Completed</v>
      </c>
      <c r="V92" s="6">
        <f t="shared" si="8"/>
        <v>0.40855258282072188</v>
      </c>
      <c r="W92" t="str">
        <f t="shared" si="9"/>
        <v>August</v>
      </c>
      <c r="X92">
        <f t="shared" si="10"/>
        <v>2025</v>
      </c>
      <c r="Y92">
        <f t="shared" si="11"/>
        <v>5</v>
      </c>
      <c r="Z92" s="7">
        <f t="shared" si="12"/>
        <v>0.15</v>
      </c>
      <c r="AA92">
        <f t="shared" si="13"/>
        <v>9445.098</v>
      </c>
      <c r="AB92">
        <f t="shared" si="14"/>
        <v>3858.8200000000006</v>
      </c>
      <c r="AC92" t="str">
        <f t="shared" si="15"/>
        <v>Clean</v>
      </c>
    </row>
    <row r="93" spans="1:29">
      <c r="A93" t="s">
        <v>326</v>
      </c>
      <c r="B93" s="4">
        <v>45691</v>
      </c>
      <c r="C93" s="4">
        <v>45724</v>
      </c>
      <c r="D93" t="s">
        <v>327</v>
      </c>
      <c r="E93" t="str">
        <f>PROPER(TRIM([1]raw_orders!E93))</f>
        <v>Sneha Kapoor</v>
      </c>
      <c r="F93" t="str">
        <f>PROPER(TRIM([1]raw_orders!F93))</f>
        <v>Corporate</v>
      </c>
      <c r="G93" t="str">
        <f>IF('[1]Cleaned Text Field'!G93="","Unknown",'[1]Cleaned Text Field'!G93)</f>
        <v>West</v>
      </c>
      <c r="H93" t="str">
        <f>PROPER(TRIM([1]raw_orders!H93))</f>
        <v>Madhya Pradesh</v>
      </c>
      <c r="I93" t="str">
        <f>PROPER(TRIM([1]raw_orders!I93))</f>
        <v>Indore</v>
      </c>
      <c r="J93" t="str">
        <f>PROPER(TRIM([1]raw_orders!J93))</f>
        <v>Technology</v>
      </c>
      <c r="K93" t="str">
        <f>PROPER(TRIM([1]raw_orders!K93))</f>
        <v>Copiers</v>
      </c>
      <c r="L93" t="s">
        <v>328</v>
      </c>
      <c r="M93" t="str">
        <f>IF('[1]Cleaned Text Field'!M93="","Unknown",'[1]Cleaned Text Field'!M93)</f>
        <v>Second Class</v>
      </c>
      <c r="N93">
        <f>IF('[1]Cleaned Text Field'!N93="",0,'[1]Cleaned Text Field'!N93)</f>
        <v>9</v>
      </c>
      <c r="O93">
        <v>269.68</v>
      </c>
      <c r="P93" s="5">
        <f>IF('[1]Cleaned Text Field'!P93="",0,'[1]Cleaned Text Field'!P93)</f>
        <v>0</v>
      </c>
      <c r="Q93">
        <v>2427.12</v>
      </c>
      <c r="R93">
        <v>1538.35</v>
      </c>
      <c r="S93">
        <v>804.53</v>
      </c>
      <c r="T93" t="str">
        <f>PROPER(TRIM([1]raw_orders!T93))</f>
        <v>Paid</v>
      </c>
      <c r="U93" t="str">
        <f>PROPER(TRIM([1]raw_orders!U93))</f>
        <v>Completed</v>
      </c>
      <c r="V93" s="6">
        <f t="shared" si="8"/>
        <v>0.33147516398035531</v>
      </c>
      <c r="W93" t="str">
        <f t="shared" si="9"/>
        <v>February</v>
      </c>
      <c r="X93">
        <f t="shared" si="10"/>
        <v>2025</v>
      </c>
      <c r="Y93">
        <f t="shared" si="11"/>
        <v>33</v>
      </c>
      <c r="Z93" s="7">
        <f t="shared" si="12"/>
        <v>0</v>
      </c>
      <c r="AA93">
        <f t="shared" si="13"/>
        <v>2427.12</v>
      </c>
      <c r="AB93">
        <f t="shared" si="14"/>
        <v>888.77</v>
      </c>
      <c r="AC93" t="str">
        <f t="shared" si="15"/>
        <v>Clean</v>
      </c>
    </row>
    <row r="94" spans="1:29">
      <c r="A94" t="s">
        <v>329</v>
      </c>
      <c r="B94" s="4">
        <v>45680</v>
      </c>
      <c r="C94" s="4">
        <v>45683</v>
      </c>
      <c r="D94" t="s">
        <v>330</v>
      </c>
      <c r="E94" t="str">
        <f>PROPER(TRIM([1]raw_orders!E94))</f>
        <v>Aarav Sharma</v>
      </c>
      <c r="F94" t="str">
        <f>PROPER(TRIM([1]raw_orders!F94))</f>
        <v>Consumer</v>
      </c>
      <c r="G94" t="str">
        <f>IF('[1]Cleaned Text Field'!G94="","Unknown",'[1]Cleaned Text Field'!G94)</f>
        <v>West</v>
      </c>
      <c r="H94" t="str">
        <f>PROPER(TRIM([1]raw_orders!H94))</f>
        <v>Madhya Pradesh</v>
      </c>
      <c r="I94" t="str">
        <f>PROPER(TRIM([1]raw_orders!I94))</f>
        <v>Indore</v>
      </c>
      <c r="J94" t="str">
        <f>PROPER(TRIM([1]raw_orders!J94))</f>
        <v>Office Supplies</v>
      </c>
      <c r="K94" t="str">
        <f>PROPER(TRIM([1]raw_orders!K94))</f>
        <v>Paper</v>
      </c>
      <c r="L94" t="s">
        <v>331</v>
      </c>
      <c r="M94" t="str">
        <f>IF('[1]Cleaned Text Field'!M94="","Unknown",'[1]Cleaned Text Field'!M94)</f>
        <v>Standard Class</v>
      </c>
      <c r="N94">
        <f>IF('[1]Cleaned Text Field'!N94="",0,'[1]Cleaned Text Field'!N94)</f>
        <v>9</v>
      </c>
      <c r="O94">
        <v>4458.26</v>
      </c>
      <c r="P94" s="5">
        <f>IF('[1]Cleaned Text Field'!P94="",0,'[1]Cleaned Text Field'!P94)</f>
        <v>0.1</v>
      </c>
      <c r="Q94">
        <v>36111.910000000003</v>
      </c>
      <c r="R94">
        <v>29194.5</v>
      </c>
      <c r="S94">
        <v>6917.41</v>
      </c>
      <c r="T94" t="str">
        <f>PROPER(TRIM([1]raw_orders!T94))</f>
        <v>Paid</v>
      </c>
      <c r="U94" t="str">
        <f>PROPER(TRIM([1]raw_orders!U94))</f>
        <v>Completed</v>
      </c>
      <c r="V94" s="6">
        <f t="shared" si="8"/>
        <v>0.19155480837208552</v>
      </c>
      <c r="W94" t="str">
        <f t="shared" si="9"/>
        <v>January</v>
      </c>
      <c r="X94">
        <f t="shared" si="10"/>
        <v>2025</v>
      </c>
      <c r="Y94">
        <f t="shared" si="11"/>
        <v>3</v>
      </c>
      <c r="Z94" s="7">
        <f t="shared" si="12"/>
        <v>0.1</v>
      </c>
      <c r="AA94">
        <f t="shared" si="13"/>
        <v>36111.906000000003</v>
      </c>
      <c r="AB94">
        <f t="shared" si="14"/>
        <v>6917.4100000000035</v>
      </c>
      <c r="AC94" t="str">
        <f t="shared" si="15"/>
        <v>Clean</v>
      </c>
    </row>
    <row r="95" spans="1:29">
      <c r="A95" t="s">
        <v>332</v>
      </c>
      <c r="B95" s="4">
        <v>45298</v>
      </c>
      <c r="C95" s="4">
        <v>45304</v>
      </c>
      <c r="D95" t="s">
        <v>333</v>
      </c>
      <c r="E95" t="str">
        <f>PROPER(TRIM([1]raw_orders!E95))</f>
        <v>Rohan Mehta</v>
      </c>
      <c r="F95" t="str">
        <f>PROPER(TRIM([1]raw_orders!F95))</f>
        <v>Corporate</v>
      </c>
      <c r="G95" t="str">
        <f>IF('[1]Cleaned Text Field'!G95="","Unknown",'[1]Cleaned Text Field'!G95)</f>
        <v>North</v>
      </c>
      <c r="H95" t="str">
        <f>PROPER(TRIM([1]raw_orders!H95))</f>
        <v>Uttar Pradesh</v>
      </c>
      <c r="I95" t="str">
        <f>PROPER(TRIM([1]raw_orders!I95))</f>
        <v>Noida</v>
      </c>
      <c r="J95" t="str">
        <f>PROPER(TRIM([1]raw_orders!J95))</f>
        <v>Office Supplies</v>
      </c>
      <c r="K95" t="str">
        <f>PROPER(TRIM([1]raw_orders!K95))</f>
        <v>Binders</v>
      </c>
      <c r="L95" t="s">
        <v>334</v>
      </c>
      <c r="M95" t="str">
        <f>IF('[1]Cleaned Text Field'!M95="","Unknown",'[1]Cleaned Text Field'!M95)</f>
        <v>Standard Class</v>
      </c>
      <c r="N95">
        <f>IF('[1]Cleaned Text Field'!N95="",0,'[1]Cleaned Text Field'!N95)</f>
        <v>7</v>
      </c>
      <c r="O95">
        <v>2788.97</v>
      </c>
      <c r="P95" s="5">
        <f>IF('[1]Cleaned Text Field'!P95="",0,'[1]Cleaned Text Field'!P95)</f>
        <v>-0.09</v>
      </c>
      <c r="Q95">
        <v>19522.79</v>
      </c>
      <c r="R95">
        <v>12455.78</v>
      </c>
      <c r="S95">
        <v>7067.01</v>
      </c>
      <c r="T95" t="str">
        <f>PROPER(TRIM([1]raw_orders!T95))</f>
        <v>Paid</v>
      </c>
      <c r="U95" t="str">
        <f>PROPER(TRIM([1]raw_orders!U95))</f>
        <v>Completed</v>
      </c>
      <c r="V95" s="6">
        <f t="shared" si="8"/>
        <v>0.36198770769956545</v>
      </c>
      <c r="W95" t="str">
        <f t="shared" si="9"/>
        <v>January</v>
      </c>
      <c r="X95">
        <f t="shared" si="10"/>
        <v>2024</v>
      </c>
      <c r="Y95">
        <f t="shared" si="11"/>
        <v>6</v>
      </c>
      <c r="Z95" s="7">
        <f t="shared" si="12"/>
        <v>-0.09</v>
      </c>
      <c r="AA95">
        <f t="shared" si="13"/>
        <v>21279.841099999998</v>
      </c>
      <c r="AB95">
        <f t="shared" si="14"/>
        <v>7067.01</v>
      </c>
      <c r="AC95" t="str">
        <f t="shared" si="15"/>
        <v>Clean</v>
      </c>
    </row>
    <row r="96" spans="1:29">
      <c r="A96" t="s">
        <v>335</v>
      </c>
      <c r="B96" s="4">
        <v>45541</v>
      </c>
      <c r="C96" s="4">
        <v>45544</v>
      </c>
      <c r="D96" t="s">
        <v>336</v>
      </c>
      <c r="E96" t="str">
        <f>PROPER(TRIM([1]raw_orders!E96))</f>
        <v>Diya Patel</v>
      </c>
      <c r="F96" t="str">
        <f>PROPER(TRIM([1]raw_orders!F96))</f>
        <v>Consumer</v>
      </c>
      <c r="G96" t="str">
        <f>IF('[1]Cleaned Text Field'!G96="","Unknown",'[1]Cleaned Text Field'!G96)</f>
        <v>North</v>
      </c>
      <c r="H96" t="str">
        <f>PROPER(TRIM([1]raw_orders!H96))</f>
        <v>Haryana</v>
      </c>
      <c r="I96" t="str">
        <f>PROPER(TRIM([1]raw_orders!I96))</f>
        <v>Gurugram</v>
      </c>
      <c r="J96" t="str">
        <f>PROPER(TRIM([1]raw_orders!J96))</f>
        <v>Technology</v>
      </c>
      <c r="K96" t="str">
        <f>PROPER(TRIM([1]raw_orders!K96))</f>
        <v>Phones</v>
      </c>
      <c r="L96" t="s">
        <v>337</v>
      </c>
      <c r="M96" t="str">
        <f>IF('[1]Cleaned Text Field'!M96="","Unknown",'[1]Cleaned Text Field'!M96)</f>
        <v>Second Class</v>
      </c>
      <c r="N96">
        <f>IF('[1]Cleaned Text Field'!N96="",0,'[1]Cleaned Text Field'!N96)</f>
        <v>7</v>
      </c>
      <c r="O96">
        <v>3781.53</v>
      </c>
      <c r="P96" s="5">
        <f>IF('[1]Cleaned Text Field'!P96="",0,'[1]Cleaned Text Field'!P96)</f>
        <v>0</v>
      </c>
      <c r="Q96">
        <v>26470.71</v>
      </c>
      <c r="R96">
        <v>21367.599999999999</v>
      </c>
      <c r="S96">
        <v>5103.1099999999997</v>
      </c>
      <c r="T96" t="str">
        <f>PROPER(TRIM([1]raw_orders!T96))</f>
        <v>Pending</v>
      </c>
      <c r="U96" t="str">
        <f>PROPER(TRIM([1]raw_orders!U96))</f>
        <v>Cancelled</v>
      </c>
      <c r="V96" s="6">
        <f t="shared" si="8"/>
        <v>0.19278326875251928</v>
      </c>
      <c r="W96" t="str">
        <f t="shared" si="9"/>
        <v>September</v>
      </c>
      <c r="X96">
        <f t="shared" si="10"/>
        <v>2024</v>
      </c>
      <c r="Y96">
        <f t="shared" si="11"/>
        <v>3</v>
      </c>
      <c r="Z96" s="7">
        <f t="shared" si="12"/>
        <v>0</v>
      </c>
      <c r="AA96">
        <f t="shared" si="13"/>
        <v>26470.710000000003</v>
      </c>
      <c r="AB96">
        <f t="shared" si="14"/>
        <v>5103.1100000000006</v>
      </c>
      <c r="AC96" t="str">
        <f t="shared" si="15"/>
        <v>Clean</v>
      </c>
    </row>
    <row r="97" spans="1:29">
      <c r="A97" t="s">
        <v>338</v>
      </c>
      <c r="B97" s="4">
        <v>45786</v>
      </c>
      <c r="C97" s="4">
        <v>45910</v>
      </c>
      <c r="D97" t="s">
        <v>339</v>
      </c>
      <c r="E97" t="str">
        <f>PROPER(TRIM([1]raw_orders!E97))</f>
        <v>Sneha Kapoor</v>
      </c>
      <c r="F97" t="str">
        <f>PROPER(TRIM([1]raw_orders!F97))</f>
        <v>Corporate</v>
      </c>
      <c r="G97" t="str">
        <f>IF('[1]Cleaned Text Field'!G97="","Unknown",'[1]Cleaned Text Field'!G97)</f>
        <v>West</v>
      </c>
      <c r="H97" t="str">
        <f>PROPER(TRIM([1]raw_orders!H97))</f>
        <v>Goa</v>
      </c>
      <c r="I97" t="str">
        <f>PROPER(TRIM([1]raw_orders!I97))</f>
        <v>Panaji</v>
      </c>
      <c r="J97" t="str">
        <f>PROPER(TRIM([1]raw_orders!J97))</f>
        <v>Furniture</v>
      </c>
      <c r="K97" t="str">
        <f>PROPER(TRIM([1]raw_orders!K97))</f>
        <v>Bookcases</v>
      </c>
      <c r="L97" t="s">
        <v>340</v>
      </c>
      <c r="M97" t="str">
        <f>IF('[1]Cleaned Text Field'!M97="","Unknown",'[1]Cleaned Text Field'!M97)</f>
        <v>Same Day</v>
      </c>
      <c r="N97">
        <f>IF('[1]Cleaned Text Field'!N97="",0,'[1]Cleaned Text Field'!N97)</f>
        <v>6</v>
      </c>
      <c r="O97">
        <v>1754.13</v>
      </c>
      <c r="P97" s="5">
        <f>IF('[1]Cleaned Text Field'!P97="",0,'[1]Cleaned Text Field'!P97)</f>
        <v>0</v>
      </c>
      <c r="Q97">
        <v>10524.78</v>
      </c>
      <c r="R97">
        <v>8841.0499999999993</v>
      </c>
      <c r="S97">
        <v>1683.73</v>
      </c>
      <c r="T97" t="str">
        <f>PROPER(TRIM([1]raw_orders!T97))</f>
        <v>Paid</v>
      </c>
      <c r="U97" t="str">
        <f>PROPER(TRIM([1]raw_orders!U97))</f>
        <v>Completed</v>
      </c>
      <c r="V97" s="6">
        <f t="shared" si="8"/>
        <v>0.1599776907450797</v>
      </c>
      <c r="W97" t="str">
        <f t="shared" si="9"/>
        <v>May</v>
      </c>
      <c r="X97">
        <f t="shared" si="10"/>
        <v>2025</v>
      </c>
      <c r="Y97">
        <f t="shared" si="11"/>
        <v>124</v>
      </c>
      <c r="Z97" s="7">
        <f t="shared" si="12"/>
        <v>0</v>
      </c>
      <c r="AA97">
        <f t="shared" si="13"/>
        <v>10524.78</v>
      </c>
      <c r="AB97">
        <f t="shared" si="14"/>
        <v>1683.7300000000014</v>
      </c>
      <c r="AC97" t="str">
        <f t="shared" si="15"/>
        <v>Clean</v>
      </c>
    </row>
    <row r="98" spans="1:29">
      <c r="A98" t="s">
        <v>341</v>
      </c>
      <c r="B98" s="4">
        <v>45448</v>
      </c>
      <c r="C98" s="4">
        <v>45479</v>
      </c>
      <c r="D98" t="s">
        <v>342</v>
      </c>
      <c r="E98" t="str">
        <f>PROPER(TRIM([1]raw_orders!E98))</f>
        <v>Rahul Verma</v>
      </c>
      <c r="F98" t="str">
        <f>PROPER(TRIM([1]raw_orders!F98))</f>
        <v>Home Office</v>
      </c>
      <c r="G98" t="str">
        <f>IF('[1]Cleaned Text Field'!G98="","Unknown",'[1]Cleaned Text Field'!G98)</f>
        <v>East</v>
      </c>
      <c r="H98" t="str">
        <f>PROPER(TRIM([1]raw_orders!H98))</f>
        <v>Odisha</v>
      </c>
      <c r="I98" t="str">
        <f>PROPER(TRIM([1]raw_orders!I98))</f>
        <v>Bhubaneswar</v>
      </c>
      <c r="J98" t="str">
        <f>PROPER(TRIM([1]raw_orders!J98))</f>
        <v>Technology</v>
      </c>
      <c r="K98" t="str">
        <f>PROPER(TRIM([1]raw_orders!K98))</f>
        <v>Copiers</v>
      </c>
      <c r="L98" t="s">
        <v>343</v>
      </c>
      <c r="M98" t="str">
        <f>IF('[1]Cleaned Text Field'!M98="","Unknown",'[1]Cleaned Text Field'!M98)</f>
        <v>Second Class</v>
      </c>
      <c r="N98">
        <f>IF('[1]Cleaned Text Field'!N98="",0,'[1]Cleaned Text Field'!N98)</f>
        <v>2</v>
      </c>
      <c r="O98">
        <v>2259.2399999999998</v>
      </c>
      <c r="P98" s="5">
        <f>IF('[1]Cleaned Text Field'!P98="",0,'[1]Cleaned Text Field'!P98)</f>
        <v>0.15</v>
      </c>
      <c r="Q98">
        <v>3840.71</v>
      </c>
      <c r="R98">
        <v>2516.29</v>
      </c>
      <c r="S98">
        <v>1324.42</v>
      </c>
      <c r="T98" t="str">
        <f>PROPER(TRIM([1]raw_orders!T98))</f>
        <v>Paid</v>
      </c>
      <c r="U98" t="str">
        <f>PROPER(TRIM([1]raw_orders!U98))</f>
        <v>Completed</v>
      </c>
      <c r="V98" s="6">
        <f t="shared" si="8"/>
        <v>0.34483728268991931</v>
      </c>
      <c r="W98" t="str">
        <f t="shared" si="9"/>
        <v>June</v>
      </c>
      <c r="X98">
        <f t="shared" si="10"/>
        <v>2024</v>
      </c>
      <c r="Y98">
        <f t="shared" si="11"/>
        <v>31</v>
      </c>
      <c r="Z98" s="7">
        <f t="shared" si="12"/>
        <v>0.15</v>
      </c>
      <c r="AA98">
        <f t="shared" si="13"/>
        <v>3840.7079999999996</v>
      </c>
      <c r="AB98">
        <f t="shared" si="14"/>
        <v>1324.42</v>
      </c>
      <c r="AC98" t="str">
        <f t="shared" si="15"/>
        <v>Clean</v>
      </c>
    </row>
    <row r="99" spans="1:29">
      <c r="A99" t="s">
        <v>344</v>
      </c>
      <c r="B99" s="4">
        <v>45877</v>
      </c>
      <c r="C99" s="4">
        <v>45880</v>
      </c>
      <c r="D99" t="s">
        <v>345</v>
      </c>
      <c r="E99" t="str">
        <f>PROPER(TRIM([1]raw_orders!E99))</f>
        <v>Diya Patel</v>
      </c>
      <c r="F99" t="str">
        <f>PROPER(TRIM([1]raw_orders!F99))</f>
        <v>Small Business</v>
      </c>
      <c r="G99" t="str">
        <f>IF('[1]Cleaned Text Field'!G99="","Unknown",'[1]Cleaned Text Field'!G99)</f>
        <v>West</v>
      </c>
      <c r="H99" t="str">
        <f>PROPER(TRIM([1]raw_orders!H99))</f>
        <v>Gujarat</v>
      </c>
      <c r="I99" t="str">
        <f>PROPER(TRIM([1]raw_orders!I99))</f>
        <v>Ahmedabad</v>
      </c>
      <c r="J99" t="str">
        <f>PROPER(TRIM([1]raw_orders!J99))</f>
        <v>Office Supplies</v>
      </c>
      <c r="K99" t="str">
        <f>PROPER(TRIM([1]raw_orders!K99))</f>
        <v>Storage</v>
      </c>
      <c r="L99" t="s">
        <v>346</v>
      </c>
      <c r="M99" t="str">
        <f>IF('[1]Cleaned Text Field'!M99="","Unknown",'[1]Cleaned Text Field'!M99)</f>
        <v>Same Day</v>
      </c>
      <c r="N99">
        <f>IF('[1]Cleaned Text Field'!N99="",0,'[1]Cleaned Text Field'!N99)</f>
        <v>5</v>
      </c>
      <c r="O99">
        <v>3602.36</v>
      </c>
      <c r="P99" s="5">
        <f>IF('[1]Cleaned Text Field'!P99="",0,'[1]Cleaned Text Field'!P99)</f>
        <v>0.2</v>
      </c>
      <c r="Q99">
        <v>14409.44</v>
      </c>
      <c r="R99">
        <v>8809.9699999999993</v>
      </c>
      <c r="S99">
        <v>5599.47</v>
      </c>
      <c r="T99" t="str">
        <f>PROPER(TRIM([1]raw_orders!T99))</f>
        <v>Pending</v>
      </c>
      <c r="U99" t="str">
        <f>PROPER(TRIM([1]raw_orders!U99))</f>
        <v>Returned</v>
      </c>
      <c r="V99" s="6">
        <f t="shared" si="8"/>
        <v>0.3885973361907194</v>
      </c>
      <c r="W99" t="str">
        <f t="shared" si="9"/>
        <v>August</v>
      </c>
      <c r="X99">
        <f t="shared" si="10"/>
        <v>2025</v>
      </c>
      <c r="Y99">
        <f t="shared" si="11"/>
        <v>3</v>
      </c>
      <c r="Z99" s="7">
        <f t="shared" si="12"/>
        <v>0.2</v>
      </c>
      <c r="AA99">
        <f t="shared" si="13"/>
        <v>14409.44</v>
      </c>
      <c r="AB99">
        <f t="shared" si="14"/>
        <v>5599.4700000000012</v>
      </c>
      <c r="AC99" t="str">
        <f t="shared" si="15"/>
        <v>Clean</v>
      </c>
    </row>
    <row r="100" spans="1:29">
      <c r="A100" t="s">
        <v>347</v>
      </c>
      <c r="B100" s="4">
        <v>45317</v>
      </c>
      <c r="C100" s="4">
        <v>45323</v>
      </c>
      <c r="D100" t="s">
        <v>348</v>
      </c>
      <c r="E100" t="str">
        <f>PROPER(TRIM([1]raw_orders!E100))</f>
        <v>Rohan Mehta</v>
      </c>
      <c r="F100" t="str">
        <f>PROPER(TRIM([1]raw_orders!F100))</f>
        <v>Home Office</v>
      </c>
      <c r="G100" t="str">
        <f>IF('[1]Cleaned Text Field'!G100="","Unknown",'[1]Cleaned Text Field'!G100)</f>
        <v>South</v>
      </c>
      <c r="H100" t="str">
        <f>PROPER(TRIM([1]raw_orders!H100))</f>
        <v>Kerala</v>
      </c>
      <c r="I100" t="str">
        <f>PROPER(TRIM([1]raw_orders!I100))</f>
        <v>Kochi</v>
      </c>
      <c r="J100" t="str">
        <f>PROPER(TRIM([1]raw_orders!J100))</f>
        <v>Technology</v>
      </c>
      <c r="K100" t="str">
        <f>PROPER(TRIM([1]raw_orders!K100))</f>
        <v>Copiers</v>
      </c>
      <c r="L100" t="s">
        <v>349</v>
      </c>
      <c r="M100" t="str">
        <f>IF('[1]Cleaned Text Field'!M100="","Unknown",'[1]Cleaned Text Field'!M100)</f>
        <v>Unknown</v>
      </c>
      <c r="N100">
        <f>IF('[1]Cleaned Text Field'!N100="",0,'[1]Cleaned Text Field'!N100)</f>
        <v>8</v>
      </c>
      <c r="O100">
        <v>2108.9299999999998</v>
      </c>
      <c r="P100" s="5">
        <f>IF('[1]Cleaned Text Field'!P100="",0,'[1]Cleaned Text Field'!P100)</f>
        <v>0.1</v>
      </c>
      <c r="Q100">
        <v>15184.3</v>
      </c>
      <c r="R100">
        <v>11270.74</v>
      </c>
      <c r="S100">
        <v>3913.56</v>
      </c>
      <c r="T100" t="str">
        <f>PROPER(TRIM([1]raw_orders!T100))</f>
        <v>Paid</v>
      </c>
      <c r="U100" t="str">
        <f>PROPER(TRIM([1]raw_orders!U100))</f>
        <v>Completed</v>
      </c>
      <c r="V100" s="6">
        <f t="shared" si="8"/>
        <v>0.25773726809928676</v>
      </c>
      <c r="W100" t="str">
        <f t="shared" si="9"/>
        <v>January</v>
      </c>
      <c r="X100">
        <f t="shared" si="10"/>
        <v>2024</v>
      </c>
      <c r="Y100">
        <f t="shared" si="11"/>
        <v>6</v>
      </c>
      <c r="Z100" s="7">
        <f t="shared" si="12"/>
        <v>0.1</v>
      </c>
      <c r="AA100">
        <f t="shared" si="13"/>
        <v>15184.295999999998</v>
      </c>
      <c r="AB100">
        <f t="shared" si="14"/>
        <v>3913.5599999999995</v>
      </c>
      <c r="AC100" t="str">
        <f t="shared" si="15"/>
        <v>Clean</v>
      </c>
    </row>
    <row r="101" spans="1:29">
      <c r="A101" t="s">
        <v>350</v>
      </c>
      <c r="B101" s="4">
        <v>45962</v>
      </c>
      <c r="C101" s="4">
        <v>45962</v>
      </c>
      <c r="D101" t="s">
        <v>351</v>
      </c>
      <c r="E101" t="str">
        <f>PROPER(TRIM([1]raw_orders!E101))</f>
        <v>Aditi Sen</v>
      </c>
      <c r="F101" t="str">
        <f>PROPER(TRIM([1]raw_orders!F101))</f>
        <v>Small Business</v>
      </c>
      <c r="G101" t="str">
        <f>IF('[1]Cleaned Text Field'!G101="","Unknown",'[1]Cleaned Text Field'!G101)</f>
        <v>West</v>
      </c>
      <c r="H101" t="str">
        <f>PROPER(TRIM([1]raw_orders!H101))</f>
        <v>Rajasthan</v>
      </c>
      <c r="I101" t="str">
        <f>PROPER(TRIM([1]raw_orders!I101))</f>
        <v>Udaipur</v>
      </c>
      <c r="J101" t="str">
        <f>PROPER(TRIM([1]raw_orders!J101))</f>
        <v>Technology</v>
      </c>
      <c r="K101" t="str">
        <f>PROPER(TRIM([1]raw_orders!K101))</f>
        <v>Accessories</v>
      </c>
      <c r="L101" t="s">
        <v>352</v>
      </c>
      <c r="M101" t="str">
        <f>IF('[1]Cleaned Text Field'!M101="","Unknown",'[1]Cleaned Text Field'!M101)</f>
        <v>Same Day</v>
      </c>
      <c r="N101">
        <f>IF('[1]Cleaned Text Field'!N101="",0,'[1]Cleaned Text Field'!N101)</f>
        <v>3</v>
      </c>
      <c r="O101">
        <v>2165.29</v>
      </c>
      <c r="P101" s="5">
        <f>IF('[1]Cleaned Text Field'!P101="",0,'[1]Cleaned Text Field'!P101)</f>
        <v>0</v>
      </c>
      <c r="Q101">
        <v>6495.87</v>
      </c>
      <c r="R101">
        <v>4700.8900000000003</v>
      </c>
      <c r="S101">
        <v>1794.98</v>
      </c>
      <c r="T101" t="str">
        <f>PROPER(TRIM([1]raw_orders!T101))</f>
        <v>Paid</v>
      </c>
      <c r="U101" t="str">
        <f>PROPER(TRIM([1]raw_orders!U101))</f>
        <v>Completed</v>
      </c>
      <c r="V101" s="6">
        <f t="shared" si="8"/>
        <v>0.27632634273777029</v>
      </c>
      <c r="W101" t="str">
        <f t="shared" si="9"/>
        <v>November</v>
      </c>
      <c r="X101">
        <f t="shared" si="10"/>
        <v>2025</v>
      </c>
      <c r="Y101">
        <f t="shared" si="11"/>
        <v>0</v>
      </c>
      <c r="Z101" s="7">
        <f t="shared" si="12"/>
        <v>0</v>
      </c>
      <c r="AA101">
        <f t="shared" si="13"/>
        <v>6495.87</v>
      </c>
      <c r="AB101">
        <f t="shared" si="14"/>
        <v>1794.9799999999996</v>
      </c>
      <c r="AC101" t="str">
        <f t="shared" si="15"/>
        <v>Clean</v>
      </c>
    </row>
    <row r="102" spans="1:29">
      <c r="A102" t="s">
        <v>353</v>
      </c>
      <c r="B102" s="4">
        <v>45912</v>
      </c>
      <c r="C102" s="4">
        <v>45918</v>
      </c>
      <c r="D102" t="s">
        <v>354</v>
      </c>
      <c r="E102" t="str">
        <f>PROPER(TRIM([1]raw_orders!E102))</f>
        <v>Aarav Sharma</v>
      </c>
      <c r="F102" t="str">
        <f>PROPER(TRIM([1]raw_orders!F102))</f>
        <v>Home Office</v>
      </c>
      <c r="G102" t="str">
        <f>IF('[1]Cleaned Text Field'!G102="","Unknown",'[1]Cleaned Text Field'!G102)</f>
        <v>South</v>
      </c>
      <c r="H102" t="str">
        <f>PROPER(TRIM([1]raw_orders!H102))</f>
        <v>Kerala</v>
      </c>
      <c r="I102" t="str">
        <f>PROPER(TRIM([1]raw_orders!I102))</f>
        <v>Kochi</v>
      </c>
      <c r="J102" t="str">
        <f>PROPER(TRIM([1]raw_orders!J102))</f>
        <v>Office Supplies</v>
      </c>
      <c r="K102" t="str">
        <f>PROPER(TRIM([1]raw_orders!K102))</f>
        <v>Storage</v>
      </c>
      <c r="L102" t="s">
        <v>355</v>
      </c>
      <c r="M102" t="str">
        <f>IF('[1]Cleaned Text Field'!M102="","Unknown",'[1]Cleaned Text Field'!M102)</f>
        <v>Standard Class</v>
      </c>
      <c r="N102">
        <f>IF('[1]Cleaned Text Field'!N102="",0,'[1]Cleaned Text Field'!N102)</f>
        <v>6</v>
      </c>
      <c r="O102">
        <v>1673.8</v>
      </c>
      <c r="P102" s="5">
        <f>IF('[1]Cleaned Text Field'!P102="",0,'[1]Cleaned Text Field'!P102)</f>
        <v>0.05</v>
      </c>
      <c r="Q102">
        <v>9540.66</v>
      </c>
      <c r="R102">
        <v>5561.49</v>
      </c>
      <c r="S102">
        <v>3979.17</v>
      </c>
      <c r="T102" t="str">
        <f>PROPER(TRIM([1]raw_orders!T102))</f>
        <v>Paid</v>
      </c>
      <c r="U102" t="str">
        <f>PROPER(TRIM([1]raw_orders!U102))</f>
        <v>Completed</v>
      </c>
      <c r="V102" s="6">
        <f t="shared" si="8"/>
        <v>0.41707491934520252</v>
      </c>
      <c r="W102" t="str">
        <f t="shared" si="9"/>
        <v>September</v>
      </c>
      <c r="X102">
        <f t="shared" si="10"/>
        <v>2025</v>
      </c>
      <c r="Y102">
        <f t="shared" si="11"/>
        <v>6</v>
      </c>
      <c r="Z102" s="7">
        <f t="shared" si="12"/>
        <v>0.05</v>
      </c>
      <c r="AA102">
        <f t="shared" si="13"/>
        <v>9540.659999999998</v>
      </c>
      <c r="AB102">
        <f t="shared" si="14"/>
        <v>3979.17</v>
      </c>
      <c r="AC102" t="str">
        <f t="shared" si="15"/>
        <v>Clean</v>
      </c>
    </row>
    <row r="103" spans="1:29">
      <c r="A103" t="s">
        <v>356</v>
      </c>
      <c r="B103" s="4">
        <v>45465</v>
      </c>
      <c r="C103" s="4">
        <v>45469</v>
      </c>
      <c r="D103" t="s">
        <v>357</v>
      </c>
      <c r="E103" t="str">
        <f>PROPER(TRIM([1]raw_orders!E103))</f>
        <v>Rohan Mehta</v>
      </c>
      <c r="F103" t="str">
        <f>PROPER(TRIM([1]raw_orders!F103))</f>
        <v>Home Office</v>
      </c>
      <c r="G103" t="str">
        <f>IF('[1]Cleaned Text Field'!G103="","Unknown",'[1]Cleaned Text Field'!G103)</f>
        <v>East</v>
      </c>
      <c r="H103" t="str">
        <f>PROPER(TRIM([1]raw_orders!H103))</f>
        <v>Bihar</v>
      </c>
      <c r="I103" t="str">
        <f>PROPER(TRIM([1]raw_orders!I103))</f>
        <v>Patna</v>
      </c>
      <c r="J103" t="str">
        <f>PROPER(TRIM([1]raw_orders!J103))</f>
        <v>Furniture</v>
      </c>
      <c r="K103" t="str">
        <f>PROPER(TRIM([1]raw_orders!K103))</f>
        <v>Furnishings</v>
      </c>
      <c r="L103" t="s">
        <v>358</v>
      </c>
      <c r="M103" t="str">
        <f>IF('[1]Cleaned Text Field'!M103="","Unknown",'[1]Cleaned Text Field'!M103)</f>
        <v>First Class</v>
      </c>
      <c r="N103">
        <f>IF('[1]Cleaned Text Field'!N103="",0,'[1]Cleaned Text Field'!N103)</f>
        <v>5</v>
      </c>
      <c r="O103">
        <v>4396.5200000000004</v>
      </c>
      <c r="P103" s="5">
        <f>IF('[1]Cleaned Text Field'!P103="",0,'[1]Cleaned Text Field'!P103)</f>
        <v>0.25</v>
      </c>
      <c r="Q103">
        <v>16486.95</v>
      </c>
      <c r="R103">
        <v>12054.14</v>
      </c>
      <c r="S103">
        <v>4432.8100000000004</v>
      </c>
      <c r="T103" t="str">
        <f>PROPER(TRIM([1]raw_orders!T103))</f>
        <v>Paid</v>
      </c>
      <c r="U103" t="str">
        <f>PROPER(TRIM([1]raw_orders!U103))</f>
        <v>Completed</v>
      </c>
      <c r="V103" s="6">
        <f t="shared" si="8"/>
        <v>0.2688678015036135</v>
      </c>
      <c r="W103" t="str">
        <f t="shared" si="9"/>
        <v>June</v>
      </c>
      <c r="X103">
        <f t="shared" si="10"/>
        <v>2024</v>
      </c>
      <c r="Y103">
        <f t="shared" si="11"/>
        <v>4</v>
      </c>
      <c r="Z103" s="7">
        <f t="shared" si="12"/>
        <v>0.25</v>
      </c>
      <c r="AA103">
        <f t="shared" si="13"/>
        <v>16486.95</v>
      </c>
      <c r="AB103">
        <f t="shared" si="14"/>
        <v>4432.8100000000013</v>
      </c>
      <c r="AC103" t="str">
        <f t="shared" si="15"/>
        <v>Clean</v>
      </c>
    </row>
    <row r="104" spans="1:29">
      <c r="A104" t="s">
        <v>359</v>
      </c>
      <c r="B104" s="4">
        <v>45850</v>
      </c>
      <c r="C104" s="4">
        <v>45854</v>
      </c>
      <c r="D104" t="s">
        <v>360</v>
      </c>
      <c r="E104" t="str">
        <f>PROPER(TRIM([1]raw_orders!E104))</f>
        <v>Vikram Iyer</v>
      </c>
      <c r="F104" t="str">
        <f>PROPER(TRIM([1]raw_orders!F104))</f>
        <v>Consumer</v>
      </c>
      <c r="G104" t="str">
        <f>IF('[1]Cleaned Text Field'!G104="","Unknown",'[1]Cleaned Text Field'!G104)</f>
        <v>South</v>
      </c>
      <c r="H104" t="str">
        <f>PROPER(TRIM([1]raw_orders!H104))</f>
        <v>Karnataka</v>
      </c>
      <c r="I104" t="str">
        <f>PROPER(TRIM([1]raw_orders!I104))</f>
        <v>Bengaluru</v>
      </c>
      <c r="J104" t="str">
        <f>PROPER(TRIM([1]raw_orders!J104))</f>
        <v>Furniture</v>
      </c>
      <c r="K104" t="str">
        <f>PROPER(TRIM([1]raw_orders!K104))</f>
        <v>Chairs</v>
      </c>
      <c r="L104" t="s">
        <v>361</v>
      </c>
      <c r="M104" t="str">
        <f>IF('[1]Cleaned Text Field'!M104="","Unknown",'[1]Cleaned Text Field'!M104)</f>
        <v>First Class</v>
      </c>
      <c r="N104">
        <f>IF('[1]Cleaned Text Field'!N104="",0,'[1]Cleaned Text Field'!N104)</f>
        <v>4</v>
      </c>
      <c r="O104">
        <v>2865.71</v>
      </c>
      <c r="P104" s="5">
        <f>IF('[1]Cleaned Text Field'!P104="",0,'[1]Cleaned Text Field'!P104)</f>
        <v>0</v>
      </c>
      <c r="Q104">
        <v>11462.84</v>
      </c>
      <c r="R104">
        <v>8979.7800000000007</v>
      </c>
      <c r="S104">
        <v>2483.06</v>
      </c>
      <c r="T104" t="str">
        <f>PROPER(TRIM([1]raw_orders!T104))</f>
        <v>Refunded</v>
      </c>
      <c r="U104" t="str">
        <f>PROPER(TRIM([1]raw_orders!U104))</f>
        <v>Cancelled</v>
      </c>
      <c r="V104" s="6">
        <f t="shared" si="8"/>
        <v>0.2166182202665308</v>
      </c>
      <c r="W104" t="str">
        <f t="shared" si="9"/>
        <v>July</v>
      </c>
      <c r="X104">
        <f t="shared" si="10"/>
        <v>2025</v>
      </c>
      <c r="Y104">
        <f t="shared" si="11"/>
        <v>4</v>
      </c>
      <c r="Z104" s="7">
        <f t="shared" si="12"/>
        <v>0</v>
      </c>
      <c r="AA104">
        <f t="shared" si="13"/>
        <v>11462.84</v>
      </c>
      <c r="AB104">
        <f t="shared" si="14"/>
        <v>2483.0599999999995</v>
      </c>
      <c r="AC104" t="str">
        <f t="shared" si="15"/>
        <v>Clean</v>
      </c>
    </row>
    <row r="105" spans="1:29">
      <c r="A105" t="s">
        <v>362</v>
      </c>
      <c r="B105" s="4">
        <v>45779</v>
      </c>
      <c r="C105" s="4">
        <v>45787</v>
      </c>
      <c r="D105" t="s">
        <v>363</v>
      </c>
      <c r="E105" t="str">
        <f>PROPER(TRIM([1]raw_orders!E105))</f>
        <v>Kabir Singh</v>
      </c>
      <c r="F105" t="str">
        <f>PROPER(TRIM([1]raw_orders!F105))</f>
        <v>Corporate</v>
      </c>
      <c r="G105" t="str">
        <f>IF('[1]Cleaned Text Field'!G105="","Unknown",'[1]Cleaned Text Field'!G105)</f>
        <v>West</v>
      </c>
      <c r="H105" t="str">
        <f>PROPER(TRIM([1]raw_orders!H105))</f>
        <v>Maharashtra</v>
      </c>
      <c r="I105" t="str">
        <f>PROPER(TRIM([1]raw_orders!I105))</f>
        <v>Mumbai</v>
      </c>
      <c r="J105" t="str">
        <f>PROPER(TRIM([1]raw_orders!J105))</f>
        <v>Furniture</v>
      </c>
      <c r="K105" t="str">
        <f>PROPER(TRIM([1]raw_orders!K105))</f>
        <v>Tables</v>
      </c>
      <c r="L105" t="s">
        <v>364</v>
      </c>
      <c r="M105" t="str">
        <f>IF('[1]Cleaned Text Field'!M105="","Unknown",'[1]Cleaned Text Field'!M105)</f>
        <v>First Class</v>
      </c>
      <c r="N105">
        <f>IF('[1]Cleaned Text Field'!N105="",0,'[1]Cleaned Text Field'!N105)</f>
        <v>4</v>
      </c>
      <c r="O105">
        <v>2440.34</v>
      </c>
      <c r="P105" s="5">
        <f>IF('[1]Cleaned Text Field'!P105="",0,'[1]Cleaned Text Field'!P105)</f>
        <v>0.2</v>
      </c>
      <c r="Q105">
        <v>7809.09</v>
      </c>
      <c r="R105">
        <v>6657.75</v>
      </c>
      <c r="S105">
        <v>1151.3399999999999</v>
      </c>
      <c r="T105" t="str">
        <f>PROPER(TRIM([1]raw_orders!T105))</f>
        <v>Paid</v>
      </c>
      <c r="U105" t="str">
        <f>PROPER(TRIM([1]raw_orders!U105))</f>
        <v>Completed</v>
      </c>
      <c r="V105" s="6">
        <f t="shared" si="8"/>
        <v>0.147435872809764</v>
      </c>
      <c r="W105" t="str">
        <f t="shared" si="9"/>
        <v>May</v>
      </c>
      <c r="X105">
        <f t="shared" si="10"/>
        <v>2025</v>
      </c>
      <c r="Y105">
        <f t="shared" si="11"/>
        <v>8</v>
      </c>
      <c r="Z105" s="7">
        <f t="shared" si="12"/>
        <v>0.2</v>
      </c>
      <c r="AA105">
        <f t="shared" si="13"/>
        <v>7809.0880000000006</v>
      </c>
      <c r="AB105">
        <f t="shared" si="14"/>
        <v>1151.3400000000001</v>
      </c>
      <c r="AC105" t="str">
        <f t="shared" si="15"/>
        <v>Clean</v>
      </c>
    </row>
    <row r="106" spans="1:29">
      <c r="A106" t="s">
        <v>365</v>
      </c>
      <c r="B106" s="4">
        <v>45689</v>
      </c>
      <c r="C106" s="4">
        <v>45696</v>
      </c>
      <c r="D106" t="s">
        <v>366</v>
      </c>
      <c r="E106" t="str">
        <f>PROPER(TRIM([1]raw_orders!E106))</f>
        <v>Ananya Rao</v>
      </c>
      <c r="F106" t="str">
        <f>PROPER(TRIM([1]raw_orders!F106))</f>
        <v>Consumer</v>
      </c>
      <c r="G106" t="str">
        <f>IF('[1]Cleaned Text Field'!G106="","Unknown",'[1]Cleaned Text Field'!G106)</f>
        <v>South</v>
      </c>
      <c r="H106" t="str">
        <f>PROPER(TRIM([1]raw_orders!H106))</f>
        <v>Karnataka</v>
      </c>
      <c r="I106" t="str">
        <f>PROPER(TRIM([1]raw_orders!I106))</f>
        <v>Bengaluru</v>
      </c>
      <c r="J106" t="str">
        <f>PROPER(TRIM([1]raw_orders!J106))</f>
        <v>Office Supplies</v>
      </c>
      <c r="K106" t="str">
        <f>PROPER(TRIM([1]raw_orders!K106))</f>
        <v>Labels</v>
      </c>
      <c r="L106" t="s">
        <v>367</v>
      </c>
      <c r="M106" t="str">
        <f>IF('[1]Cleaned Text Field'!M106="","Unknown",'[1]Cleaned Text Field'!M106)</f>
        <v>Same Day</v>
      </c>
      <c r="N106">
        <f>IF('[1]Cleaned Text Field'!N106="",0,'[1]Cleaned Text Field'!N106)</f>
        <v>5</v>
      </c>
      <c r="O106">
        <v>2112.54</v>
      </c>
      <c r="P106" s="5">
        <f>IF('[1]Cleaned Text Field'!P106="",0,'[1]Cleaned Text Field'!P106)</f>
        <v>0.25</v>
      </c>
      <c r="Q106">
        <v>8260.4599999999991</v>
      </c>
      <c r="R106">
        <v>5619.95</v>
      </c>
      <c r="S106">
        <v>2302.08</v>
      </c>
      <c r="T106" t="str">
        <f>PROPER(TRIM([1]raw_orders!T106))</f>
        <v>Paid</v>
      </c>
      <c r="U106" t="str">
        <f>PROPER(TRIM([1]raw_orders!U106))</f>
        <v>Cancelled</v>
      </c>
      <c r="V106" s="6">
        <f t="shared" si="8"/>
        <v>0.27868665909646678</v>
      </c>
      <c r="W106" t="str">
        <f t="shared" si="9"/>
        <v>February</v>
      </c>
      <c r="X106">
        <f t="shared" si="10"/>
        <v>2025</v>
      </c>
      <c r="Y106">
        <f t="shared" si="11"/>
        <v>7</v>
      </c>
      <c r="Z106" s="7">
        <f t="shared" si="12"/>
        <v>0.25</v>
      </c>
      <c r="AA106">
        <f t="shared" si="13"/>
        <v>7922.0250000000005</v>
      </c>
      <c r="AB106">
        <f t="shared" si="14"/>
        <v>2640.5099999999993</v>
      </c>
      <c r="AC106" t="str">
        <f t="shared" si="15"/>
        <v>Clean</v>
      </c>
    </row>
    <row r="107" spans="1:29">
      <c r="A107" t="s">
        <v>368</v>
      </c>
      <c r="B107" s="4">
        <v>45467</v>
      </c>
      <c r="C107" s="4">
        <v>45472</v>
      </c>
      <c r="D107" t="s">
        <v>369</v>
      </c>
      <c r="E107" t="str">
        <f>PROPER(TRIM([1]raw_orders!E107))</f>
        <v>Mira Das</v>
      </c>
      <c r="F107" t="str">
        <f>PROPER(TRIM([1]raw_orders!F107))</f>
        <v>Home Office</v>
      </c>
      <c r="G107" t="str">
        <f>IF('[1]Cleaned Text Field'!G107="","Unknown",'[1]Cleaned Text Field'!G107)</f>
        <v>East</v>
      </c>
      <c r="H107" t="str">
        <f>PROPER(TRIM([1]raw_orders!H107))</f>
        <v>West Bengal</v>
      </c>
      <c r="I107" t="str">
        <f>PROPER(TRIM([1]raw_orders!I107))</f>
        <v>Kolkata</v>
      </c>
      <c r="J107" t="str">
        <f>PROPER(TRIM([1]raw_orders!J107))</f>
        <v>Furniture</v>
      </c>
      <c r="K107" t="str">
        <f>PROPER(TRIM([1]raw_orders!K107))</f>
        <v>Tables</v>
      </c>
      <c r="L107" t="s">
        <v>370</v>
      </c>
      <c r="M107" t="str">
        <f>IF('[1]Cleaned Text Field'!M107="","Unknown",'[1]Cleaned Text Field'!M107)</f>
        <v>Second Class</v>
      </c>
      <c r="N107">
        <f>IF('[1]Cleaned Text Field'!N107="",0,'[1]Cleaned Text Field'!N107)</f>
        <v>2</v>
      </c>
      <c r="O107">
        <v>685</v>
      </c>
      <c r="P107" s="5">
        <f>IF('[1]Cleaned Text Field'!P107="",0,'[1]Cleaned Text Field'!P107)</f>
        <v>0.1</v>
      </c>
      <c r="Q107">
        <v>1233</v>
      </c>
      <c r="R107">
        <v>1006.9</v>
      </c>
      <c r="S107">
        <v>226.1</v>
      </c>
      <c r="T107" t="str">
        <f>PROPER(TRIM([1]raw_orders!T107))</f>
        <v>Paid</v>
      </c>
      <c r="U107" t="str">
        <f>PROPER(TRIM([1]raw_orders!U107))</f>
        <v>Completed</v>
      </c>
      <c r="V107" s="6">
        <f t="shared" si="8"/>
        <v>0.18337388483373884</v>
      </c>
      <c r="W107" t="str">
        <f t="shared" si="9"/>
        <v>June</v>
      </c>
      <c r="X107">
        <f t="shared" si="10"/>
        <v>2024</v>
      </c>
      <c r="Y107">
        <f t="shared" si="11"/>
        <v>5</v>
      </c>
      <c r="Z107" s="7">
        <f t="shared" si="12"/>
        <v>0.1</v>
      </c>
      <c r="AA107">
        <f t="shared" si="13"/>
        <v>1233</v>
      </c>
      <c r="AB107">
        <f t="shared" si="14"/>
        <v>226.10000000000002</v>
      </c>
      <c r="AC107" t="str">
        <f t="shared" si="15"/>
        <v>Clean</v>
      </c>
    </row>
    <row r="108" spans="1:29">
      <c r="A108" t="s">
        <v>371</v>
      </c>
      <c r="B108" s="4">
        <v>45342</v>
      </c>
      <c r="C108" s="4">
        <v>45350</v>
      </c>
      <c r="D108" t="s">
        <v>372</v>
      </c>
      <c r="E108" t="str">
        <f>PROPER(TRIM([1]raw_orders!E108))</f>
        <v>Arjun Bose</v>
      </c>
      <c r="F108" t="str">
        <f>PROPER(TRIM([1]raw_orders!F108))</f>
        <v>Home Office</v>
      </c>
      <c r="G108" t="str">
        <f>IF('[1]Cleaned Text Field'!G108="","Unknown",'[1]Cleaned Text Field'!G108)</f>
        <v>East</v>
      </c>
      <c r="H108" t="str">
        <f>PROPER(TRIM([1]raw_orders!H108))</f>
        <v>West Bengal</v>
      </c>
      <c r="I108" t="str">
        <f>PROPER(TRIM([1]raw_orders!I108))</f>
        <v>Kolkata</v>
      </c>
      <c r="J108" t="str">
        <f>PROPER(TRIM([1]raw_orders!J108))</f>
        <v>Office Supplies</v>
      </c>
      <c r="K108" t="str">
        <f>PROPER(TRIM([1]raw_orders!K108))</f>
        <v>Paper</v>
      </c>
      <c r="L108" t="s">
        <v>373</v>
      </c>
      <c r="M108" t="str">
        <f>IF('[1]Cleaned Text Field'!M108="","Unknown",'[1]Cleaned Text Field'!M108)</f>
        <v>Standard Class</v>
      </c>
      <c r="N108">
        <f>IF('[1]Cleaned Text Field'!N108="",0,'[1]Cleaned Text Field'!N108)</f>
        <v>2</v>
      </c>
      <c r="O108">
        <v>4004.04</v>
      </c>
      <c r="P108" s="5">
        <f>IF('[1]Cleaned Text Field'!P108="",0,'[1]Cleaned Text Field'!P108)</f>
        <v>0</v>
      </c>
      <c r="Q108">
        <v>7207.27</v>
      </c>
      <c r="R108">
        <v>5709.39</v>
      </c>
      <c r="S108">
        <v>1497.88</v>
      </c>
      <c r="T108" t="str">
        <f>PROPER(TRIM([1]raw_orders!T108))</f>
        <v>Paid</v>
      </c>
      <c r="U108" t="str">
        <f>PROPER(TRIM([1]raw_orders!U108))</f>
        <v>Cancelled</v>
      </c>
      <c r="V108" s="6">
        <f t="shared" si="8"/>
        <v>0.2078290392894952</v>
      </c>
      <c r="W108" t="str">
        <f t="shared" si="9"/>
        <v>February</v>
      </c>
      <c r="X108">
        <f t="shared" si="10"/>
        <v>2024</v>
      </c>
      <c r="Y108">
        <f t="shared" si="11"/>
        <v>8</v>
      </c>
      <c r="Z108" s="7">
        <f t="shared" si="12"/>
        <v>0</v>
      </c>
      <c r="AA108">
        <f t="shared" si="13"/>
        <v>8008.08</v>
      </c>
      <c r="AB108">
        <f t="shared" si="14"/>
        <v>1497.88</v>
      </c>
      <c r="AC108" t="str">
        <f t="shared" si="15"/>
        <v>Clean</v>
      </c>
    </row>
    <row r="109" spans="1:29">
      <c r="A109" t="s">
        <v>374</v>
      </c>
      <c r="B109" s="4">
        <v>45594</v>
      </c>
      <c r="C109" s="4">
        <v>45600</v>
      </c>
      <c r="D109" t="s">
        <v>375</v>
      </c>
      <c r="E109" t="str">
        <f>PROPER(TRIM([1]raw_orders!E109))</f>
        <v>Rohan Mehta</v>
      </c>
      <c r="F109" t="str">
        <f>PROPER(TRIM([1]raw_orders!F109))</f>
        <v>Home Office</v>
      </c>
      <c r="G109" t="str">
        <f>IF('[1]Cleaned Text Field'!G109="","Unknown",'[1]Cleaned Text Field'!G109)</f>
        <v>East</v>
      </c>
      <c r="H109" t="str">
        <f>PROPER(TRIM([1]raw_orders!H109))</f>
        <v>West Bengal</v>
      </c>
      <c r="I109" t="str">
        <f>PROPER(TRIM([1]raw_orders!I109))</f>
        <v>Kolkata</v>
      </c>
      <c r="J109" t="str">
        <f>PROPER(TRIM([1]raw_orders!J109))</f>
        <v>Furniture</v>
      </c>
      <c r="K109" t="str">
        <f>PROPER(TRIM([1]raw_orders!K109))</f>
        <v>Furnishings</v>
      </c>
      <c r="L109" t="s">
        <v>376</v>
      </c>
      <c r="M109" t="str">
        <f>IF('[1]Cleaned Text Field'!M109="","Unknown",'[1]Cleaned Text Field'!M109)</f>
        <v>First Class</v>
      </c>
      <c r="N109">
        <f>IF('[1]Cleaned Text Field'!N109="",0,'[1]Cleaned Text Field'!N109)</f>
        <v>3</v>
      </c>
      <c r="O109">
        <v>4302.8900000000003</v>
      </c>
      <c r="P109" s="5">
        <f>IF('[1]Cleaned Text Field'!P109="",0,'[1]Cleaned Text Field'!P109)</f>
        <v>0.05</v>
      </c>
      <c r="Q109">
        <v>12263.24</v>
      </c>
      <c r="R109">
        <v>8925.57</v>
      </c>
      <c r="S109">
        <v>3337.67</v>
      </c>
      <c r="T109" t="str">
        <f>PROPER(TRIM([1]raw_orders!T109))</f>
        <v>Paid</v>
      </c>
      <c r="U109" t="str">
        <f>PROPER(TRIM([1]raw_orders!U109))</f>
        <v>Completed</v>
      </c>
      <c r="V109" s="6">
        <f t="shared" si="8"/>
        <v>0.2721686927761342</v>
      </c>
      <c r="W109" t="str">
        <f t="shared" si="9"/>
        <v>October</v>
      </c>
      <c r="X109">
        <f t="shared" si="10"/>
        <v>2024</v>
      </c>
      <c r="Y109">
        <f t="shared" si="11"/>
        <v>6</v>
      </c>
      <c r="Z109" s="7">
        <f t="shared" si="12"/>
        <v>0.05</v>
      </c>
      <c r="AA109">
        <f t="shared" si="13"/>
        <v>12263.236500000001</v>
      </c>
      <c r="AB109">
        <f t="shared" si="14"/>
        <v>3337.67</v>
      </c>
      <c r="AC109" t="str">
        <f t="shared" si="15"/>
        <v>Clean</v>
      </c>
    </row>
    <row r="110" spans="1:29">
      <c r="A110" t="s">
        <v>377</v>
      </c>
      <c r="B110" s="4">
        <v>45519</v>
      </c>
      <c r="C110" s="4">
        <v>45527</v>
      </c>
      <c r="D110" t="s">
        <v>378</v>
      </c>
      <c r="E110" t="str">
        <f>PROPER(TRIM([1]raw_orders!E110))</f>
        <v>Aditi Sen</v>
      </c>
      <c r="F110" t="str">
        <f>PROPER(TRIM([1]raw_orders!F110))</f>
        <v>Small Business</v>
      </c>
      <c r="G110" t="str">
        <f>IF('[1]Cleaned Text Field'!G110="","Unknown",'[1]Cleaned Text Field'!G110)</f>
        <v>East</v>
      </c>
      <c r="H110" t="str">
        <f>PROPER(TRIM([1]raw_orders!H110))</f>
        <v>Odisha</v>
      </c>
      <c r="I110" t="str">
        <f>PROPER(TRIM([1]raw_orders!I110))</f>
        <v>Bhubaneswar</v>
      </c>
      <c r="J110" t="str">
        <f>PROPER(TRIM([1]raw_orders!J110))</f>
        <v>Furniture</v>
      </c>
      <c r="K110" t="str">
        <f>PROPER(TRIM([1]raw_orders!K110))</f>
        <v>Bookcases</v>
      </c>
      <c r="L110" t="s">
        <v>379</v>
      </c>
      <c r="M110" t="str">
        <f>IF('[1]Cleaned Text Field'!M110="","Unknown",'[1]Cleaned Text Field'!M110)</f>
        <v>Same Day</v>
      </c>
      <c r="N110">
        <f>IF('[1]Cleaned Text Field'!N110="",0,'[1]Cleaned Text Field'!N110)</f>
        <v>2</v>
      </c>
      <c r="O110">
        <v>537.54</v>
      </c>
      <c r="P110" s="5">
        <f>IF('[1]Cleaned Text Field'!P110="",0,'[1]Cleaned Text Field'!P110)</f>
        <v>0.25</v>
      </c>
      <c r="Q110">
        <v>806.31</v>
      </c>
      <c r="R110">
        <v>498.5</v>
      </c>
      <c r="S110">
        <v>307.81</v>
      </c>
      <c r="T110" t="str">
        <f>PROPER(TRIM([1]raw_orders!T110))</f>
        <v>Paid</v>
      </c>
      <c r="U110" t="str">
        <f>PROPER(TRIM([1]raw_orders!U110))</f>
        <v>Completed</v>
      </c>
      <c r="V110" s="6">
        <f t="shared" si="8"/>
        <v>0.38175143555208296</v>
      </c>
      <c r="W110" t="str">
        <f t="shared" si="9"/>
        <v>August</v>
      </c>
      <c r="X110">
        <f t="shared" si="10"/>
        <v>2024</v>
      </c>
      <c r="Y110">
        <f t="shared" si="11"/>
        <v>8</v>
      </c>
      <c r="Z110" s="7">
        <f t="shared" si="12"/>
        <v>0.25</v>
      </c>
      <c r="AA110">
        <f t="shared" si="13"/>
        <v>806.31</v>
      </c>
      <c r="AB110">
        <f t="shared" si="14"/>
        <v>307.80999999999995</v>
      </c>
      <c r="AC110" t="str">
        <f t="shared" si="15"/>
        <v>Clean</v>
      </c>
    </row>
    <row r="111" spans="1:29">
      <c r="A111" t="s">
        <v>380</v>
      </c>
      <c r="B111" s="4">
        <v>45892</v>
      </c>
      <c r="C111" s="4">
        <v>45896</v>
      </c>
      <c r="D111" t="s">
        <v>381</v>
      </c>
      <c r="E111" t="str">
        <f>PROPER(TRIM([1]raw_orders!E111))</f>
        <v>Sneha Kapoor</v>
      </c>
      <c r="F111" t="str">
        <f>PROPER(TRIM([1]raw_orders!F111))</f>
        <v>Consumer</v>
      </c>
      <c r="G111" t="str">
        <f>IF('[1]Cleaned Text Field'!G111="","Unknown",'[1]Cleaned Text Field'!G111)</f>
        <v>North</v>
      </c>
      <c r="H111" t="str">
        <f>PROPER(TRIM([1]raw_orders!H111))</f>
        <v>Delhi</v>
      </c>
      <c r="I111" t="str">
        <f>PROPER(TRIM([1]raw_orders!I111))</f>
        <v>New Delhi</v>
      </c>
      <c r="J111" t="str">
        <f>PROPER(TRIM([1]raw_orders!J111))</f>
        <v>Office Supplies</v>
      </c>
      <c r="K111" t="str">
        <f>PROPER(TRIM([1]raw_orders!K111))</f>
        <v>Binders</v>
      </c>
      <c r="L111" t="s">
        <v>382</v>
      </c>
      <c r="M111" t="str">
        <f>IF('[1]Cleaned Text Field'!M111="","Unknown",'[1]Cleaned Text Field'!M111)</f>
        <v>Second Class</v>
      </c>
      <c r="N111">
        <f>IF('[1]Cleaned Text Field'!N111="",0,'[1]Cleaned Text Field'!N111)</f>
        <v>1</v>
      </c>
      <c r="O111">
        <v>2788.62</v>
      </c>
      <c r="P111" s="5">
        <f>IF('[1]Cleaned Text Field'!P111="",0,'[1]Cleaned Text Field'!P111)</f>
        <v>0.25</v>
      </c>
      <c r="Q111">
        <v>2091.4699999999998</v>
      </c>
      <c r="R111">
        <v>1317.22</v>
      </c>
      <c r="S111">
        <v>774.25</v>
      </c>
      <c r="T111" t="str">
        <f>PROPER(TRIM([1]raw_orders!T111))</f>
        <v>Paid</v>
      </c>
      <c r="U111" t="str">
        <f>PROPER(TRIM([1]raw_orders!U111))</f>
        <v>Completed</v>
      </c>
      <c r="V111" s="6">
        <f t="shared" si="8"/>
        <v>0.37019416965101104</v>
      </c>
      <c r="W111" t="str">
        <f t="shared" si="9"/>
        <v>August</v>
      </c>
      <c r="X111">
        <f t="shared" si="10"/>
        <v>2025</v>
      </c>
      <c r="Y111">
        <f t="shared" si="11"/>
        <v>4</v>
      </c>
      <c r="Z111" s="7">
        <f t="shared" si="12"/>
        <v>0.25</v>
      </c>
      <c r="AA111">
        <f t="shared" si="13"/>
        <v>2091.4650000000001</v>
      </c>
      <c r="AB111">
        <f t="shared" si="14"/>
        <v>774.24999999999977</v>
      </c>
      <c r="AC111" t="str">
        <f t="shared" si="15"/>
        <v>Clean</v>
      </c>
    </row>
    <row r="112" spans="1:29">
      <c r="A112" t="s">
        <v>383</v>
      </c>
      <c r="B112" s="4">
        <v>45583</v>
      </c>
      <c r="C112" s="4">
        <v>45589</v>
      </c>
      <c r="D112" t="s">
        <v>384</v>
      </c>
      <c r="E112" t="str">
        <f>PROPER(TRIM([1]raw_orders!E112))</f>
        <v>Vikram Iyer</v>
      </c>
      <c r="F112" t="str">
        <f>PROPER(TRIM([1]raw_orders!F112))</f>
        <v>Corporate</v>
      </c>
      <c r="G112" t="str">
        <f>IF('[1]Cleaned Text Field'!G112="","Unknown",'[1]Cleaned Text Field'!G112)</f>
        <v>South</v>
      </c>
      <c r="H112" t="str">
        <f>PROPER(TRIM([1]raw_orders!H112))</f>
        <v>Kerala</v>
      </c>
      <c r="I112" t="str">
        <f>PROPER(TRIM([1]raw_orders!I112))</f>
        <v>Kochi</v>
      </c>
      <c r="J112" t="str">
        <f>PROPER(TRIM([1]raw_orders!J112))</f>
        <v>Office Supplies</v>
      </c>
      <c r="K112" t="str">
        <f>PROPER(TRIM([1]raw_orders!K112))</f>
        <v>Labels</v>
      </c>
      <c r="L112" t="s">
        <v>385</v>
      </c>
      <c r="M112" t="str">
        <f>IF('[1]Cleaned Text Field'!M112="","Unknown",'[1]Cleaned Text Field'!M112)</f>
        <v>First Class</v>
      </c>
      <c r="N112">
        <f>IF('[1]Cleaned Text Field'!N112="",0,'[1]Cleaned Text Field'!N112)</f>
        <v>2</v>
      </c>
      <c r="O112">
        <v>2250.4699999999998</v>
      </c>
      <c r="P112" s="5">
        <f>IF('[1]Cleaned Text Field'!P112="",0,'[1]Cleaned Text Field'!P112)</f>
        <v>0</v>
      </c>
      <c r="Q112">
        <v>4500.9399999999996</v>
      </c>
      <c r="R112">
        <v>2607.73</v>
      </c>
      <c r="S112">
        <v>1893.21</v>
      </c>
      <c r="T112" t="str">
        <f>PROPER(TRIM([1]raw_orders!T112))</f>
        <v>Refunded</v>
      </c>
      <c r="U112" t="str">
        <f>PROPER(TRIM([1]raw_orders!U112))</f>
        <v>Cancelled</v>
      </c>
      <c r="V112" s="6">
        <f t="shared" si="8"/>
        <v>0.42062546934640321</v>
      </c>
      <c r="W112" t="str">
        <f t="shared" si="9"/>
        <v>October</v>
      </c>
      <c r="X112">
        <f t="shared" si="10"/>
        <v>2024</v>
      </c>
      <c r="Y112">
        <f t="shared" si="11"/>
        <v>6</v>
      </c>
      <c r="Z112" s="7">
        <f t="shared" si="12"/>
        <v>0</v>
      </c>
      <c r="AA112">
        <f t="shared" si="13"/>
        <v>4500.9399999999996</v>
      </c>
      <c r="AB112">
        <f t="shared" si="14"/>
        <v>1893.2099999999996</v>
      </c>
      <c r="AC112" t="str">
        <f t="shared" si="15"/>
        <v>Clean</v>
      </c>
    </row>
    <row r="113" spans="1:29">
      <c r="A113" t="s">
        <v>386</v>
      </c>
      <c r="B113" s="4">
        <v>45835</v>
      </c>
      <c r="C113" s="4">
        <v>45838</v>
      </c>
      <c r="D113" t="s">
        <v>387</v>
      </c>
      <c r="E113" t="str">
        <f>PROPER(TRIM([1]raw_orders!E113))</f>
        <v>Neha Gupta</v>
      </c>
      <c r="F113" t="str">
        <f>PROPER(TRIM([1]raw_orders!F113))</f>
        <v>Corporate</v>
      </c>
      <c r="G113" t="str">
        <f>IF('[1]Cleaned Text Field'!G113="","Unknown",'[1]Cleaned Text Field'!G113)</f>
        <v>East</v>
      </c>
      <c r="H113" t="str">
        <f>PROPER(TRIM([1]raw_orders!H113))</f>
        <v>Bihar</v>
      </c>
      <c r="I113" t="str">
        <f>PROPER(TRIM([1]raw_orders!I113))</f>
        <v>Patna</v>
      </c>
      <c r="J113" t="str">
        <f>PROPER(TRIM([1]raw_orders!J113))</f>
        <v>Technology</v>
      </c>
      <c r="K113" t="str">
        <f>PROPER(TRIM([1]raw_orders!K113))</f>
        <v>Accessories</v>
      </c>
      <c r="L113" t="s">
        <v>388</v>
      </c>
      <c r="M113" t="str">
        <f>IF('[1]Cleaned Text Field'!M113="","Unknown",'[1]Cleaned Text Field'!M113)</f>
        <v>First Class</v>
      </c>
      <c r="N113">
        <f>IF('[1]Cleaned Text Field'!N113="",0,'[1]Cleaned Text Field'!N113)</f>
        <v>1</v>
      </c>
      <c r="O113">
        <v>1708.44</v>
      </c>
      <c r="P113" s="5">
        <f>IF('[1]Cleaned Text Field'!P113="",0,'[1]Cleaned Text Field'!P113)</f>
        <v>0.05</v>
      </c>
      <c r="Q113">
        <v>1623.02</v>
      </c>
      <c r="R113">
        <v>1077.46</v>
      </c>
      <c r="S113">
        <v>545.55999999999995</v>
      </c>
      <c r="T113" t="str">
        <f>PROPER(TRIM([1]raw_orders!T113))</f>
        <v>Pending</v>
      </c>
      <c r="U113" t="str">
        <f>PROPER(TRIM([1]raw_orders!U113))</f>
        <v>Cancelled</v>
      </c>
      <c r="V113" s="6">
        <f t="shared" si="8"/>
        <v>0.33613880297223692</v>
      </c>
      <c r="W113" t="str">
        <f t="shared" si="9"/>
        <v>June</v>
      </c>
      <c r="X113">
        <f t="shared" si="10"/>
        <v>2025</v>
      </c>
      <c r="Y113">
        <f t="shared" si="11"/>
        <v>3</v>
      </c>
      <c r="Z113" s="7">
        <f t="shared" si="12"/>
        <v>0.05</v>
      </c>
      <c r="AA113">
        <f t="shared" si="13"/>
        <v>1623.018</v>
      </c>
      <c r="AB113">
        <f t="shared" si="14"/>
        <v>545.55999999999995</v>
      </c>
      <c r="AC113" t="str">
        <f t="shared" si="15"/>
        <v>Clean</v>
      </c>
    </row>
    <row r="114" spans="1:29">
      <c r="A114" t="s">
        <v>389</v>
      </c>
      <c r="B114" s="4">
        <v>45301</v>
      </c>
      <c r="C114" s="4">
        <v>45305</v>
      </c>
      <c r="D114" t="s">
        <v>390</v>
      </c>
      <c r="E114" t="str">
        <f>PROPER(TRIM([1]raw_orders!E114))</f>
        <v>Sneha Kapoor</v>
      </c>
      <c r="F114" t="str">
        <f>PROPER(TRIM([1]raw_orders!F114))</f>
        <v>Consumer</v>
      </c>
      <c r="G114" t="str">
        <f>IF('[1]Cleaned Text Field'!G114="","Unknown",'[1]Cleaned Text Field'!G114)</f>
        <v>Unknown</v>
      </c>
      <c r="H114" t="str">
        <f>PROPER(TRIM([1]raw_orders!H114))</f>
        <v>Gujarat</v>
      </c>
      <c r="I114" t="str">
        <f>PROPER(TRIM([1]raw_orders!I114))</f>
        <v>Ahmedabad</v>
      </c>
      <c r="J114" t="str">
        <f>PROPER(TRIM([1]raw_orders!J114))</f>
        <v>Technology</v>
      </c>
      <c r="K114" t="str">
        <f>PROPER(TRIM([1]raw_orders!K114))</f>
        <v>Accessories</v>
      </c>
      <c r="L114" t="s">
        <v>391</v>
      </c>
      <c r="M114" t="str">
        <f>IF('[1]Cleaned Text Field'!M114="","Unknown",'[1]Cleaned Text Field'!M114)</f>
        <v>Standard Class</v>
      </c>
      <c r="N114">
        <f>IF('[1]Cleaned Text Field'!N114="",0,'[1]Cleaned Text Field'!N114)</f>
        <v>3</v>
      </c>
      <c r="O114">
        <v>3829.48</v>
      </c>
      <c r="P114" s="5">
        <f>IF('[1]Cleaned Text Field'!P114="",0,'[1]Cleaned Text Field'!P114)</f>
        <v>0.05</v>
      </c>
      <c r="Q114">
        <v>10914.02</v>
      </c>
      <c r="R114">
        <v>6548.74</v>
      </c>
      <c r="S114">
        <v>4365.28</v>
      </c>
      <c r="T114" t="str">
        <f>PROPER(TRIM([1]raw_orders!T114))</f>
        <v>Paid</v>
      </c>
      <c r="U114" t="str">
        <f>PROPER(TRIM([1]raw_orders!U114))</f>
        <v>Completed</v>
      </c>
      <c r="V114" s="6">
        <f t="shared" si="8"/>
        <v>0.39996994691232007</v>
      </c>
      <c r="W114" t="str">
        <f t="shared" si="9"/>
        <v>January</v>
      </c>
      <c r="X114">
        <f t="shared" si="10"/>
        <v>2024</v>
      </c>
      <c r="Y114">
        <f t="shared" si="11"/>
        <v>4</v>
      </c>
      <c r="Z114" s="7">
        <f t="shared" si="12"/>
        <v>0.05</v>
      </c>
      <c r="AA114">
        <f t="shared" si="13"/>
        <v>10914.018</v>
      </c>
      <c r="AB114">
        <f t="shared" si="14"/>
        <v>4365.2800000000007</v>
      </c>
      <c r="AC114" t="str">
        <f t="shared" si="15"/>
        <v>Clean</v>
      </c>
    </row>
    <row r="115" spans="1:29">
      <c r="A115" t="s">
        <v>392</v>
      </c>
      <c r="B115" s="4">
        <v>45628</v>
      </c>
      <c r="C115" s="4">
        <v>45628</v>
      </c>
      <c r="D115" t="s">
        <v>303</v>
      </c>
      <c r="E115" t="str">
        <f>PROPER(TRIM([1]raw_orders!E115))</f>
        <v>Isha Nair</v>
      </c>
      <c r="F115" t="str">
        <f>PROPER(TRIM([1]raw_orders!F115))</f>
        <v>Home Office</v>
      </c>
      <c r="G115" t="str">
        <f>IF('[1]Cleaned Text Field'!G115="","Unknown",'[1]Cleaned Text Field'!G115)</f>
        <v>South</v>
      </c>
      <c r="H115" t="str">
        <f>PROPER(TRIM([1]raw_orders!H115))</f>
        <v>Tamil Nadu</v>
      </c>
      <c r="I115" t="str">
        <f>PROPER(TRIM([1]raw_orders!I115))</f>
        <v>Chennai</v>
      </c>
      <c r="J115" t="str">
        <f>PROPER(TRIM([1]raw_orders!J115))</f>
        <v>Furniture</v>
      </c>
      <c r="K115" t="str">
        <f>PROPER(TRIM([1]raw_orders!K115))</f>
        <v>Tables</v>
      </c>
      <c r="L115" t="s">
        <v>393</v>
      </c>
      <c r="M115" t="str">
        <f>IF('[1]Cleaned Text Field'!M115="","Unknown",'[1]Cleaned Text Field'!M115)</f>
        <v>Standard Class</v>
      </c>
      <c r="N115">
        <f>IF('[1]Cleaned Text Field'!N115="",0,'[1]Cleaned Text Field'!N115)</f>
        <v>3</v>
      </c>
      <c r="O115">
        <v>1089.1500000000001</v>
      </c>
      <c r="P115" s="5">
        <f>IF('[1]Cleaned Text Field'!P115="",0,'[1]Cleaned Text Field'!P115)</f>
        <v>0.25</v>
      </c>
      <c r="Q115">
        <v>2450.59</v>
      </c>
      <c r="R115">
        <v>1639.89</v>
      </c>
      <c r="S115">
        <v>810.7</v>
      </c>
      <c r="T115" t="str">
        <f>PROPER(TRIM([1]raw_orders!T115))</f>
        <v>Paid</v>
      </c>
      <c r="U115" t="str">
        <f>PROPER(TRIM([1]raw_orders!U115))</f>
        <v>Completed</v>
      </c>
      <c r="V115" s="6">
        <f t="shared" si="8"/>
        <v>0.33081829273766727</v>
      </c>
      <c r="W115" t="str">
        <f t="shared" si="9"/>
        <v>December</v>
      </c>
      <c r="X115">
        <f t="shared" si="10"/>
        <v>2024</v>
      </c>
      <c r="Y115">
        <f t="shared" si="11"/>
        <v>0</v>
      </c>
      <c r="Z115" s="7">
        <f t="shared" si="12"/>
        <v>0.25</v>
      </c>
      <c r="AA115">
        <f t="shared" si="13"/>
        <v>2450.5875000000001</v>
      </c>
      <c r="AB115">
        <f t="shared" si="14"/>
        <v>810.7</v>
      </c>
      <c r="AC115" t="str">
        <f t="shared" si="15"/>
        <v>Clean</v>
      </c>
    </row>
    <row r="116" spans="1:29">
      <c r="A116" t="s">
        <v>394</v>
      </c>
      <c r="B116" s="4">
        <v>45560</v>
      </c>
      <c r="C116" s="4">
        <v>45565</v>
      </c>
      <c r="D116" t="s">
        <v>395</v>
      </c>
      <c r="E116" t="str">
        <f>PROPER(TRIM([1]raw_orders!E116))</f>
        <v>Neha Gupta</v>
      </c>
      <c r="F116" t="str">
        <f>PROPER(TRIM([1]raw_orders!F116))</f>
        <v>Small Business</v>
      </c>
      <c r="G116" t="str">
        <f>IF('[1]Cleaned Text Field'!G116="","Unknown",'[1]Cleaned Text Field'!G116)</f>
        <v>North</v>
      </c>
      <c r="H116" t="str">
        <f>PROPER(TRIM([1]raw_orders!H116))</f>
        <v>Rajasthan</v>
      </c>
      <c r="I116" t="str">
        <f>PROPER(TRIM([1]raw_orders!I116))</f>
        <v>Jaipur</v>
      </c>
      <c r="J116" t="str">
        <f>PROPER(TRIM([1]raw_orders!J116))</f>
        <v>Technology</v>
      </c>
      <c r="K116" t="str">
        <f>PROPER(TRIM([1]raw_orders!K116))</f>
        <v>Accessories</v>
      </c>
      <c r="L116" t="s">
        <v>396</v>
      </c>
      <c r="M116" t="str">
        <f>IF('[1]Cleaned Text Field'!M116="","Unknown",'[1]Cleaned Text Field'!M116)</f>
        <v>Second Class</v>
      </c>
      <c r="N116">
        <f>IF('[1]Cleaned Text Field'!N116="",0,'[1]Cleaned Text Field'!N116)</f>
        <v>1</v>
      </c>
      <c r="O116">
        <v>4388.3999999999996</v>
      </c>
      <c r="P116" s="5">
        <f>IF('[1]Cleaned Text Field'!P116="",0,'[1]Cleaned Text Field'!P116)</f>
        <v>0.1</v>
      </c>
      <c r="Q116">
        <v>3949.56</v>
      </c>
      <c r="R116">
        <v>3186.73</v>
      </c>
      <c r="S116">
        <v>762.83</v>
      </c>
      <c r="T116" t="str">
        <f>PROPER(TRIM([1]raw_orders!T116))</f>
        <v>Pending</v>
      </c>
      <c r="U116" t="str">
        <f>PROPER(TRIM([1]raw_orders!U116))</f>
        <v>Cancelled</v>
      </c>
      <c r="V116" s="6">
        <f t="shared" si="8"/>
        <v>0.19314303365438176</v>
      </c>
      <c r="W116" t="str">
        <f t="shared" si="9"/>
        <v>September</v>
      </c>
      <c r="X116">
        <f t="shared" si="10"/>
        <v>2024</v>
      </c>
      <c r="Y116">
        <f t="shared" si="11"/>
        <v>5</v>
      </c>
      <c r="Z116" s="7">
        <f t="shared" si="12"/>
        <v>0.1</v>
      </c>
      <c r="AA116">
        <f t="shared" si="13"/>
        <v>3949.56</v>
      </c>
      <c r="AB116">
        <f t="shared" si="14"/>
        <v>762.82999999999993</v>
      </c>
      <c r="AC116" t="str">
        <f t="shared" si="15"/>
        <v>Clean</v>
      </c>
    </row>
    <row r="117" spans="1:29">
      <c r="A117" t="s">
        <v>397</v>
      </c>
      <c r="B117" s="4">
        <v>45653</v>
      </c>
      <c r="C117" s="4">
        <v>45658</v>
      </c>
      <c r="D117" t="s">
        <v>398</v>
      </c>
      <c r="E117" t="str">
        <f>PROPER(TRIM([1]raw_orders!E117))</f>
        <v>Kabir Singh</v>
      </c>
      <c r="F117" t="str">
        <f>PROPER(TRIM([1]raw_orders!F117))</f>
        <v>Corporate</v>
      </c>
      <c r="G117" t="str">
        <f>IF('[1]Cleaned Text Field'!G117="","Unknown",'[1]Cleaned Text Field'!G117)</f>
        <v>South</v>
      </c>
      <c r="H117" t="str">
        <f>PROPER(TRIM([1]raw_orders!H117))</f>
        <v>Tamil Nadu</v>
      </c>
      <c r="I117" t="str">
        <f>PROPER(TRIM([1]raw_orders!I117))</f>
        <v>Chennai</v>
      </c>
      <c r="J117" t="str">
        <f>PROPER(TRIM([1]raw_orders!J117))</f>
        <v>Office Supplies</v>
      </c>
      <c r="K117" t="str">
        <f>PROPER(TRIM([1]raw_orders!K117))</f>
        <v>Binders</v>
      </c>
      <c r="L117" t="s">
        <v>399</v>
      </c>
      <c r="M117" t="str">
        <f>IF('[1]Cleaned Text Field'!M117="","Unknown",'[1]Cleaned Text Field'!M117)</f>
        <v>Same Day</v>
      </c>
      <c r="N117">
        <f>IF('[1]Cleaned Text Field'!N117="",0,'[1]Cleaned Text Field'!N117)</f>
        <v>2</v>
      </c>
      <c r="O117">
        <v>446.34</v>
      </c>
      <c r="P117" s="5">
        <f>IF('[1]Cleaned Text Field'!P117="",0,'[1]Cleaned Text Field'!P117)</f>
        <v>0.15</v>
      </c>
      <c r="Q117">
        <v>758.78</v>
      </c>
      <c r="R117">
        <v>490.74</v>
      </c>
      <c r="S117">
        <v>268.04000000000002</v>
      </c>
      <c r="T117" t="str">
        <f>PROPER(TRIM([1]raw_orders!T117))</f>
        <v>Paid</v>
      </c>
      <c r="U117" t="str">
        <f>PROPER(TRIM([1]raw_orders!U117))</f>
        <v>Cancelled</v>
      </c>
      <c r="V117" s="6">
        <f t="shared" si="8"/>
        <v>0.35325127177838112</v>
      </c>
      <c r="W117" t="str">
        <f t="shared" si="9"/>
        <v>December</v>
      </c>
      <c r="X117">
        <f t="shared" si="10"/>
        <v>2024</v>
      </c>
      <c r="Y117">
        <f t="shared" si="11"/>
        <v>5</v>
      </c>
      <c r="Z117" s="7">
        <f t="shared" si="12"/>
        <v>0.15</v>
      </c>
      <c r="AA117">
        <f t="shared" si="13"/>
        <v>758.77799999999991</v>
      </c>
      <c r="AB117">
        <f t="shared" si="14"/>
        <v>268.03999999999996</v>
      </c>
      <c r="AC117" t="str">
        <f t="shared" si="15"/>
        <v>Clean</v>
      </c>
    </row>
    <row r="118" spans="1:29">
      <c r="A118" t="s">
        <v>400</v>
      </c>
      <c r="B118" s="4">
        <v>45703</v>
      </c>
      <c r="C118" s="4">
        <v>45707</v>
      </c>
      <c r="D118" t="s">
        <v>401</v>
      </c>
      <c r="E118" t="str">
        <f>PROPER(TRIM([1]raw_orders!E118))</f>
        <v>Ananya Rao</v>
      </c>
      <c r="F118" t="str">
        <f>PROPER(TRIM([1]raw_orders!F118))</f>
        <v>Small Business</v>
      </c>
      <c r="G118" t="str">
        <f>IF('[1]Cleaned Text Field'!G118="","Unknown",'[1]Cleaned Text Field'!G118)</f>
        <v>Unknown</v>
      </c>
      <c r="H118" t="str">
        <f>PROPER(TRIM([1]raw_orders!H118))</f>
        <v>Madhya Pradesh</v>
      </c>
      <c r="I118" t="str">
        <f>PROPER(TRIM([1]raw_orders!I118))</f>
        <v>Indore</v>
      </c>
      <c r="J118" t="str">
        <f>PROPER(TRIM([1]raw_orders!J118))</f>
        <v>Office Supplies</v>
      </c>
      <c r="K118" t="str">
        <f>PROPER(TRIM([1]raw_orders!K118))</f>
        <v>Binders</v>
      </c>
      <c r="L118" t="s">
        <v>402</v>
      </c>
      <c r="M118" t="str">
        <f>IF('[1]Cleaned Text Field'!M118="","Unknown",'[1]Cleaned Text Field'!M118)</f>
        <v>First Class</v>
      </c>
      <c r="N118">
        <f>IF('[1]Cleaned Text Field'!N118="",0,'[1]Cleaned Text Field'!N118)</f>
        <v>9</v>
      </c>
      <c r="O118">
        <v>531.99</v>
      </c>
      <c r="P118" s="5">
        <f>IF('[1]Cleaned Text Field'!P118="",0,'[1]Cleaned Text Field'!P118)</f>
        <v>0.25</v>
      </c>
      <c r="Q118">
        <v>3590.93</v>
      </c>
      <c r="R118">
        <v>3061.39</v>
      </c>
      <c r="S118">
        <v>529.54</v>
      </c>
      <c r="T118" t="str">
        <f>PROPER(TRIM([1]raw_orders!T118))</f>
        <v>Failed</v>
      </c>
      <c r="U118" t="str">
        <f>PROPER(TRIM([1]raw_orders!U118))</f>
        <v>Cancelled</v>
      </c>
      <c r="V118" s="6">
        <f t="shared" si="8"/>
        <v>0.14746597678038836</v>
      </c>
      <c r="W118" t="str">
        <f t="shared" si="9"/>
        <v>February</v>
      </c>
      <c r="X118">
        <f t="shared" si="10"/>
        <v>2025</v>
      </c>
      <c r="Y118">
        <f t="shared" si="11"/>
        <v>4</v>
      </c>
      <c r="Z118" s="7">
        <f t="shared" si="12"/>
        <v>0.25</v>
      </c>
      <c r="AA118">
        <f t="shared" si="13"/>
        <v>3590.9324999999999</v>
      </c>
      <c r="AB118">
        <f t="shared" si="14"/>
        <v>529.54</v>
      </c>
      <c r="AC118" t="str">
        <f t="shared" si="15"/>
        <v>Clean</v>
      </c>
    </row>
    <row r="119" spans="1:29">
      <c r="A119" t="s">
        <v>403</v>
      </c>
      <c r="B119" s="4">
        <v>45337</v>
      </c>
      <c r="C119" s="4">
        <v>45339</v>
      </c>
      <c r="D119" t="s">
        <v>404</v>
      </c>
      <c r="E119" t="str">
        <f>PROPER(TRIM([1]raw_orders!E119))</f>
        <v>Mira Das</v>
      </c>
      <c r="F119" t="str">
        <f>PROPER(TRIM([1]raw_orders!F119))</f>
        <v>Home Office</v>
      </c>
      <c r="G119" t="str">
        <f>IF('[1]Cleaned Text Field'!G119="","Unknown",'[1]Cleaned Text Field'!G119)</f>
        <v>South</v>
      </c>
      <c r="H119" t="str">
        <f>PROPER(TRIM([1]raw_orders!H119))</f>
        <v>Tamil Nadu</v>
      </c>
      <c r="I119" t="str">
        <f>PROPER(TRIM([1]raw_orders!I119))</f>
        <v>Chennai</v>
      </c>
      <c r="J119" t="str">
        <f>PROPER(TRIM([1]raw_orders!J119))</f>
        <v>Technology</v>
      </c>
      <c r="K119" t="str">
        <f>PROPER(TRIM([1]raw_orders!K119))</f>
        <v>Machines</v>
      </c>
      <c r="L119" t="s">
        <v>405</v>
      </c>
      <c r="M119" t="str">
        <f>IF('[1]Cleaned Text Field'!M119="","Unknown",'[1]Cleaned Text Field'!M119)</f>
        <v>Standard Class</v>
      </c>
      <c r="N119">
        <f>IF('[1]Cleaned Text Field'!N119="",0,'[1]Cleaned Text Field'!N119)</f>
        <v>9</v>
      </c>
      <c r="O119">
        <v>3324.55</v>
      </c>
      <c r="P119" s="5" t="str">
        <f>IF('[1]Cleaned Text Field'!P119="",0,'[1]Cleaned Text Field'!P119)</f>
        <v>70%</v>
      </c>
      <c r="Q119">
        <v>25432.81</v>
      </c>
      <c r="R119">
        <v>20370.16</v>
      </c>
      <c r="S119">
        <v>5062.6499999999996</v>
      </c>
      <c r="T119" t="str">
        <f>PROPER(TRIM([1]raw_orders!T119))</f>
        <v>Paid</v>
      </c>
      <c r="U119" t="str">
        <f>PROPER(TRIM([1]raw_orders!U119))</f>
        <v>Completed</v>
      </c>
      <c r="V119" s="6">
        <f t="shared" si="8"/>
        <v>0.19905979716751707</v>
      </c>
      <c r="W119" t="str">
        <f t="shared" si="9"/>
        <v>February</v>
      </c>
      <c r="X119">
        <f t="shared" si="10"/>
        <v>2024</v>
      </c>
      <c r="Y119">
        <f t="shared" si="11"/>
        <v>2</v>
      </c>
      <c r="Z119" s="7">
        <f>VALUE(SUBSTITUTE(P119,"%",""))/100</f>
        <v>0.7</v>
      </c>
      <c r="AA119">
        <f t="shared" si="13"/>
        <v>8976.2850000000017</v>
      </c>
      <c r="AB119">
        <f t="shared" si="14"/>
        <v>5062.6500000000015</v>
      </c>
      <c r="AC119" t="str">
        <f t="shared" si="15"/>
        <v>Clean</v>
      </c>
    </row>
    <row r="120" spans="1:29">
      <c r="A120" t="s">
        <v>406</v>
      </c>
      <c r="B120" s="4">
        <v>45453</v>
      </c>
      <c r="C120" s="4">
        <v>45461</v>
      </c>
      <c r="D120" t="s">
        <v>407</v>
      </c>
      <c r="E120" t="str">
        <f>PROPER(TRIM([1]raw_orders!E120))</f>
        <v>Vikram Iyer</v>
      </c>
      <c r="F120" t="str">
        <f>PROPER(TRIM([1]raw_orders!F120))</f>
        <v>Home Office</v>
      </c>
      <c r="G120" t="str">
        <f>IF('[1]Cleaned Text Field'!G120="","Unknown",'[1]Cleaned Text Field'!G120)</f>
        <v>South</v>
      </c>
      <c r="H120" t="str">
        <f>PROPER(TRIM([1]raw_orders!H120))</f>
        <v>Andhra Pradesh</v>
      </c>
      <c r="I120" t="str">
        <f>PROPER(TRIM([1]raw_orders!I120))</f>
        <v>Vijayawada</v>
      </c>
      <c r="J120" t="str">
        <f>PROPER(TRIM([1]raw_orders!J120))</f>
        <v>Technology</v>
      </c>
      <c r="K120" t="str">
        <f>PROPER(TRIM([1]raw_orders!K120))</f>
        <v>Copiers</v>
      </c>
      <c r="L120" t="s">
        <v>408</v>
      </c>
      <c r="M120" t="str">
        <f>IF('[1]Cleaned Text Field'!M120="","Unknown",'[1]Cleaned Text Field'!M120)</f>
        <v>Same Day</v>
      </c>
      <c r="N120">
        <f>IF('[1]Cleaned Text Field'!N120="",0,'[1]Cleaned Text Field'!N120)</f>
        <v>5</v>
      </c>
      <c r="O120">
        <v>1580.27</v>
      </c>
      <c r="P120" s="5">
        <f>IF('[1]Cleaned Text Field'!P120="",0,'[1]Cleaned Text Field'!P120)</f>
        <v>0.2</v>
      </c>
      <c r="Q120">
        <v>6321.08</v>
      </c>
      <c r="R120">
        <v>4407.22</v>
      </c>
      <c r="S120">
        <v>1913.86</v>
      </c>
      <c r="T120" t="str">
        <f>PROPER(TRIM([1]raw_orders!T120))</f>
        <v>Paid</v>
      </c>
      <c r="U120" t="str">
        <f>PROPER(TRIM([1]raw_orders!U120))</f>
        <v>Completed</v>
      </c>
      <c r="V120" s="6">
        <f t="shared" si="8"/>
        <v>0.30277420947053352</v>
      </c>
      <c r="W120" t="str">
        <f t="shared" si="9"/>
        <v>June</v>
      </c>
      <c r="X120">
        <f t="shared" si="10"/>
        <v>2024</v>
      </c>
      <c r="Y120">
        <f t="shared" si="11"/>
        <v>8</v>
      </c>
      <c r="Z120" s="7">
        <f t="shared" si="12"/>
        <v>0.2</v>
      </c>
      <c r="AA120">
        <f t="shared" si="13"/>
        <v>6321.0800000000008</v>
      </c>
      <c r="AB120">
        <f t="shared" si="14"/>
        <v>1913.8599999999997</v>
      </c>
      <c r="AC120" t="str">
        <f t="shared" si="15"/>
        <v>Clean</v>
      </c>
    </row>
    <row r="121" spans="1:29">
      <c r="A121" t="s">
        <v>409</v>
      </c>
      <c r="B121" s="4">
        <v>45455</v>
      </c>
      <c r="C121" s="4">
        <v>45462</v>
      </c>
      <c r="D121" t="s">
        <v>410</v>
      </c>
      <c r="E121" t="str">
        <f>PROPER(TRIM([1]raw_orders!E121))</f>
        <v>Aditi Sen</v>
      </c>
      <c r="F121" t="str">
        <f>PROPER(TRIM([1]raw_orders!F121))</f>
        <v>Small Business</v>
      </c>
      <c r="G121" t="str">
        <f>IF('[1]Cleaned Text Field'!G121="","Unknown",'[1]Cleaned Text Field'!G121)</f>
        <v>South</v>
      </c>
      <c r="H121" t="str">
        <f>PROPER(TRIM([1]raw_orders!H121))</f>
        <v>Kerala</v>
      </c>
      <c r="I121" t="str">
        <f>PROPER(TRIM([1]raw_orders!I121))</f>
        <v>Kochi</v>
      </c>
      <c r="J121" t="str">
        <f>PROPER(TRIM([1]raw_orders!J121))</f>
        <v>Furniture</v>
      </c>
      <c r="K121" t="str">
        <f>PROPER(TRIM([1]raw_orders!K121))</f>
        <v>Chairs</v>
      </c>
      <c r="L121" t="s">
        <v>411</v>
      </c>
      <c r="M121" t="str">
        <f>IF('[1]Cleaned Text Field'!M121="","Unknown",'[1]Cleaned Text Field'!M121)</f>
        <v>Standard Class</v>
      </c>
      <c r="N121">
        <f>IF('[1]Cleaned Text Field'!N121="",0,'[1]Cleaned Text Field'!N121)</f>
        <v>8</v>
      </c>
      <c r="O121">
        <v>314.05</v>
      </c>
      <c r="P121" s="5">
        <f>IF('[1]Cleaned Text Field'!P121="",0,'[1]Cleaned Text Field'!P121)</f>
        <v>0.25</v>
      </c>
      <c r="Q121">
        <v>1884.3</v>
      </c>
      <c r="R121">
        <v>1517.69</v>
      </c>
      <c r="S121">
        <v>366.61</v>
      </c>
      <c r="T121" t="str">
        <f>PROPER(TRIM([1]raw_orders!T121))</f>
        <v>Refunded</v>
      </c>
      <c r="U121" t="str">
        <f>PROPER(TRIM([1]raw_orders!U121))</f>
        <v>Returned</v>
      </c>
      <c r="V121" s="6">
        <f t="shared" si="8"/>
        <v>0.19456031417502523</v>
      </c>
      <c r="W121" t="str">
        <f t="shared" si="9"/>
        <v>June</v>
      </c>
      <c r="X121">
        <f t="shared" si="10"/>
        <v>2024</v>
      </c>
      <c r="Y121">
        <f t="shared" si="11"/>
        <v>7</v>
      </c>
      <c r="Z121" s="7">
        <f t="shared" si="12"/>
        <v>0.25</v>
      </c>
      <c r="AA121">
        <f t="shared" si="13"/>
        <v>1884.3000000000002</v>
      </c>
      <c r="AB121">
        <f t="shared" si="14"/>
        <v>366.6099999999999</v>
      </c>
      <c r="AC121" t="str">
        <f t="shared" si="15"/>
        <v>Clean</v>
      </c>
    </row>
    <row r="122" spans="1:29">
      <c r="A122" t="s">
        <v>412</v>
      </c>
      <c r="B122" s="4">
        <v>45514</v>
      </c>
      <c r="C122" s="4">
        <v>45522</v>
      </c>
      <c r="D122" t="s">
        <v>413</v>
      </c>
      <c r="E122" t="str">
        <f>PROPER(TRIM([1]raw_orders!E122))</f>
        <v>Sneha Kapoor</v>
      </c>
      <c r="F122" t="str">
        <f>PROPER(TRIM([1]raw_orders!F122))</f>
        <v>Small Business</v>
      </c>
      <c r="G122" t="str">
        <f>IF('[1]Cleaned Text Field'!G122="","Unknown",'[1]Cleaned Text Field'!G122)</f>
        <v>East</v>
      </c>
      <c r="H122" t="str">
        <f>PROPER(TRIM([1]raw_orders!H122))</f>
        <v>Bihar</v>
      </c>
      <c r="I122" t="str">
        <f>PROPER(TRIM([1]raw_orders!I122))</f>
        <v>Patna</v>
      </c>
      <c r="J122" t="str">
        <f>PROPER(TRIM([1]raw_orders!J122))</f>
        <v>Technology</v>
      </c>
      <c r="K122" t="str">
        <f>PROPER(TRIM([1]raw_orders!K122))</f>
        <v>Phones</v>
      </c>
      <c r="L122" t="s">
        <v>414</v>
      </c>
      <c r="M122" t="str">
        <f>IF('[1]Cleaned Text Field'!M122="","Unknown",'[1]Cleaned Text Field'!M122)</f>
        <v>Standard Class</v>
      </c>
      <c r="N122">
        <f>IF('[1]Cleaned Text Field'!N122="",0,'[1]Cleaned Text Field'!N122)</f>
        <v>1</v>
      </c>
      <c r="O122">
        <v>1823.67</v>
      </c>
      <c r="P122" s="5">
        <f>IF('[1]Cleaned Text Field'!P122="",0,'[1]Cleaned Text Field'!P122)</f>
        <v>0.2</v>
      </c>
      <c r="Q122">
        <v>1458.94</v>
      </c>
      <c r="R122">
        <v>893.2</v>
      </c>
      <c r="S122">
        <v>565.74</v>
      </c>
      <c r="T122" t="str">
        <f>PROPER(TRIM([1]raw_orders!T122))</f>
        <v>Paid</v>
      </c>
      <c r="U122" t="str">
        <f>PROPER(TRIM([1]raw_orders!U122))</f>
        <v>Returned</v>
      </c>
      <c r="V122" s="6">
        <f t="shared" si="8"/>
        <v>0.38777468573073598</v>
      </c>
      <c r="W122" t="str">
        <f t="shared" si="9"/>
        <v>August</v>
      </c>
      <c r="X122">
        <f t="shared" si="10"/>
        <v>2024</v>
      </c>
      <c r="Y122">
        <f t="shared" si="11"/>
        <v>8</v>
      </c>
      <c r="Z122" s="7">
        <f t="shared" si="12"/>
        <v>0.2</v>
      </c>
      <c r="AA122">
        <f t="shared" si="13"/>
        <v>1458.9360000000001</v>
      </c>
      <c r="AB122">
        <f t="shared" si="14"/>
        <v>565.74</v>
      </c>
      <c r="AC122" t="str">
        <f t="shared" si="15"/>
        <v>Clean</v>
      </c>
    </row>
    <row r="123" spans="1:29">
      <c r="A123" t="s">
        <v>415</v>
      </c>
      <c r="B123" s="4">
        <v>45891</v>
      </c>
      <c r="C123" s="4">
        <v>45895</v>
      </c>
      <c r="D123" t="s">
        <v>416</v>
      </c>
      <c r="E123" t="str">
        <f>PROPER(TRIM([1]raw_orders!E123))</f>
        <v>Kabir Singh</v>
      </c>
      <c r="F123" t="str">
        <f>PROPER(TRIM([1]raw_orders!F123))</f>
        <v>Small Business</v>
      </c>
      <c r="G123" t="str">
        <f>IF('[1]Cleaned Text Field'!G123="","Unknown",'[1]Cleaned Text Field'!G123)</f>
        <v>South</v>
      </c>
      <c r="H123" t="str">
        <f>PROPER(TRIM([1]raw_orders!H123))</f>
        <v>Andhra Pradesh</v>
      </c>
      <c r="I123" t="str">
        <f>PROPER(TRIM([1]raw_orders!I123))</f>
        <v>Vijayawada</v>
      </c>
      <c r="J123" t="str">
        <f>PROPER(TRIM([1]raw_orders!J123))</f>
        <v>Technology</v>
      </c>
      <c r="K123" t="str">
        <f>PROPER(TRIM([1]raw_orders!K123))</f>
        <v>Machines</v>
      </c>
      <c r="L123" t="s">
        <v>417</v>
      </c>
      <c r="M123" t="str">
        <f>IF('[1]Cleaned Text Field'!M123="","Unknown",'[1]Cleaned Text Field'!M123)</f>
        <v>Second Class</v>
      </c>
      <c r="N123">
        <f>IF('[1]Cleaned Text Field'!N123="",0,'[1]Cleaned Text Field'!N123)</f>
        <v>5</v>
      </c>
      <c r="O123">
        <v>3482.92</v>
      </c>
      <c r="P123" s="5">
        <f>IF('[1]Cleaned Text Field'!P123="",0,'[1]Cleaned Text Field'!P123)</f>
        <v>0</v>
      </c>
      <c r="Q123">
        <v>17414.599999999999</v>
      </c>
      <c r="R123">
        <v>11760.91</v>
      </c>
      <c r="S123">
        <v>5653.69</v>
      </c>
      <c r="T123" t="str">
        <f>PROPER(TRIM([1]raw_orders!T123))</f>
        <v>Refunded</v>
      </c>
      <c r="U123" t="str">
        <f>PROPER(TRIM([1]raw_orders!U123))</f>
        <v>Cancelled</v>
      </c>
      <c r="V123" s="6">
        <f t="shared" si="8"/>
        <v>0.32465230323981026</v>
      </c>
      <c r="W123" t="str">
        <f t="shared" si="9"/>
        <v>August</v>
      </c>
      <c r="X123">
        <f t="shared" si="10"/>
        <v>2025</v>
      </c>
      <c r="Y123">
        <f t="shared" si="11"/>
        <v>4</v>
      </c>
      <c r="Z123" s="7">
        <f t="shared" si="12"/>
        <v>0</v>
      </c>
      <c r="AA123">
        <f t="shared" si="13"/>
        <v>17414.599999999999</v>
      </c>
      <c r="AB123">
        <f t="shared" si="14"/>
        <v>5653.6899999999987</v>
      </c>
      <c r="AC123" t="str">
        <f t="shared" si="15"/>
        <v>Clean</v>
      </c>
    </row>
    <row r="124" spans="1:29">
      <c r="A124" t="s">
        <v>418</v>
      </c>
      <c r="B124" s="4">
        <v>45626</v>
      </c>
      <c r="C124" s="4">
        <v>45394</v>
      </c>
      <c r="D124" t="s">
        <v>419</v>
      </c>
      <c r="E124" t="str">
        <f>PROPER(TRIM([1]raw_orders!E124))</f>
        <v>Ananya Rao</v>
      </c>
      <c r="F124" t="str">
        <f>PROPER(TRIM([1]raw_orders!F124))</f>
        <v>Small Business</v>
      </c>
      <c r="G124" t="str">
        <f>IF('[1]Cleaned Text Field'!G124="","Unknown",'[1]Cleaned Text Field'!G124)</f>
        <v>East</v>
      </c>
      <c r="H124" t="str">
        <f>PROPER(TRIM([1]raw_orders!H124))</f>
        <v>Assam</v>
      </c>
      <c r="I124" t="str">
        <f>PROPER(TRIM([1]raw_orders!I124))</f>
        <v>Guwahati</v>
      </c>
      <c r="J124" t="str">
        <f>PROPER(TRIM([1]raw_orders!J124))</f>
        <v>Furniture</v>
      </c>
      <c r="K124" t="str">
        <f>PROPER(TRIM([1]raw_orders!K124))</f>
        <v>Chairs</v>
      </c>
      <c r="L124" t="s">
        <v>420</v>
      </c>
      <c r="M124" t="str">
        <f>IF('[1]Cleaned Text Field'!M124="","Unknown",'[1]Cleaned Text Field'!M124)</f>
        <v>Second Class</v>
      </c>
      <c r="N124">
        <f>IF('[1]Cleaned Text Field'!N124="",0,'[1]Cleaned Text Field'!N124)</f>
        <v>3</v>
      </c>
      <c r="O124">
        <v>170.35</v>
      </c>
      <c r="P124" s="5">
        <f>IF('[1]Cleaned Text Field'!P124="",0,'[1]Cleaned Text Field'!P124)</f>
        <v>0</v>
      </c>
      <c r="Q124">
        <v>511.05</v>
      </c>
      <c r="R124">
        <v>367.18</v>
      </c>
      <c r="S124">
        <v>143.87</v>
      </c>
      <c r="T124" t="str">
        <f>PROPER(TRIM([1]raw_orders!T124))</f>
        <v>Paid</v>
      </c>
      <c r="U124" t="str">
        <f>PROPER(TRIM([1]raw_orders!U124))</f>
        <v>Completed</v>
      </c>
      <c r="V124" s="6">
        <f t="shared" si="8"/>
        <v>0.28151844242246354</v>
      </c>
      <c r="W124" t="str">
        <f t="shared" si="9"/>
        <v>November</v>
      </c>
      <c r="X124">
        <f t="shared" si="10"/>
        <v>2024</v>
      </c>
      <c r="Y124">
        <f t="shared" si="11"/>
        <v>-232</v>
      </c>
      <c r="Z124" s="7">
        <f t="shared" si="12"/>
        <v>0</v>
      </c>
      <c r="AA124">
        <f t="shared" si="13"/>
        <v>511.04999999999995</v>
      </c>
      <c r="AB124">
        <f t="shared" si="14"/>
        <v>143.87</v>
      </c>
      <c r="AC124" t="str">
        <f t="shared" si="15"/>
        <v>Warning</v>
      </c>
    </row>
    <row r="125" spans="1:29">
      <c r="A125" t="s">
        <v>421</v>
      </c>
      <c r="B125" s="4">
        <v>45436</v>
      </c>
      <c r="C125" s="4">
        <v>45437</v>
      </c>
      <c r="D125" t="s">
        <v>422</v>
      </c>
      <c r="E125" t="str">
        <f>PROPER(TRIM([1]raw_orders!E125))</f>
        <v>Sneha Kapoor</v>
      </c>
      <c r="F125" t="str">
        <f>PROPER(TRIM([1]raw_orders!F125))</f>
        <v>Small Business</v>
      </c>
      <c r="G125" t="str">
        <f>IF('[1]Cleaned Text Field'!G125="","Unknown",'[1]Cleaned Text Field'!G125)</f>
        <v>North</v>
      </c>
      <c r="H125" t="str">
        <f>PROPER(TRIM([1]raw_orders!H125))</f>
        <v>Punjab</v>
      </c>
      <c r="I125" t="str">
        <f>PROPER(TRIM([1]raw_orders!I125))</f>
        <v>Ludhiana</v>
      </c>
      <c r="J125" t="str">
        <f>PROPER(TRIM([1]raw_orders!J125))</f>
        <v>Technology</v>
      </c>
      <c r="K125" t="str">
        <f>PROPER(TRIM([1]raw_orders!K125))</f>
        <v>Copiers</v>
      </c>
      <c r="L125" t="s">
        <v>423</v>
      </c>
      <c r="M125" t="str">
        <f>IF('[1]Cleaned Text Field'!M125="","Unknown",'[1]Cleaned Text Field'!M125)</f>
        <v>Same Day</v>
      </c>
      <c r="N125">
        <f>IF('[1]Cleaned Text Field'!N125="",0,'[1]Cleaned Text Field'!N125)</f>
        <v>1</v>
      </c>
      <c r="O125">
        <v>634.13</v>
      </c>
      <c r="P125" s="5">
        <f>IF('[1]Cleaned Text Field'!P125="",0,'[1]Cleaned Text Field'!P125)</f>
        <v>0</v>
      </c>
      <c r="Q125">
        <v>634.13</v>
      </c>
      <c r="R125">
        <v>453.35</v>
      </c>
      <c r="S125">
        <v>180.78</v>
      </c>
      <c r="T125" t="str">
        <f>PROPER(TRIM([1]raw_orders!T125))</f>
        <v>Refunded</v>
      </c>
      <c r="U125" t="str">
        <f>PROPER(TRIM([1]raw_orders!U125))</f>
        <v>Cancelled</v>
      </c>
      <c r="V125" s="6">
        <f t="shared" si="8"/>
        <v>0.28508350022865975</v>
      </c>
      <c r="W125" t="str">
        <f t="shared" si="9"/>
        <v>May</v>
      </c>
      <c r="X125">
        <f t="shared" si="10"/>
        <v>2024</v>
      </c>
      <c r="Y125">
        <f t="shared" si="11"/>
        <v>1</v>
      </c>
      <c r="Z125" s="7">
        <f t="shared" si="12"/>
        <v>0</v>
      </c>
      <c r="AA125">
        <f t="shared" si="13"/>
        <v>634.13</v>
      </c>
      <c r="AB125">
        <f t="shared" si="14"/>
        <v>180.77999999999997</v>
      </c>
      <c r="AC125" t="str">
        <f t="shared" si="15"/>
        <v>Clean</v>
      </c>
    </row>
    <row r="126" spans="1:29">
      <c r="A126" t="s">
        <v>424</v>
      </c>
      <c r="B126" s="4">
        <v>45494</v>
      </c>
      <c r="C126" s="4">
        <v>45497</v>
      </c>
      <c r="D126" t="s">
        <v>425</v>
      </c>
      <c r="E126" t="str">
        <f>PROPER(TRIM([1]raw_orders!E126))</f>
        <v>Isha Nair</v>
      </c>
      <c r="F126" t="str">
        <f>PROPER(TRIM([1]raw_orders!F126))</f>
        <v>Corporate</v>
      </c>
      <c r="G126" t="str">
        <f>IF('[1]Cleaned Text Field'!G126="","Unknown",'[1]Cleaned Text Field'!G126)</f>
        <v>South</v>
      </c>
      <c r="H126" t="str">
        <f>PROPER(TRIM([1]raw_orders!H126))</f>
        <v>Karnataka</v>
      </c>
      <c r="I126" t="str">
        <f>PROPER(TRIM([1]raw_orders!I126))</f>
        <v>Bengaluru</v>
      </c>
      <c r="J126" t="str">
        <f>PROPER(TRIM([1]raw_orders!J126))</f>
        <v>Technology</v>
      </c>
      <c r="K126" t="str">
        <f>PROPER(TRIM([1]raw_orders!K126))</f>
        <v>Copiers</v>
      </c>
      <c r="L126" t="s">
        <v>426</v>
      </c>
      <c r="M126" t="str">
        <f>IF('[1]Cleaned Text Field'!M126="","Unknown",'[1]Cleaned Text Field'!M126)</f>
        <v>Standard Class</v>
      </c>
      <c r="N126">
        <f>IF('[1]Cleaned Text Field'!N126="",0,'[1]Cleaned Text Field'!N126)</f>
        <v>9</v>
      </c>
      <c r="O126">
        <v>465.06</v>
      </c>
      <c r="P126" s="5">
        <f>IF('[1]Cleaned Text Field'!P126="",0,'[1]Cleaned Text Field'!P126)</f>
        <v>-0.15</v>
      </c>
      <c r="Q126">
        <v>4185.54</v>
      </c>
      <c r="R126">
        <v>3443.74</v>
      </c>
      <c r="S126">
        <v>741.8</v>
      </c>
      <c r="T126" t="str">
        <f>PROPER(TRIM([1]raw_orders!T126))</f>
        <v>Paid</v>
      </c>
      <c r="U126" t="str">
        <f>PROPER(TRIM([1]raw_orders!U126))</f>
        <v>Completed</v>
      </c>
      <c r="V126" s="6">
        <f t="shared" si="8"/>
        <v>0.17722922251370193</v>
      </c>
      <c r="W126" t="str">
        <f t="shared" si="9"/>
        <v>July</v>
      </c>
      <c r="X126">
        <f t="shared" si="10"/>
        <v>2024</v>
      </c>
      <c r="Y126">
        <f t="shared" si="11"/>
        <v>3</v>
      </c>
      <c r="Z126" s="7">
        <f t="shared" si="12"/>
        <v>-0.15</v>
      </c>
      <c r="AA126">
        <f t="shared" si="13"/>
        <v>4813.3709999999992</v>
      </c>
      <c r="AB126">
        <f t="shared" si="14"/>
        <v>741.80000000000018</v>
      </c>
      <c r="AC126" t="str">
        <f t="shared" si="15"/>
        <v>Clean</v>
      </c>
    </row>
    <row r="127" spans="1:29">
      <c r="A127" t="s">
        <v>427</v>
      </c>
      <c r="B127" s="4">
        <v>45855</v>
      </c>
      <c r="C127" s="4">
        <v>45856</v>
      </c>
      <c r="D127" t="s">
        <v>428</v>
      </c>
      <c r="E127" t="str">
        <f>PROPER(TRIM([1]raw_orders!E127))</f>
        <v>Neha Gupta</v>
      </c>
      <c r="F127" t="str">
        <f>PROPER(TRIM([1]raw_orders!F127))</f>
        <v>Small Business</v>
      </c>
      <c r="G127" t="str">
        <f>IF('[1]Cleaned Text Field'!G127="","Unknown",'[1]Cleaned Text Field'!G127)</f>
        <v>West</v>
      </c>
      <c r="H127" t="str">
        <f>PROPER(TRIM([1]raw_orders!H127))</f>
        <v>Rajasthan</v>
      </c>
      <c r="I127" t="str">
        <f>PROPER(TRIM([1]raw_orders!I127))</f>
        <v>Udaipur</v>
      </c>
      <c r="J127" t="str">
        <f>PROPER(TRIM([1]raw_orders!J127))</f>
        <v>Furniture</v>
      </c>
      <c r="K127" t="str">
        <f>PROPER(TRIM([1]raw_orders!K127))</f>
        <v>Tables</v>
      </c>
      <c r="L127" t="s">
        <v>429</v>
      </c>
      <c r="M127" t="str">
        <f>IF('[1]Cleaned Text Field'!M127="","Unknown",'[1]Cleaned Text Field'!M127)</f>
        <v>Same Day</v>
      </c>
      <c r="N127">
        <f>IF('[1]Cleaned Text Field'!N127="",0,'[1]Cleaned Text Field'!N127)</f>
        <v>6</v>
      </c>
      <c r="O127">
        <v>3235.27</v>
      </c>
      <c r="P127" s="5">
        <f>IF('[1]Cleaned Text Field'!P127="",0,'[1]Cleaned Text Field'!P127)</f>
        <v>0.25</v>
      </c>
      <c r="Q127">
        <v>14558.72</v>
      </c>
      <c r="R127">
        <v>9591.48</v>
      </c>
      <c r="S127">
        <v>4967.24</v>
      </c>
      <c r="T127" t="str">
        <f>PROPER(TRIM([1]raw_orders!T127))</f>
        <v>Refunded</v>
      </c>
      <c r="U127" t="str">
        <f>PROPER(TRIM([1]raw_orders!U127))</f>
        <v>Returned</v>
      </c>
      <c r="V127" s="6">
        <f t="shared" si="8"/>
        <v>0.34118658783189731</v>
      </c>
      <c r="W127" t="str">
        <f t="shared" si="9"/>
        <v>July</v>
      </c>
      <c r="X127">
        <f t="shared" si="10"/>
        <v>2025</v>
      </c>
      <c r="Y127">
        <f t="shared" si="11"/>
        <v>1</v>
      </c>
      <c r="Z127" s="7">
        <f t="shared" si="12"/>
        <v>0.25</v>
      </c>
      <c r="AA127">
        <f t="shared" si="13"/>
        <v>14558.715</v>
      </c>
      <c r="AB127">
        <f t="shared" si="14"/>
        <v>4967.24</v>
      </c>
      <c r="AC127" t="str">
        <f t="shared" si="15"/>
        <v>Clean</v>
      </c>
    </row>
    <row r="128" spans="1:29">
      <c r="A128" t="s">
        <v>430</v>
      </c>
      <c r="B128" s="4">
        <v>45924</v>
      </c>
      <c r="C128" s="4">
        <v>45926</v>
      </c>
      <c r="D128" t="s">
        <v>431</v>
      </c>
      <c r="E128" t="str">
        <f>PROPER(TRIM([1]raw_orders!E128))</f>
        <v>Priya Menon</v>
      </c>
      <c r="F128" t="str">
        <f>PROPER(TRIM([1]raw_orders!F128))</f>
        <v>Corporate</v>
      </c>
      <c r="G128" t="str">
        <f>IF('[1]Cleaned Text Field'!G128="","Unknown",'[1]Cleaned Text Field'!G128)</f>
        <v>North</v>
      </c>
      <c r="H128" t="str">
        <f>PROPER(TRIM([1]raw_orders!H128))</f>
        <v>Delhi</v>
      </c>
      <c r="I128" t="str">
        <f>PROPER(TRIM([1]raw_orders!I128))</f>
        <v>New Delhi</v>
      </c>
      <c r="J128" t="str">
        <f>PROPER(TRIM([1]raw_orders!J128))</f>
        <v>Technology</v>
      </c>
      <c r="K128" t="str">
        <f>PROPER(TRIM([1]raw_orders!K128))</f>
        <v>Copiers</v>
      </c>
      <c r="L128" t="s">
        <v>432</v>
      </c>
      <c r="M128" t="str">
        <f>IF('[1]Cleaned Text Field'!M128="","Unknown",'[1]Cleaned Text Field'!M128)</f>
        <v>Standard Class</v>
      </c>
      <c r="N128">
        <f>IF('[1]Cleaned Text Field'!N128="",0,'[1]Cleaned Text Field'!N128)</f>
        <v>3</v>
      </c>
      <c r="O128">
        <v>1593.86</v>
      </c>
      <c r="P128" s="5">
        <f>IF('[1]Cleaned Text Field'!P128="",0,'[1]Cleaned Text Field'!P128)</f>
        <v>0.1</v>
      </c>
      <c r="Q128">
        <v>4303.42</v>
      </c>
      <c r="R128">
        <v>2568.5700000000002</v>
      </c>
      <c r="S128">
        <v>1734.85</v>
      </c>
      <c r="T128" t="str">
        <f>PROPER(TRIM([1]raw_orders!T128))</f>
        <v>Paid</v>
      </c>
      <c r="U128" t="str">
        <f>PROPER(TRIM([1]raw_orders!U128))</f>
        <v>Completed</v>
      </c>
      <c r="V128" s="6">
        <f t="shared" si="8"/>
        <v>0.40313285712293939</v>
      </c>
      <c r="W128" t="str">
        <f t="shared" si="9"/>
        <v>September</v>
      </c>
      <c r="X128">
        <f t="shared" si="10"/>
        <v>2025</v>
      </c>
      <c r="Y128">
        <f t="shared" si="11"/>
        <v>2</v>
      </c>
      <c r="Z128" s="7">
        <f t="shared" si="12"/>
        <v>0.1</v>
      </c>
      <c r="AA128">
        <f t="shared" si="13"/>
        <v>4303.4220000000005</v>
      </c>
      <c r="AB128">
        <f t="shared" si="14"/>
        <v>1734.85</v>
      </c>
      <c r="AC128" t="str">
        <f t="shared" si="15"/>
        <v>Clean</v>
      </c>
    </row>
    <row r="129" spans="1:29">
      <c r="A129" t="s">
        <v>433</v>
      </c>
      <c r="B129" s="4">
        <v>45687</v>
      </c>
      <c r="C129" s="4">
        <v>45683</v>
      </c>
      <c r="D129" t="s">
        <v>434</v>
      </c>
      <c r="E129" t="str">
        <f>PROPER(TRIM([1]raw_orders!E129))</f>
        <v>Priya Menon</v>
      </c>
      <c r="F129" t="str">
        <f>PROPER(TRIM([1]raw_orders!F129))</f>
        <v>Corporate</v>
      </c>
      <c r="G129" t="str">
        <f>IF('[1]Cleaned Text Field'!G129="","Unknown",'[1]Cleaned Text Field'!G129)</f>
        <v>West</v>
      </c>
      <c r="H129" t="str">
        <f>PROPER(TRIM([1]raw_orders!H129))</f>
        <v>Madhya Pradesh</v>
      </c>
      <c r="I129" t="str">
        <f>PROPER(TRIM([1]raw_orders!I129))</f>
        <v>Indore</v>
      </c>
      <c r="J129" t="str">
        <f>PROPER(TRIM([1]raw_orders!J129))</f>
        <v>Office Supplies</v>
      </c>
      <c r="K129" t="str">
        <f>PROPER(TRIM([1]raw_orders!K129))</f>
        <v>Storage</v>
      </c>
      <c r="L129" t="s">
        <v>435</v>
      </c>
      <c r="M129" t="str">
        <f>IF('[1]Cleaned Text Field'!M129="","Unknown",'[1]Cleaned Text Field'!M129)</f>
        <v>Second Class</v>
      </c>
      <c r="N129">
        <f>IF('[1]Cleaned Text Field'!N129="",0,'[1]Cleaned Text Field'!N129)</f>
        <v>2</v>
      </c>
      <c r="O129">
        <v>3039.3</v>
      </c>
      <c r="P129" s="5">
        <f>IF('[1]Cleaned Text Field'!P129="",0,'[1]Cleaned Text Field'!P129)</f>
        <v>0.05</v>
      </c>
      <c r="Q129">
        <v>5774.67</v>
      </c>
      <c r="R129">
        <v>3518.36</v>
      </c>
      <c r="S129">
        <v>2256.31</v>
      </c>
      <c r="T129" t="str">
        <f>PROPER(TRIM([1]raw_orders!T129))</f>
        <v>Paid</v>
      </c>
      <c r="U129" t="str">
        <f>PROPER(TRIM([1]raw_orders!U129))</f>
        <v>Completed</v>
      </c>
      <c r="V129" s="6">
        <f t="shared" si="8"/>
        <v>0.39072535746631409</v>
      </c>
      <c r="W129" t="str">
        <f t="shared" si="9"/>
        <v>January</v>
      </c>
      <c r="X129">
        <f t="shared" si="10"/>
        <v>2025</v>
      </c>
      <c r="Y129">
        <f t="shared" si="11"/>
        <v>-4</v>
      </c>
      <c r="Z129" s="7">
        <f t="shared" si="12"/>
        <v>0.05</v>
      </c>
      <c r="AA129">
        <f t="shared" si="13"/>
        <v>5774.67</v>
      </c>
      <c r="AB129">
        <f t="shared" si="14"/>
        <v>2256.31</v>
      </c>
      <c r="AC129" t="str">
        <f t="shared" si="15"/>
        <v>Warning</v>
      </c>
    </row>
    <row r="130" spans="1:29">
      <c r="A130" t="s">
        <v>436</v>
      </c>
      <c r="B130" s="4">
        <v>45639</v>
      </c>
      <c r="C130" s="4">
        <v>45642</v>
      </c>
      <c r="D130" t="s">
        <v>437</v>
      </c>
      <c r="E130" t="str">
        <f>PROPER(TRIM([1]raw_orders!E130))</f>
        <v>Neha Gupta</v>
      </c>
      <c r="F130" t="str">
        <f>PROPER(TRIM([1]raw_orders!F130))</f>
        <v>Small Business</v>
      </c>
      <c r="G130" t="str">
        <f>IF('[1]Cleaned Text Field'!G130="","Unknown",'[1]Cleaned Text Field'!G130)</f>
        <v>East</v>
      </c>
      <c r="H130" t="str">
        <f>PROPER(TRIM([1]raw_orders!H130))</f>
        <v>Odisha</v>
      </c>
      <c r="I130" t="str">
        <f>PROPER(TRIM([1]raw_orders!I130))</f>
        <v>Bhubaneswar</v>
      </c>
      <c r="J130" t="str">
        <f>PROPER(TRIM([1]raw_orders!J130))</f>
        <v>Furniture</v>
      </c>
      <c r="K130" t="str">
        <f>PROPER(TRIM([1]raw_orders!K130))</f>
        <v>Furnishings</v>
      </c>
      <c r="L130" t="s">
        <v>438</v>
      </c>
      <c r="M130" t="str">
        <f>IF('[1]Cleaned Text Field'!M130="","Unknown",'[1]Cleaned Text Field'!M130)</f>
        <v>Standard Class</v>
      </c>
      <c r="N130">
        <f>IF('[1]Cleaned Text Field'!N130="",0,'[1]Cleaned Text Field'!N130)</f>
        <v>5</v>
      </c>
      <c r="O130">
        <v>923.45</v>
      </c>
      <c r="P130" s="5">
        <f>IF('[1]Cleaned Text Field'!P130="",0,'[1]Cleaned Text Field'!P130)</f>
        <v>0.05</v>
      </c>
      <c r="Q130">
        <v>4386.3900000000003</v>
      </c>
      <c r="R130">
        <v>3366.88</v>
      </c>
      <c r="S130">
        <v>1019.51</v>
      </c>
      <c r="T130" t="str">
        <f>PROPER(TRIM([1]raw_orders!T130))</f>
        <v>Paid</v>
      </c>
      <c r="U130" t="str">
        <f>PROPER(TRIM([1]raw_orders!U130))</f>
        <v>Returned</v>
      </c>
      <c r="V130" s="6">
        <f t="shared" si="8"/>
        <v>0.23242575329599052</v>
      </c>
      <c r="W130" t="str">
        <f t="shared" si="9"/>
        <v>December</v>
      </c>
      <c r="X130">
        <f t="shared" si="10"/>
        <v>2024</v>
      </c>
      <c r="Y130">
        <f t="shared" si="11"/>
        <v>3</v>
      </c>
      <c r="Z130" s="7">
        <f t="shared" si="12"/>
        <v>0.05</v>
      </c>
      <c r="AA130">
        <f t="shared" si="13"/>
        <v>4386.3874999999998</v>
      </c>
      <c r="AB130">
        <f t="shared" si="14"/>
        <v>1019.5100000000002</v>
      </c>
      <c r="AC130" t="str">
        <f t="shared" si="15"/>
        <v>Clean</v>
      </c>
    </row>
    <row r="131" spans="1:29">
      <c r="A131" t="s">
        <v>439</v>
      </c>
      <c r="B131" s="4">
        <v>45492</v>
      </c>
      <c r="C131" s="4">
        <v>45498</v>
      </c>
      <c r="D131" t="s">
        <v>440</v>
      </c>
      <c r="E131" t="str">
        <f>PROPER(TRIM([1]raw_orders!E131))</f>
        <v>Isha Nair</v>
      </c>
      <c r="F131" t="str">
        <f>PROPER(TRIM([1]raw_orders!F131))</f>
        <v>Small Business</v>
      </c>
      <c r="G131" t="str">
        <f>IF('[1]Cleaned Text Field'!G131="","Unknown",'[1]Cleaned Text Field'!G131)</f>
        <v>West</v>
      </c>
      <c r="H131" t="str">
        <f>PROPER(TRIM([1]raw_orders!H131))</f>
        <v>Goa</v>
      </c>
      <c r="I131" t="str">
        <f>PROPER(TRIM([1]raw_orders!I131))</f>
        <v>Panaji</v>
      </c>
      <c r="J131" t="str">
        <f>PROPER(TRIM([1]raw_orders!J131))</f>
        <v>Office Supplies</v>
      </c>
      <c r="K131" t="str">
        <f>PROPER(TRIM([1]raw_orders!K131))</f>
        <v>Binders</v>
      </c>
      <c r="L131" t="s">
        <v>441</v>
      </c>
      <c r="M131" t="str">
        <f>IF('[1]Cleaned Text Field'!M131="","Unknown",'[1]Cleaned Text Field'!M131)</f>
        <v>Standard Class</v>
      </c>
      <c r="N131">
        <f>IF('[1]Cleaned Text Field'!N131="",0,'[1]Cleaned Text Field'!N131)</f>
        <v>7</v>
      </c>
      <c r="O131">
        <v>2741.29</v>
      </c>
      <c r="P131" s="5">
        <f>IF('[1]Cleaned Text Field'!P131="",0,'[1]Cleaned Text Field'!P131)</f>
        <v>0.05</v>
      </c>
      <c r="Q131">
        <v>18229.580000000002</v>
      </c>
      <c r="R131">
        <v>15139.15</v>
      </c>
      <c r="S131">
        <v>3090.43</v>
      </c>
      <c r="T131" t="str">
        <f>PROPER(TRIM([1]raw_orders!T131))</f>
        <v>Paid</v>
      </c>
      <c r="U131" t="str">
        <f>PROPER(TRIM([1]raw_orders!U131))</f>
        <v>Completed</v>
      </c>
      <c r="V131" s="6">
        <f t="shared" ref="V131:V194" si="16">IF(Q131=0,0,S131/Q131)</f>
        <v>0.16952831606652483</v>
      </c>
      <c r="W131" t="str">
        <f t="shared" ref="W131:W194" si="17">TEXT(B131,"mmmm")</f>
        <v>July</v>
      </c>
      <c r="X131">
        <f t="shared" ref="X131:X194" si="18">YEAR(B131)</f>
        <v>2024</v>
      </c>
      <c r="Y131">
        <f t="shared" ref="Y131:Y194" si="19">C131-B131</f>
        <v>6</v>
      </c>
      <c r="Z131" s="7">
        <f t="shared" ref="Z131:Z194" si="20">P131</f>
        <v>0.05</v>
      </c>
      <c r="AA131">
        <f t="shared" ref="AA131:AA194" si="21">N131*O131*(1-P131)</f>
        <v>18229.5785</v>
      </c>
      <c r="AB131">
        <f t="shared" ref="AB131:AB194" si="22">Q131-R131</f>
        <v>3090.4300000000021</v>
      </c>
      <c r="AC131" t="str">
        <f t="shared" ref="AC131:AC194" si="23">IF(OR(B131="",C131="",AA131&lt;=0),"Invalid",IF(Y131&lt;0,"Warning",IF(Z131&gt;100%,"Warning","Clean")))</f>
        <v>Clean</v>
      </c>
    </row>
    <row r="132" spans="1:29">
      <c r="A132" t="s">
        <v>442</v>
      </c>
      <c r="B132" s="4">
        <v>45318</v>
      </c>
      <c r="C132" s="4">
        <v>45324</v>
      </c>
      <c r="D132" t="s">
        <v>443</v>
      </c>
      <c r="E132" t="str">
        <f>PROPER(TRIM([1]raw_orders!E132))</f>
        <v>Arjun Bose</v>
      </c>
      <c r="F132" t="str">
        <f>PROPER(TRIM([1]raw_orders!F132))</f>
        <v>Consumer</v>
      </c>
      <c r="G132" t="str">
        <f>IF('[1]Cleaned Text Field'!G132="","Unknown",'[1]Cleaned Text Field'!G132)</f>
        <v>West</v>
      </c>
      <c r="H132" t="str">
        <f>PROPER(TRIM([1]raw_orders!H132))</f>
        <v>Gujarat</v>
      </c>
      <c r="I132" t="str">
        <f>PROPER(TRIM([1]raw_orders!I132))</f>
        <v>Ahmedabad</v>
      </c>
      <c r="J132" t="str">
        <f>PROPER(TRIM([1]raw_orders!J132))</f>
        <v>Office Supplies</v>
      </c>
      <c r="K132" t="str">
        <f>PROPER(TRIM([1]raw_orders!K132))</f>
        <v>Labels</v>
      </c>
      <c r="L132" t="s">
        <v>444</v>
      </c>
      <c r="M132" t="str">
        <f>IF('[1]Cleaned Text Field'!M132="","Unknown",'[1]Cleaned Text Field'!M132)</f>
        <v>Same Day</v>
      </c>
      <c r="N132">
        <f>IF('[1]Cleaned Text Field'!N132="",0,'[1]Cleaned Text Field'!N132)</f>
        <v>5</v>
      </c>
      <c r="O132">
        <v>218.42</v>
      </c>
      <c r="P132" s="5">
        <f>IF('[1]Cleaned Text Field'!P132="",0,'[1]Cleaned Text Field'!P132)</f>
        <v>0.2</v>
      </c>
      <c r="Q132">
        <v>873.68</v>
      </c>
      <c r="R132">
        <v>661.72</v>
      </c>
      <c r="S132">
        <v>211.96</v>
      </c>
      <c r="T132" t="str">
        <f>PROPER(TRIM([1]raw_orders!T132))</f>
        <v>Pending</v>
      </c>
      <c r="U132" t="str">
        <f>PROPER(TRIM([1]raw_orders!U132))</f>
        <v>Cancelled</v>
      </c>
      <c r="V132" s="6">
        <f t="shared" si="16"/>
        <v>0.24260598846259501</v>
      </c>
      <c r="W132" t="str">
        <f t="shared" si="17"/>
        <v>January</v>
      </c>
      <c r="X132">
        <f t="shared" si="18"/>
        <v>2024</v>
      </c>
      <c r="Y132">
        <f t="shared" si="19"/>
        <v>6</v>
      </c>
      <c r="Z132" s="7">
        <f t="shared" si="20"/>
        <v>0.2</v>
      </c>
      <c r="AA132">
        <f t="shared" si="21"/>
        <v>873.68</v>
      </c>
      <c r="AB132">
        <f t="shared" si="22"/>
        <v>211.95999999999992</v>
      </c>
      <c r="AC132" t="str">
        <f t="shared" si="23"/>
        <v>Clean</v>
      </c>
    </row>
    <row r="133" spans="1:29">
      <c r="A133" t="s">
        <v>445</v>
      </c>
      <c r="B133" s="4">
        <v>45929</v>
      </c>
      <c r="C133" s="4">
        <v>45934</v>
      </c>
      <c r="D133" t="s">
        <v>446</v>
      </c>
      <c r="E133" t="str">
        <f>PROPER(TRIM([1]raw_orders!E133))</f>
        <v>Ananya Rao</v>
      </c>
      <c r="F133" t="str">
        <f>PROPER(TRIM([1]raw_orders!F133))</f>
        <v>Home Office</v>
      </c>
      <c r="G133" t="str">
        <f>IF('[1]Cleaned Text Field'!G133="","Unknown",'[1]Cleaned Text Field'!G133)</f>
        <v>East</v>
      </c>
      <c r="H133" t="str">
        <f>PROPER(TRIM([1]raw_orders!H133))</f>
        <v>Jharkhand</v>
      </c>
      <c r="I133" t="str">
        <f>PROPER(TRIM([1]raw_orders!I133))</f>
        <v>Ranchi</v>
      </c>
      <c r="J133" t="str">
        <f>PROPER(TRIM([1]raw_orders!J133))</f>
        <v>Office Supplies</v>
      </c>
      <c r="K133" t="str">
        <f>PROPER(TRIM([1]raw_orders!K133))</f>
        <v>Paper</v>
      </c>
      <c r="L133" t="s">
        <v>447</v>
      </c>
      <c r="M133" t="str">
        <f>IF('[1]Cleaned Text Field'!M133="","Unknown",'[1]Cleaned Text Field'!M133)</f>
        <v>Same Day</v>
      </c>
      <c r="N133">
        <f>IF('[1]Cleaned Text Field'!N133="",0,'[1]Cleaned Text Field'!N133)</f>
        <v>9</v>
      </c>
      <c r="O133">
        <v>373.91</v>
      </c>
      <c r="P133" s="5">
        <f>IF('[1]Cleaned Text Field'!P133="",0,'[1]Cleaned Text Field'!P133)</f>
        <v>0.2</v>
      </c>
      <c r="Q133">
        <v>2692.15</v>
      </c>
      <c r="R133">
        <v>2044.49</v>
      </c>
      <c r="S133">
        <v>647.66</v>
      </c>
      <c r="T133" t="str">
        <f>PROPER(TRIM([1]raw_orders!T133))</f>
        <v>Paid</v>
      </c>
      <c r="U133" t="str">
        <f>PROPER(TRIM([1]raw_orders!U133))</f>
        <v>Completed</v>
      </c>
      <c r="V133" s="6">
        <f t="shared" si="16"/>
        <v>0.24057351930613077</v>
      </c>
      <c r="W133" t="str">
        <f t="shared" si="17"/>
        <v>September</v>
      </c>
      <c r="X133">
        <f t="shared" si="18"/>
        <v>2025</v>
      </c>
      <c r="Y133">
        <f t="shared" si="19"/>
        <v>5</v>
      </c>
      <c r="Z133" s="7">
        <f t="shared" si="20"/>
        <v>0.2</v>
      </c>
      <c r="AA133">
        <f t="shared" si="21"/>
        <v>2692.152</v>
      </c>
      <c r="AB133">
        <f t="shared" si="22"/>
        <v>647.66000000000008</v>
      </c>
      <c r="AC133" t="str">
        <f t="shared" si="23"/>
        <v>Clean</v>
      </c>
    </row>
    <row r="134" spans="1:29">
      <c r="A134" t="s">
        <v>448</v>
      </c>
      <c r="B134" s="4">
        <v>45600</v>
      </c>
      <c r="C134" s="4">
        <v>45600</v>
      </c>
      <c r="D134" t="s">
        <v>449</v>
      </c>
      <c r="E134" t="str">
        <f>PROPER(TRIM([1]raw_orders!E134))</f>
        <v>Kabir Singh</v>
      </c>
      <c r="F134" t="str">
        <f>PROPER(TRIM([1]raw_orders!F134))</f>
        <v>Corporate</v>
      </c>
      <c r="G134" t="str">
        <f>IF('[1]Cleaned Text Field'!G134="","Unknown",'[1]Cleaned Text Field'!G134)</f>
        <v>East</v>
      </c>
      <c r="H134" t="str">
        <f>PROPER(TRIM([1]raw_orders!H134))</f>
        <v>Assam</v>
      </c>
      <c r="I134" t="str">
        <f>PROPER(TRIM([1]raw_orders!I134))</f>
        <v>Guwahati</v>
      </c>
      <c r="J134" t="str">
        <f>PROPER(TRIM([1]raw_orders!J134))</f>
        <v>Technology</v>
      </c>
      <c r="K134" t="str">
        <f>PROPER(TRIM([1]raw_orders!K134))</f>
        <v>Machines</v>
      </c>
      <c r="L134" t="s">
        <v>450</v>
      </c>
      <c r="M134" t="str">
        <f>IF('[1]Cleaned Text Field'!M134="","Unknown",'[1]Cleaned Text Field'!M134)</f>
        <v>First Class</v>
      </c>
      <c r="N134">
        <f>IF('[1]Cleaned Text Field'!N134="",0,'[1]Cleaned Text Field'!N134)</f>
        <v>2</v>
      </c>
      <c r="O134">
        <v>533.08000000000004</v>
      </c>
      <c r="P134" s="5">
        <f>IF('[1]Cleaned Text Field'!P134="",0,'[1]Cleaned Text Field'!P134)</f>
        <v>0</v>
      </c>
      <c r="Q134">
        <v>1066.1600000000001</v>
      </c>
      <c r="R134">
        <v>656.3</v>
      </c>
      <c r="S134">
        <v>409.86</v>
      </c>
      <c r="T134" t="str">
        <f>PROPER(TRIM([1]raw_orders!T134))</f>
        <v>Failed</v>
      </c>
      <c r="U134" t="str">
        <f>PROPER(TRIM([1]raw_orders!U134))</f>
        <v>Cancelled</v>
      </c>
      <c r="V134" s="6">
        <f t="shared" si="16"/>
        <v>0.38442635251744578</v>
      </c>
      <c r="W134" t="str">
        <f t="shared" si="17"/>
        <v>November</v>
      </c>
      <c r="X134">
        <f t="shared" si="18"/>
        <v>2024</v>
      </c>
      <c r="Y134">
        <f t="shared" si="19"/>
        <v>0</v>
      </c>
      <c r="Z134" s="7">
        <f t="shared" si="20"/>
        <v>0</v>
      </c>
      <c r="AA134">
        <f t="shared" si="21"/>
        <v>1066.1600000000001</v>
      </c>
      <c r="AB134">
        <f t="shared" si="22"/>
        <v>409.86000000000013</v>
      </c>
      <c r="AC134" t="str">
        <f t="shared" si="23"/>
        <v>Clean</v>
      </c>
    </row>
    <row r="135" spans="1:29">
      <c r="A135" t="s">
        <v>451</v>
      </c>
      <c r="B135" s="4">
        <v>45639</v>
      </c>
      <c r="C135" s="4">
        <v>45644</v>
      </c>
      <c r="D135" t="s">
        <v>452</v>
      </c>
      <c r="E135" t="str">
        <f>PROPER(TRIM([1]raw_orders!E135))</f>
        <v>Karan Malhotra</v>
      </c>
      <c r="F135" t="str">
        <f>PROPER(TRIM([1]raw_orders!F135))</f>
        <v>Consumer</v>
      </c>
      <c r="G135" t="str">
        <f>IF('[1]Cleaned Text Field'!G135="","Unknown",'[1]Cleaned Text Field'!G135)</f>
        <v>West</v>
      </c>
      <c r="H135" t="str">
        <f>PROPER(TRIM([1]raw_orders!H135))</f>
        <v>Goa</v>
      </c>
      <c r="I135" t="str">
        <f>PROPER(TRIM([1]raw_orders!I135))</f>
        <v>Panaji</v>
      </c>
      <c r="J135" t="str">
        <f>PROPER(TRIM([1]raw_orders!J135))</f>
        <v>Technology</v>
      </c>
      <c r="K135" t="str">
        <f>PROPER(TRIM([1]raw_orders!K135))</f>
        <v>Phones</v>
      </c>
      <c r="L135" t="s">
        <v>453</v>
      </c>
      <c r="M135" t="str">
        <f>IF('[1]Cleaned Text Field'!M135="","Unknown",'[1]Cleaned Text Field'!M135)</f>
        <v>Second Class</v>
      </c>
      <c r="N135">
        <f>IF('[1]Cleaned Text Field'!N135="",0,'[1]Cleaned Text Field'!N135)</f>
        <v>8</v>
      </c>
      <c r="O135">
        <v>3372.15</v>
      </c>
      <c r="P135" s="5">
        <f>IF('[1]Cleaned Text Field'!P135="",0,'[1]Cleaned Text Field'!P135)</f>
        <v>0.15</v>
      </c>
      <c r="Q135">
        <v>22930.62</v>
      </c>
      <c r="R135">
        <v>16875.55</v>
      </c>
      <c r="S135">
        <v>6055.07</v>
      </c>
      <c r="T135" t="str">
        <f>PROPER(TRIM([1]raw_orders!T135))</f>
        <v>Paid</v>
      </c>
      <c r="U135" t="str">
        <f>PROPER(TRIM([1]raw_orders!U135))</f>
        <v>Completed</v>
      </c>
      <c r="V135" s="6">
        <f t="shared" si="16"/>
        <v>0.26406045715292475</v>
      </c>
      <c r="W135" t="str">
        <f t="shared" si="17"/>
        <v>December</v>
      </c>
      <c r="X135">
        <f t="shared" si="18"/>
        <v>2024</v>
      </c>
      <c r="Y135">
        <f t="shared" si="19"/>
        <v>5</v>
      </c>
      <c r="Z135" s="7">
        <f t="shared" si="20"/>
        <v>0.15</v>
      </c>
      <c r="AA135">
        <f t="shared" si="21"/>
        <v>22930.62</v>
      </c>
      <c r="AB135">
        <f t="shared" si="22"/>
        <v>6055.07</v>
      </c>
      <c r="AC135" t="str">
        <f t="shared" si="23"/>
        <v>Clean</v>
      </c>
    </row>
    <row r="136" spans="1:29">
      <c r="A136" t="s">
        <v>454</v>
      </c>
      <c r="B136" s="4">
        <v>45852</v>
      </c>
      <c r="C136" s="4">
        <v>45852</v>
      </c>
      <c r="D136" t="s">
        <v>455</v>
      </c>
      <c r="E136" t="str">
        <f>PROPER(TRIM([1]raw_orders!E136))</f>
        <v>Vikram Iyer</v>
      </c>
      <c r="F136" t="str">
        <f>PROPER(TRIM([1]raw_orders!F136))</f>
        <v>Home Office</v>
      </c>
      <c r="G136" t="str">
        <f>IF('[1]Cleaned Text Field'!G136="","Unknown",'[1]Cleaned Text Field'!G136)</f>
        <v>East</v>
      </c>
      <c r="H136" t="str">
        <f>PROPER(TRIM([1]raw_orders!H136))</f>
        <v>West Bengal</v>
      </c>
      <c r="I136" t="str">
        <f>PROPER(TRIM([1]raw_orders!I136))</f>
        <v>Kolkata</v>
      </c>
      <c r="J136" t="str">
        <f>PROPER(TRIM([1]raw_orders!J136))</f>
        <v>Furniture</v>
      </c>
      <c r="K136" t="str">
        <f>PROPER(TRIM([1]raw_orders!K136))</f>
        <v>Bookcases</v>
      </c>
      <c r="L136" t="s">
        <v>456</v>
      </c>
      <c r="M136" t="str">
        <f>IF('[1]Cleaned Text Field'!M136="","Unknown",'[1]Cleaned Text Field'!M136)</f>
        <v>Unknown</v>
      </c>
      <c r="N136">
        <f>IF('[1]Cleaned Text Field'!N136="",0,'[1]Cleaned Text Field'!N136)</f>
        <v>5</v>
      </c>
      <c r="O136">
        <v>383.1</v>
      </c>
      <c r="P136" s="5">
        <f>IF('[1]Cleaned Text Field'!P136="",0,'[1]Cleaned Text Field'!P136)</f>
        <v>0.25</v>
      </c>
      <c r="Q136">
        <v>1436.62</v>
      </c>
      <c r="R136">
        <v>912.52</v>
      </c>
      <c r="S136">
        <v>524.1</v>
      </c>
      <c r="T136" t="str">
        <f>PROPER(TRIM([1]raw_orders!T136))</f>
        <v>Pending</v>
      </c>
      <c r="U136" t="str">
        <f>PROPER(TRIM([1]raw_orders!U136))</f>
        <v>Cancelled</v>
      </c>
      <c r="V136" s="6">
        <f t="shared" si="16"/>
        <v>0.36481463435007172</v>
      </c>
      <c r="W136" t="str">
        <f t="shared" si="17"/>
        <v>July</v>
      </c>
      <c r="X136">
        <f t="shared" si="18"/>
        <v>2025</v>
      </c>
      <c r="Y136">
        <f t="shared" si="19"/>
        <v>0</v>
      </c>
      <c r="Z136" s="7">
        <f t="shared" si="20"/>
        <v>0.25</v>
      </c>
      <c r="AA136">
        <f t="shared" si="21"/>
        <v>1436.625</v>
      </c>
      <c r="AB136">
        <f t="shared" si="22"/>
        <v>524.09999999999991</v>
      </c>
      <c r="AC136" t="str">
        <f t="shared" si="23"/>
        <v>Clean</v>
      </c>
    </row>
    <row r="137" spans="1:29">
      <c r="A137" t="s">
        <v>457</v>
      </c>
      <c r="B137" s="4">
        <v>45893</v>
      </c>
      <c r="C137" s="4">
        <v>45893</v>
      </c>
      <c r="D137" t="s">
        <v>458</v>
      </c>
      <c r="E137" t="str">
        <f>PROPER(TRIM([1]raw_orders!E137))</f>
        <v>Diya Patel</v>
      </c>
      <c r="F137" t="str">
        <f>PROPER(TRIM([1]raw_orders!F137))</f>
        <v>Small Business</v>
      </c>
      <c r="G137" t="str">
        <f>IF('[1]Cleaned Text Field'!G137="","Unknown",'[1]Cleaned Text Field'!G137)</f>
        <v>South</v>
      </c>
      <c r="H137" t="str">
        <f>PROPER(TRIM([1]raw_orders!H137))</f>
        <v>Kerala</v>
      </c>
      <c r="I137" t="str">
        <f>PROPER(TRIM([1]raw_orders!I137))</f>
        <v>Kochi</v>
      </c>
      <c r="J137" t="str">
        <f>PROPER(TRIM([1]raw_orders!J137))</f>
        <v>Furniture</v>
      </c>
      <c r="K137" t="str">
        <f>PROPER(TRIM([1]raw_orders!K137))</f>
        <v>Bookcases</v>
      </c>
      <c r="L137" t="s">
        <v>459</v>
      </c>
      <c r="M137" t="str">
        <f>IF('[1]Cleaned Text Field'!M137="","Unknown",'[1]Cleaned Text Field'!M137)</f>
        <v>Standard Class</v>
      </c>
      <c r="N137">
        <f>IF('[1]Cleaned Text Field'!N137="",0,'[1]Cleaned Text Field'!N137)</f>
        <v>1</v>
      </c>
      <c r="O137">
        <v>3424.78</v>
      </c>
      <c r="P137" s="5">
        <f>IF('[1]Cleaned Text Field'!P137="",0,'[1]Cleaned Text Field'!P137)</f>
        <v>0</v>
      </c>
      <c r="Q137">
        <v>3424.78</v>
      </c>
      <c r="R137">
        <v>1951.45</v>
      </c>
      <c r="S137">
        <v>1473.33</v>
      </c>
      <c r="T137" t="str">
        <f>PROPER(TRIM([1]raw_orders!T137))</f>
        <v>Paid</v>
      </c>
      <c r="U137" t="str">
        <f>PROPER(TRIM([1]raw_orders!U137))</f>
        <v>Completed</v>
      </c>
      <c r="V137" s="6">
        <f t="shared" si="16"/>
        <v>0.43019697615613262</v>
      </c>
      <c r="W137" t="str">
        <f t="shared" si="17"/>
        <v>August</v>
      </c>
      <c r="X137">
        <f t="shared" si="18"/>
        <v>2025</v>
      </c>
      <c r="Y137">
        <f t="shared" si="19"/>
        <v>0</v>
      </c>
      <c r="Z137" s="7">
        <f t="shared" si="20"/>
        <v>0</v>
      </c>
      <c r="AA137">
        <f t="shared" si="21"/>
        <v>3424.78</v>
      </c>
      <c r="AB137">
        <f t="shared" si="22"/>
        <v>1473.3300000000002</v>
      </c>
      <c r="AC137" t="str">
        <f t="shared" si="23"/>
        <v>Clean</v>
      </c>
    </row>
    <row r="138" spans="1:29">
      <c r="A138" t="s">
        <v>460</v>
      </c>
      <c r="B138" s="4">
        <v>45902</v>
      </c>
      <c r="C138" s="4">
        <v>45703</v>
      </c>
      <c r="D138" t="s">
        <v>461</v>
      </c>
      <c r="E138" t="str">
        <f>PROPER(TRIM([1]raw_orders!E138))</f>
        <v>Mira Das</v>
      </c>
      <c r="F138" t="str">
        <f>PROPER(TRIM([1]raw_orders!F138))</f>
        <v>Home Office</v>
      </c>
      <c r="G138" t="str">
        <f>IF('[1]Cleaned Text Field'!G138="","Unknown",'[1]Cleaned Text Field'!G138)</f>
        <v>East</v>
      </c>
      <c r="H138" t="str">
        <f>PROPER(TRIM([1]raw_orders!H138))</f>
        <v>Jharkhand</v>
      </c>
      <c r="I138" t="str">
        <f>PROPER(TRIM([1]raw_orders!I138))</f>
        <v>Ranchi</v>
      </c>
      <c r="J138" t="str">
        <f>PROPER(TRIM([1]raw_orders!J138))</f>
        <v>Office Supplies</v>
      </c>
      <c r="K138" t="str">
        <f>PROPER(TRIM([1]raw_orders!K138))</f>
        <v>Binders</v>
      </c>
      <c r="L138" t="s">
        <v>462</v>
      </c>
      <c r="M138" t="str">
        <f>IF('[1]Cleaned Text Field'!M138="","Unknown",'[1]Cleaned Text Field'!M138)</f>
        <v>Standard Class</v>
      </c>
      <c r="N138">
        <f>IF('[1]Cleaned Text Field'!N138="",0,'[1]Cleaned Text Field'!N138)</f>
        <v>9</v>
      </c>
      <c r="O138">
        <v>4330.33</v>
      </c>
      <c r="P138" s="5">
        <f>IF('[1]Cleaned Text Field'!P138="",0,'[1]Cleaned Text Field'!P138)</f>
        <v>0.2</v>
      </c>
      <c r="Q138">
        <v>31178.38</v>
      </c>
      <c r="R138">
        <v>21421.09</v>
      </c>
      <c r="S138">
        <v>9757.2900000000009</v>
      </c>
      <c r="T138" t="str">
        <f>PROPER(TRIM([1]raw_orders!T138))</f>
        <v>Paid</v>
      </c>
      <c r="U138" t="str">
        <f>PROPER(TRIM([1]raw_orders!U138))</f>
        <v>Completed</v>
      </c>
      <c r="V138" s="6">
        <f t="shared" si="16"/>
        <v>0.31295051250257394</v>
      </c>
      <c r="W138" t="str">
        <f t="shared" si="17"/>
        <v>September</v>
      </c>
      <c r="X138">
        <f t="shared" si="18"/>
        <v>2025</v>
      </c>
      <c r="Y138">
        <f t="shared" si="19"/>
        <v>-199</v>
      </c>
      <c r="Z138" s="7">
        <f t="shared" si="20"/>
        <v>0.2</v>
      </c>
      <c r="AA138">
        <f t="shared" si="21"/>
        <v>31178.376000000004</v>
      </c>
      <c r="AB138">
        <f t="shared" si="22"/>
        <v>9757.2900000000009</v>
      </c>
      <c r="AC138" t="str">
        <f t="shared" si="23"/>
        <v>Warning</v>
      </c>
    </row>
    <row r="139" spans="1:29">
      <c r="A139" t="s">
        <v>463</v>
      </c>
      <c r="B139" s="4">
        <v>45666</v>
      </c>
      <c r="C139" s="4">
        <v>45666</v>
      </c>
      <c r="D139" t="s">
        <v>464</v>
      </c>
      <c r="E139" t="str">
        <f>PROPER(TRIM([1]raw_orders!E139))</f>
        <v>Sneha Kapoor</v>
      </c>
      <c r="F139" t="str">
        <f>PROPER(TRIM([1]raw_orders!F139))</f>
        <v>Small Business</v>
      </c>
      <c r="G139" t="str">
        <f>IF('[1]Cleaned Text Field'!G139="","Unknown",'[1]Cleaned Text Field'!G139)</f>
        <v>North</v>
      </c>
      <c r="H139" t="str">
        <f>PROPER(TRIM([1]raw_orders!H139))</f>
        <v>Rajasthan</v>
      </c>
      <c r="I139" t="str">
        <f>PROPER(TRIM([1]raw_orders!I139))</f>
        <v>Jaipur</v>
      </c>
      <c r="J139" t="str">
        <f>PROPER(TRIM([1]raw_orders!J139))</f>
        <v>Furniture</v>
      </c>
      <c r="K139" t="str">
        <f>PROPER(TRIM([1]raw_orders!K139))</f>
        <v>Chairs</v>
      </c>
      <c r="L139" t="s">
        <v>465</v>
      </c>
      <c r="M139" t="str">
        <f>IF('[1]Cleaned Text Field'!M139="","Unknown",'[1]Cleaned Text Field'!M139)</f>
        <v>Same Day</v>
      </c>
      <c r="N139">
        <f>IF('[1]Cleaned Text Field'!N139="",0,'[1]Cleaned Text Field'!N139)</f>
        <v>8</v>
      </c>
      <c r="O139">
        <v>2667.07</v>
      </c>
      <c r="P139" s="5">
        <f>IF('[1]Cleaned Text Field'!P139="",0,'[1]Cleaned Text Field'!P139)</f>
        <v>0.1</v>
      </c>
      <c r="Q139">
        <v>19202.900000000001</v>
      </c>
      <c r="R139">
        <v>15526.62</v>
      </c>
      <c r="S139">
        <v>3676.28</v>
      </c>
      <c r="T139" t="str">
        <f>PROPER(TRIM([1]raw_orders!T139))</f>
        <v>Paid</v>
      </c>
      <c r="U139" t="str">
        <f>PROPER(TRIM([1]raw_orders!U139))</f>
        <v>Completed</v>
      </c>
      <c r="V139" s="6">
        <f t="shared" si="16"/>
        <v>0.1914440006457358</v>
      </c>
      <c r="W139" t="str">
        <f t="shared" si="17"/>
        <v>January</v>
      </c>
      <c r="X139">
        <f t="shared" si="18"/>
        <v>2025</v>
      </c>
      <c r="Y139">
        <f t="shared" si="19"/>
        <v>0</v>
      </c>
      <c r="Z139" s="7">
        <f t="shared" si="20"/>
        <v>0.1</v>
      </c>
      <c r="AA139">
        <f t="shared" si="21"/>
        <v>19202.904000000002</v>
      </c>
      <c r="AB139">
        <f t="shared" si="22"/>
        <v>3676.2800000000007</v>
      </c>
      <c r="AC139" t="str">
        <f t="shared" si="23"/>
        <v>Clean</v>
      </c>
    </row>
    <row r="140" spans="1:29">
      <c r="A140" t="s">
        <v>466</v>
      </c>
      <c r="B140" s="4">
        <v>45311</v>
      </c>
      <c r="C140" s="4">
        <v>45317</v>
      </c>
      <c r="D140" t="s">
        <v>467</v>
      </c>
      <c r="E140" t="str">
        <f>PROPER(TRIM([1]raw_orders!E140))</f>
        <v>Diya Patel</v>
      </c>
      <c r="F140" t="str">
        <f>PROPER(TRIM([1]raw_orders!F140))</f>
        <v>Home Office</v>
      </c>
      <c r="G140" t="str">
        <f>IF('[1]Cleaned Text Field'!G140="","Unknown",'[1]Cleaned Text Field'!G140)</f>
        <v>East</v>
      </c>
      <c r="H140" t="str">
        <f>PROPER(TRIM([1]raw_orders!H140))</f>
        <v>Jharkhand</v>
      </c>
      <c r="I140" t="str">
        <f>PROPER(TRIM([1]raw_orders!I140))</f>
        <v>Ranchi</v>
      </c>
      <c r="J140" t="str">
        <f>PROPER(TRIM([1]raw_orders!J140))</f>
        <v>Technology</v>
      </c>
      <c r="K140" t="str">
        <f>PROPER(TRIM([1]raw_orders!K140))</f>
        <v>Machines</v>
      </c>
      <c r="L140" t="s">
        <v>468</v>
      </c>
      <c r="M140" t="str">
        <f>IF('[1]Cleaned Text Field'!M140="","Unknown",'[1]Cleaned Text Field'!M140)</f>
        <v>Standard Class</v>
      </c>
      <c r="N140">
        <f>IF('[1]Cleaned Text Field'!N140="",0,'[1]Cleaned Text Field'!N140)</f>
        <v>8</v>
      </c>
      <c r="O140">
        <v>4003.05</v>
      </c>
      <c r="P140" s="5">
        <f>IF('[1]Cleaned Text Field'!P140="",0,'[1]Cleaned Text Field'!P140)</f>
        <v>0.25</v>
      </c>
      <c r="Q140">
        <v>24018.3</v>
      </c>
      <c r="R140">
        <v>14070.78</v>
      </c>
      <c r="S140">
        <v>9947.52</v>
      </c>
      <c r="T140" t="str">
        <f>PROPER(TRIM([1]raw_orders!T140))</f>
        <v>Paid</v>
      </c>
      <c r="U140" t="str">
        <f>PROPER(TRIM([1]raw_orders!U140))</f>
        <v>Completed</v>
      </c>
      <c r="V140" s="6">
        <f t="shared" si="16"/>
        <v>0.41416419979765434</v>
      </c>
      <c r="W140" t="str">
        <f t="shared" si="17"/>
        <v>January</v>
      </c>
      <c r="X140">
        <f t="shared" si="18"/>
        <v>2024</v>
      </c>
      <c r="Y140">
        <f t="shared" si="19"/>
        <v>6</v>
      </c>
      <c r="Z140" s="7">
        <f t="shared" si="20"/>
        <v>0.25</v>
      </c>
      <c r="AA140">
        <f t="shared" si="21"/>
        <v>24018.300000000003</v>
      </c>
      <c r="AB140">
        <f t="shared" si="22"/>
        <v>9947.5199999999986</v>
      </c>
      <c r="AC140" t="str">
        <f t="shared" si="23"/>
        <v>Clean</v>
      </c>
    </row>
    <row r="141" spans="1:29">
      <c r="A141" t="s">
        <v>469</v>
      </c>
      <c r="B141" s="4">
        <v>45718</v>
      </c>
      <c r="C141" s="4">
        <v>45841</v>
      </c>
      <c r="D141" t="s">
        <v>470</v>
      </c>
      <c r="E141" t="str">
        <f>PROPER(TRIM([1]raw_orders!E141))</f>
        <v>Neha Gupta</v>
      </c>
      <c r="F141" t="str">
        <f>PROPER(TRIM([1]raw_orders!F141))</f>
        <v>Home Office</v>
      </c>
      <c r="G141" t="str">
        <f>IF('[1]Cleaned Text Field'!G141="","Unknown",'[1]Cleaned Text Field'!G141)</f>
        <v>South</v>
      </c>
      <c r="H141" t="str">
        <f>PROPER(TRIM([1]raw_orders!H141))</f>
        <v>Karnataka</v>
      </c>
      <c r="I141" t="str">
        <f>PROPER(TRIM([1]raw_orders!I141))</f>
        <v>Bengaluru</v>
      </c>
      <c r="J141" t="str">
        <f>PROPER(TRIM([1]raw_orders!J141))</f>
        <v>Office Supplies</v>
      </c>
      <c r="K141" t="str">
        <f>PROPER(TRIM([1]raw_orders!K141))</f>
        <v>Labels</v>
      </c>
      <c r="L141" t="s">
        <v>471</v>
      </c>
      <c r="M141" t="str">
        <f>IF('[1]Cleaned Text Field'!M141="","Unknown",'[1]Cleaned Text Field'!M141)</f>
        <v>Standard Class</v>
      </c>
      <c r="N141">
        <f>IF('[1]Cleaned Text Field'!N141="",0,'[1]Cleaned Text Field'!N141)</f>
        <v>8</v>
      </c>
      <c r="O141">
        <v>1287.6300000000001</v>
      </c>
      <c r="P141" s="5">
        <f>IF('[1]Cleaned Text Field'!P141="",0,'[1]Cleaned Text Field'!P141)</f>
        <v>0</v>
      </c>
      <c r="Q141">
        <v>10301.040000000001</v>
      </c>
      <c r="R141">
        <v>6564.06</v>
      </c>
      <c r="S141">
        <v>3736.98</v>
      </c>
      <c r="T141" t="str">
        <f>PROPER(TRIM([1]raw_orders!T141))</f>
        <v>Paid</v>
      </c>
      <c r="U141" t="str">
        <f>PROPER(TRIM([1]raw_orders!U141))</f>
        <v>Completed</v>
      </c>
      <c r="V141" s="6">
        <f t="shared" si="16"/>
        <v>0.36277696232613404</v>
      </c>
      <c r="W141" t="str">
        <f t="shared" si="17"/>
        <v>March</v>
      </c>
      <c r="X141">
        <f t="shared" si="18"/>
        <v>2025</v>
      </c>
      <c r="Y141">
        <f t="shared" si="19"/>
        <v>123</v>
      </c>
      <c r="Z141" s="7">
        <f t="shared" si="20"/>
        <v>0</v>
      </c>
      <c r="AA141">
        <f t="shared" si="21"/>
        <v>10301.040000000001</v>
      </c>
      <c r="AB141">
        <f t="shared" si="22"/>
        <v>3736.9800000000005</v>
      </c>
      <c r="AC141" t="str">
        <f t="shared" si="23"/>
        <v>Clean</v>
      </c>
    </row>
    <row r="142" spans="1:29">
      <c r="A142" t="s">
        <v>472</v>
      </c>
      <c r="B142" s="4">
        <v>45443</v>
      </c>
      <c r="C142" s="4">
        <v>45444</v>
      </c>
      <c r="D142" t="s">
        <v>473</v>
      </c>
      <c r="E142" t="str">
        <f>PROPER(TRIM([1]raw_orders!E142))</f>
        <v>Mira Das</v>
      </c>
      <c r="F142" t="str">
        <f>PROPER(TRIM([1]raw_orders!F142))</f>
        <v>Corporate</v>
      </c>
      <c r="G142" t="str">
        <f>IF('[1]Cleaned Text Field'!G142="","Unknown",'[1]Cleaned Text Field'!G142)</f>
        <v>South</v>
      </c>
      <c r="H142" t="str">
        <f>PROPER(TRIM([1]raw_orders!H142))</f>
        <v>Karnataka</v>
      </c>
      <c r="I142" t="str">
        <f>PROPER(TRIM([1]raw_orders!I142))</f>
        <v>Bengaluru</v>
      </c>
      <c r="J142" t="str">
        <f>PROPER(TRIM([1]raw_orders!J142))</f>
        <v>Furniture</v>
      </c>
      <c r="K142" t="str">
        <f>PROPER(TRIM([1]raw_orders!K142))</f>
        <v>Bookcases</v>
      </c>
      <c r="L142" t="s">
        <v>474</v>
      </c>
      <c r="M142" t="str">
        <f>IF('[1]Cleaned Text Field'!M142="","Unknown",'[1]Cleaned Text Field'!M142)</f>
        <v>Same Day</v>
      </c>
      <c r="N142">
        <f>IF('[1]Cleaned Text Field'!N142="",0,'[1]Cleaned Text Field'!N142)</f>
        <v>3</v>
      </c>
      <c r="O142">
        <v>2914.55</v>
      </c>
      <c r="P142" s="5">
        <f>IF('[1]Cleaned Text Field'!P142="",0,'[1]Cleaned Text Field'!P142)</f>
        <v>0</v>
      </c>
      <c r="Q142">
        <v>8743.65</v>
      </c>
      <c r="R142">
        <v>6603.76</v>
      </c>
      <c r="S142">
        <v>2139.89</v>
      </c>
      <c r="T142" t="str">
        <f>PROPER(TRIM([1]raw_orders!T142))</f>
        <v>Paid</v>
      </c>
      <c r="U142" t="str">
        <f>PROPER(TRIM([1]raw_orders!U142))</f>
        <v>Completed</v>
      </c>
      <c r="V142" s="6">
        <f t="shared" si="16"/>
        <v>0.24473646589239048</v>
      </c>
      <c r="W142" t="str">
        <f t="shared" si="17"/>
        <v>May</v>
      </c>
      <c r="X142">
        <f t="shared" si="18"/>
        <v>2024</v>
      </c>
      <c r="Y142">
        <f t="shared" si="19"/>
        <v>1</v>
      </c>
      <c r="Z142" s="7">
        <f t="shared" si="20"/>
        <v>0</v>
      </c>
      <c r="AA142">
        <f t="shared" si="21"/>
        <v>8743.6500000000015</v>
      </c>
      <c r="AB142">
        <f t="shared" si="22"/>
        <v>2139.8899999999994</v>
      </c>
      <c r="AC142" t="str">
        <f t="shared" si="23"/>
        <v>Clean</v>
      </c>
    </row>
    <row r="143" spans="1:29">
      <c r="A143" t="s">
        <v>475</v>
      </c>
      <c r="B143" s="4">
        <v>45374</v>
      </c>
      <c r="C143" s="4">
        <v>45380</v>
      </c>
      <c r="D143" t="s">
        <v>476</v>
      </c>
      <c r="E143" t="str">
        <f>PROPER(TRIM([1]raw_orders!E143))</f>
        <v>Priya Menon</v>
      </c>
      <c r="F143" t="str">
        <f>PROPER(TRIM([1]raw_orders!F143))</f>
        <v>Corporate</v>
      </c>
      <c r="G143" t="str">
        <f>IF('[1]Cleaned Text Field'!G143="","Unknown",'[1]Cleaned Text Field'!G143)</f>
        <v>North</v>
      </c>
      <c r="H143" t="str">
        <f>PROPER(TRIM([1]raw_orders!H143))</f>
        <v>Delhi</v>
      </c>
      <c r="I143" t="str">
        <f>PROPER(TRIM([1]raw_orders!I143))</f>
        <v>New Delhi</v>
      </c>
      <c r="J143" t="str">
        <f>PROPER(TRIM([1]raw_orders!J143))</f>
        <v>Furniture</v>
      </c>
      <c r="K143" t="str">
        <f>PROPER(TRIM([1]raw_orders!K143))</f>
        <v>Bookcases</v>
      </c>
      <c r="L143" t="s">
        <v>477</v>
      </c>
      <c r="M143" t="str">
        <f>IF('[1]Cleaned Text Field'!M143="","Unknown",'[1]Cleaned Text Field'!M143)</f>
        <v>Same Day</v>
      </c>
      <c r="N143">
        <f>IF('[1]Cleaned Text Field'!N143="",0,'[1]Cleaned Text Field'!N143)</f>
        <v>7</v>
      </c>
      <c r="O143">
        <v>634.29</v>
      </c>
      <c r="P143" s="5">
        <f>IF('[1]Cleaned Text Field'!P143="",0,'[1]Cleaned Text Field'!P143)</f>
        <v>0.1</v>
      </c>
      <c r="Q143">
        <v>3996.03</v>
      </c>
      <c r="R143">
        <v>2859.51</v>
      </c>
      <c r="S143">
        <v>1136.52</v>
      </c>
      <c r="T143" t="str">
        <f>PROPER(TRIM([1]raw_orders!T143))</f>
        <v>Paid</v>
      </c>
      <c r="U143" t="str">
        <f>PROPER(TRIM([1]raw_orders!U143))</f>
        <v>Returned</v>
      </c>
      <c r="V143" s="6">
        <f t="shared" si="16"/>
        <v>0.28441227918709316</v>
      </c>
      <c r="W143" t="str">
        <f t="shared" si="17"/>
        <v>March</v>
      </c>
      <c r="X143">
        <f t="shared" si="18"/>
        <v>2024</v>
      </c>
      <c r="Y143">
        <f t="shared" si="19"/>
        <v>6</v>
      </c>
      <c r="Z143" s="7">
        <f t="shared" si="20"/>
        <v>0.1</v>
      </c>
      <c r="AA143">
        <f t="shared" si="21"/>
        <v>3996.027</v>
      </c>
      <c r="AB143">
        <f t="shared" si="22"/>
        <v>1136.52</v>
      </c>
      <c r="AC143" t="str">
        <f t="shared" si="23"/>
        <v>Clean</v>
      </c>
    </row>
    <row r="144" spans="1:29">
      <c r="A144" t="s">
        <v>478</v>
      </c>
      <c r="B144" s="4">
        <v>45381</v>
      </c>
      <c r="C144" s="4">
        <v>45377</v>
      </c>
      <c r="D144" t="s">
        <v>479</v>
      </c>
      <c r="E144" t="str">
        <f>PROPER(TRIM([1]raw_orders!E144))</f>
        <v>Aditi Sen</v>
      </c>
      <c r="F144" t="str">
        <f>PROPER(TRIM([1]raw_orders!F144))</f>
        <v>Home Office</v>
      </c>
      <c r="G144" t="str">
        <f>IF('[1]Cleaned Text Field'!G144="","Unknown",'[1]Cleaned Text Field'!G144)</f>
        <v>North</v>
      </c>
      <c r="H144" t="str">
        <f>PROPER(TRIM([1]raw_orders!H144))</f>
        <v>Rajasthan</v>
      </c>
      <c r="I144" t="str">
        <f>PROPER(TRIM([1]raw_orders!I144))</f>
        <v>Jaipur</v>
      </c>
      <c r="J144" t="str">
        <f>PROPER(TRIM([1]raw_orders!J144))</f>
        <v>Technology</v>
      </c>
      <c r="K144" t="str">
        <f>PROPER(TRIM([1]raw_orders!K144))</f>
        <v>Phones</v>
      </c>
      <c r="L144" t="s">
        <v>480</v>
      </c>
      <c r="M144" t="str">
        <f>IF('[1]Cleaned Text Field'!M144="","Unknown",'[1]Cleaned Text Field'!M144)</f>
        <v>Second Class</v>
      </c>
      <c r="N144">
        <f>IF('[1]Cleaned Text Field'!N144="",0,'[1]Cleaned Text Field'!N144)</f>
        <v>5</v>
      </c>
      <c r="O144">
        <v>907.54</v>
      </c>
      <c r="P144" s="5">
        <f>IF('[1]Cleaned Text Field'!P144="",0,'[1]Cleaned Text Field'!P144)</f>
        <v>0.15</v>
      </c>
      <c r="Q144">
        <v>3857.04</v>
      </c>
      <c r="R144">
        <v>2769.26</v>
      </c>
      <c r="S144">
        <v>1087.78</v>
      </c>
      <c r="T144" t="str">
        <f>PROPER(TRIM([1]raw_orders!T144))</f>
        <v>Paid</v>
      </c>
      <c r="U144" t="str">
        <f>PROPER(TRIM([1]raw_orders!U144))</f>
        <v>Completed</v>
      </c>
      <c r="V144" s="6">
        <f t="shared" si="16"/>
        <v>0.28202455769190882</v>
      </c>
      <c r="W144" t="str">
        <f t="shared" si="17"/>
        <v>March</v>
      </c>
      <c r="X144">
        <f t="shared" si="18"/>
        <v>2024</v>
      </c>
      <c r="Y144">
        <f t="shared" si="19"/>
        <v>-4</v>
      </c>
      <c r="Z144" s="7">
        <f t="shared" si="20"/>
        <v>0.15</v>
      </c>
      <c r="AA144">
        <f t="shared" si="21"/>
        <v>3857.0449999999996</v>
      </c>
      <c r="AB144">
        <f t="shared" si="22"/>
        <v>1087.7799999999997</v>
      </c>
      <c r="AC144" t="str">
        <f t="shared" si="23"/>
        <v>Warning</v>
      </c>
    </row>
    <row r="145" spans="1:29">
      <c r="A145" t="s">
        <v>481</v>
      </c>
      <c r="B145" s="4">
        <v>45375</v>
      </c>
      <c r="C145" s="4">
        <v>45377</v>
      </c>
      <c r="D145" t="s">
        <v>482</v>
      </c>
      <c r="E145" t="str">
        <f>PROPER(TRIM([1]raw_orders!E145))</f>
        <v>Priya Menon</v>
      </c>
      <c r="F145" t="str">
        <f>PROPER(TRIM([1]raw_orders!F145))</f>
        <v>Consumer</v>
      </c>
      <c r="G145" t="str">
        <f>IF('[1]Cleaned Text Field'!G145="","Unknown",'[1]Cleaned Text Field'!G145)</f>
        <v>West</v>
      </c>
      <c r="H145" t="str">
        <f>PROPER(TRIM([1]raw_orders!H145))</f>
        <v>Gujarat</v>
      </c>
      <c r="I145" t="str">
        <f>PROPER(TRIM([1]raw_orders!I145))</f>
        <v>Ahmedabad</v>
      </c>
      <c r="J145" t="str">
        <f>PROPER(TRIM([1]raw_orders!J145))</f>
        <v>Office Supplies</v>
      </c>
      <c r="K145" t="str">
        <f>PROPER(TRIM([1]raw_orders!K145))</f>
        <v>Paper</v>
      </c>
      <c r="L145" t="s">
        <v>483</v>
      </c>
      <c r="M145" t="str">
        <f>IF('[1]Cleaned Text Field'!M145="","Unknown",'[1]Cleaned Text Field'!M145)</f>
        <v>Second Class</v>
      </c>
      <c r="N145">
        <f>IF('[1]Cleaned Text Field'!N145="",0,'[1]Cleaned Text Field'!N145)</f>
        <v>1</v>
      </c>
      <c r="O145">
        <v>3409.5</v>
      </c>
      <c r="P145" s="5">
        <f>IF('[1]Cleaned Text Field'!P145="",0,'[1]Cleaned Text Field'!P145)</f>
        <v>0.1</v>
      </c>
      <c r="Q145">
        <v>3068.55</v>
      </c>
      <c r="R145">
        <v>1916.16</v>
      </c>
      <c r="S145">
        <v>1152.3900000000001</v>
      </c>
      <c r="T145" t="str">
        <f>PROPER(TRIM([1]raw_orders!T145))</f>
        <v>Paid</v>
      </c>
      <c r="U145" t="str">
        <f>PROPER(TRIM([1]raw_orders!U145))</f>
        <v>Returned</v>
      </c>
      <c r="V145" s="6">
        <f t="shared" si="16"/>
        <v>0.3755487119323459</v>
      </c>
      <c r="W145" t="str">
        <f t="shared" si="17"/>
        <v>March</v>
      </c>
      <c r="X145">
        <f t="shared" si="18"/>
        <v>2024</v>
      </c>
      <c r="Y145">
        <f t="shared" si="19"/>
        <v>2</v>
      </c>
      <c r="Z145" s="7">
        <f t="shared" si="20"/>
        <v>0.1</v>
      </c>
      <c r="AA145">
        <f t="shared" si="21"/>
        <v>3068.55</v>
      </c>
      <c r="AB145">
        <f t="shared" si="22"/>
        <v>1152.3900000000001</v>
      </c>
      <c r="AC145" t="str">
        <f t="shared" si="23"/>
        <v>Clean</v>
      </c>
    </row>
    <row r="146" spans="1:29">
      <c r="A146" t="s">
        <v>484</v>
      </c>
      <c r="B146" s="4">
        <v>45479</v>
      </c>
      <c r="C146" s="4">
        <v>45458</v>
      </c>
      <c r="D146" t="s">
        <v>485</v>
      </c>
      <c r="E146" t="str">
        <f>PROPER(TRIM([1]raw_orders!E146))</f>
        <v>Kabir Singh</v>
      </c>
      <c r="F146" t="str">
        <f>PROPER(TRIM([1]raw_orders!F146))</f>
        <v>Small Business</v>
      </c>
      <c r="G146" t="str">
        <f>IF('[1]Cleaned Text Field'!G146="","Unknown",'[1]Cleaned Text Field'!G146)</f>
        <v>South</v>
      </c>
      <c r="H146" t="str">
        <f>PROPER(TRIM([1]raw_orders!H146))</f>
        <v>Telangana</v>
      </c>
      <c r="I146" t="str">
        <f>PROPER(TRIM([1]raw_orders!I146))</f>
        <v>Hyderabad</v>
      </c>
      <c r="J146" t="str">
        <f>PROPER(TRIM([1]raw_orders!J146))</f>
        <v>Technology</v>
      </c>
      <c r="K146" t="str">
        <f>PROPER(TRIM([1]raw_orders!K146))</f>
        <v>Accessories</v>
      </c>
      <c r="L146" t="s">
        <v>486</v>
      </c>
      <c r="M146" t="str">
        <f>IF('[1]Cleaned Text Field'!M146="","Unknown",'[1]Cleaned Text Field'!M146)</f>
        <v>First Class</v>
      </c>
      <c r="N146">
        <f>IF('[1]Cleaned Text Field'!N146="",0,'[1]Cleaned Text Field'!N146)</f>
        <v>7</v>
      </c>
      <c r="O146">
        <v>2147.9899999999998</v>
      </c>
      <c r="P146" s="5">
        <f>IF('[1]Cleaned Text Field'!P146="",0,'[1]Cleaned Text Field'!P146)</f>
        <v>0.25</v>
      </c>
      <c r="Q146">
        <v>11276.95</v>
      </c>
      <c r="R146">
        <v>6908.76</v>
      </c>
      <c r="S146">
        <v>4368.1899999999996</v>
      </c>
      <c r="T146" t="str">
        <f>PROPER(TRIM([1]raw_orders!T146))</f>
        <v>Refunded</v>
      </c>
      <c r="U146" t="str">
        <f>PROPER(TRIM([1]raw_orders!U146))</f>
        <v>Returned</v>
      </c>
      <c r="V146" s="6">
        <f t="shared" si="16"/>
        <v>0.38735562363937054</v>
      </c>
      <c r="W146" t="str">
        <f t="shared" si="17"/>
        <v>July</v>
      </c>
      <c r="X146">
        <f t="shared" si="18"/>
        <v>2024</v>
      </c>
      <c r="Y146">
        <f t="shared" si="19"/>
        <v>-21</v>
      </c>
      <c r="Z146" s="7">
        <f t="shared" si="20"/>
        <v>0.25</v>
      </c>
      <c r="AA146">
        <f t="shared" si="21"/>
        <v>11276.947499999998</v>
      </c>
      <c r="AB146">
        <f t="shared" si="22"/>
        <v>4368.1900000000005</v>
      </c>
      <c r="AC146" t="str">
        <f t="shared" si="23"/>
        <v>Warning</v>
      </c>
    </row>
    <row r="147" spans="1:29">
      <c r="A147" t="s">
        <v>487</v>
      </c>
      <c r="B147" s="4">
        <v>45965</v>
      </c>
      <c r="C147" s="4">
        <v>45760</v>
      </c>
      <c r="D147" t="s">
        <v>488</v>
      </c>
      <c r="E147" t="str">
        <f>PROPER(TRIM([1]raw_orders!E147))</f>
        <v>Mira Das</v>
      </c>
      <c r="F147" t="str">
        <f>PROPER(TRIM([1]raw_orders!F147))</f>
        <v>Small Business</v>
      </c>
      <c r="G147" t="str">
        <f>IF('[1]Cleaned Text Field'!G147="","Unknown",'[1]Cleaned Text Field'!G147)</f>
        <v>West</v>
      </c>
      <c r="H147" t="str">
        <f>PROPER(TRIM([1]raw_orders!H147))</f>
        <v>Goa</v>
      </c>
      <c r="I147" t="str">
        <f>PROPER(TRIM([1]raw_orders!I147))</f>
        <v>Panaji</v>
      </c>
      <c r="J147" t="str">
        <f>PROPER(TRIM([1]raw_orders!J147))</f>
        <v>Office Supplies</v>
      </c>
      <c r="K147" t="str">
        <f>PROPER(TRIM([1]raw_orders!K147))</f>
        <v>Paper</v>
      </c>
      <c r="L147" t="s">
        <v>489</v>
      </c>
      <c r="M147" t="str">
        <f>IF('[1]Cleaned Text Field'!M147="","Unknown",'[1]Cleaned Text Field'!M147)</f>
        <v>Standard Class</v>
      </c>
      <c r="N147">
        <f>IF('[1]Cleaned Text Field'!N147="",0,'[1]Cleaned Text Field'!N147)</f>
        <v>4</v>
      </c>
      <c r="O147">
        <v>4182.1499999999996</v>
      </c>
      <c r="P147" s="5">
        <f>IF('[1]Cleaned Text Field'!P147="",0,'[1]Cleaned Text Field'!P147)</f>
        <v>0.1</v>
      </c>
      <c r="Q147">
        <v>15055.74</v>
      </c>
      <c r="R147">
        <v>9808.83</v>
      </c>
      <c r="S147">
        <v>5246.91</v>
      </c>
      <c r="T147" t="str">
        <f>PROPER(TRIM([1]raw_orders!T147))</f>
        <v>Paid</v>
      </c>
      <c r="U147" t="str">
        <f>PROPER(TRIM([1]raw_orders!U147))</f>
        <v>Completed</v>
      </c>
      <c r="V147" s="6">
        <f t="shared" si="16"/>
        <v>0.34849897779850075</v>
      </c>
      <c r="W147" t="str">
        <f t="shared" si="17"/>
        <v>November</v>
      </c>
      <c r="X147">
        <f t="shared" si="18"/>
        <v>2025</v>
      </c>
      <c r="Y147">
        <f t="shared" si="19"/>
        <v>-205</v>
      </c>
      <c r="Z147" s="7">
        <f t="shared" si="20"/>
        <v>0.1</v>
      </c>
      <c r="AA147">
        <f t="shared" si="21"/>
        <v>15055.74</v>
      </c>
      <c r="AB147">
        <f t="shared" si="22"/>
        <v>5246.91</v>
      </c>
      <c r="AC147" t="str">
        <f t="shared" si="23"/>
        <v>Warning</v>
      </c>
    </row>
    <row r="148" spans="1:29">
      <c r="A148" t="s">
        <v>490</v>
      </c>
      <c r="B148" s="4">
        <v>45868</v>
      </c>
      <c r="C148" s="4">
        <v>45870</v>
      </c>
      <c r="D148" t="s">
        <v>491</v>
      </c>
      <c r="E148" t="str">
        <f>PROPER(TRIM([1]raw_orders!E148))</f>
        <v>Sneha Kapoor</v>
      </c>
      <c r="F148" t="str">
        <f>PROPER(TRIM([1]raw_orders!F148))</f>
        <v>Small Business</v>
      </c>
      <c r="G148" t="str">
        <f>IF('[1]Cleaned Text Field'!G148="","Unknown",'[1]Cleaned Text Field'!G148)</f>
        <v>South</v>
      </c>
      <c r="H148" t="str">
        <f>PROPER(TRIM([1]raw_orders!H148))</f>
        <v>Tamil Nadu</v>
      </c>
      <c r="I148" t="str">
        <f>PROPER(TRIM([1]raw_orders!I148))</f>
        <v>Chennai</v>
      </c>
      <c r="J148" t="str">
        <f>PROPER(TRIM([1]raw_orders!J148))</f>
        <v>Office Supplies</v>
      </c>
      <c r="K148" t="str">
        <f>PROPER(TRIM([1]raw_orders!K148))</f>
        <v>Storage</v>
      </c>
      <c r="L148" t="s">
        <v>492</v>
      </c>
      <c r="M148" t="str">
        <f>IF('[1]Cleaned Text Field'!M148="","Unknown",'[1]Cleaned Text Field'!M148)</f>
        <v>Same Day</v>
      </c>
      <c r="N148">
        <f>IF('[1]Cleaned Text Field'!N148="",0,'[1]Cleaned Text Field'!N148)</f>
        <v>9</v>
      </c>
      <c r="O148">
        <v>3165.43</v>
      </c>
      <c r="P148" s="5">
        <f>IF('[1]Cleaned Text Field'!P148="",0,'[1]Cleaned Text Field'!P148)</f>
        <v>0.1</v>
      </c>
      <c r="Q148">
        <v>25639.98</v>
      </c>
      <c r="R148">
        <v>21635.08</v>
      </c>
      <c r="S148">
        <v>4004.9</v>
      </c>
      <c r="T148" t="str">
        <f>PROPER(TRIM([1]raw_orders!T148))</f>
        <v>Paid</v>
      </c>
      <c r="U148" t="str">
        <f>PROPER(TRIM([1]raw_orders!U148))</f>
        <v>Completed</v>
      </c>
      <c r="V148" s="6">
        <f t="shared" si="16"/>
        <v>0.1561974697328157</v>
      </c>
      <c r="W148" t="str">
        <f t="shared" si="17"/>
        <v>July</v>
      </c>
      <c r="X148">
        <f t="shared" si="18"/>
        <v>2025</v>
      </c>
      <c r="Y148">
        <f t="shared" si="19"/>
        <v>2</v>
      </c>
      <c r="Z148" s="7">
        <f t="shared" si="20"/>
        <v>0.1</v>
      </c>
      <c r="AA148">
        <f t="shared" si="21"/>
        <v>25639.983</v>
      </c>
      <c r="AB148">
        <f t="shared" si="22"/>
        <v>4004.8999999999978</v>
      </c>
      <c r="AC148" t="str">
        <f t="shared" si="23"/>
        <v>Clean</v>
      </c>
    </row>
    <row r="149" spans="1:29">
      <c r="A149" t="s">
        <v>493</v>
      </c>
      <c r="B149" s="4">
        <v>45649</v>
      </c>
      <c r="C149" s="4">
        <v>45656</v>
      </c>
      <c r="D149" t="s">
        <v>494</v>
      </c>
      <c r="E149" t="str">
        <f>PROPER(TRIM([1]raw_orders!E149))</f>
        <v>Priya Menon</v>
      </c>
      <c r="F149" t="str">
        <f>PROPER(TRIM([1]raw_orders!F149))</f>
        <v>Home Office</v>
      </c>
      <c r="G149" t="str">
        <f>IF('[1]Cleaned Text Field'!G149="","Unknown",'[1]Cleaned Text Field'!G149)</f>
        <v>West</v>
      </c>
      <c r="H149" t="str">
        <f>PROPER(TRIM([1]raw_orders!H149))</f>
        <v>Goa</v>
      </c>
      <c r="I149" t="str">
        <f>PROPER(TRIM([1]raw_orders!I149))</f>
        <v>Panaji</v>
      </c>
      <c r="J149" t="str">
        <f>PROPER(TRIM([1]raw_orders!J149))</f>
        <v>Furniture</v>
      </c>
      <c r="K149" t="str">
        <f>PROPER(TRIM([1]raw_orders!K149))</f>
        <v>Furnishings</v>
      </c>
      <c r="L149" t="s">
        <v>495</v>
      </c>
      <c r="M149" t="str">
        <f>IF('[1]Cleaned Text Field'!M149="","Unknown",'[1]Cleaned Text Field'!M149)</f>
        <v>First Class</v>
      </c>
      <c r="N149">
        <f>IF('[1]Cleaned Text Field'!N149="",0,'[1]Cleaned Text Field'!N149)</f>
        <v>8</v>
      </c>
      <c r="O149">
        <v>386.1</v>
      </c>
      <c r="P149" s="5">
        <f>IF('[1]Cleaned Text Field'!P149="",0,'[1]Cleaned Text Field'!P149)</f>
        <v>0.1</v>
      </c>
      <c r="Q149">
        <v>2779.92</v>
      </c>
      <c r="R149">
        <v>1744.05</v>
      </c>
      <c r="S149">
        <v>1035.8699999999999</v>
      </c>
      <c r="T149" t="str">
        <f>PROPER(TRIM([1]raw_orders!T149))</f>
        <v>Paid</v>
      </c>
      <c r="U149" t="str">
        <f>PROPER(TRIM([1]raw_orders!U149))</f>
        <v>Completed</v>
      </c>
      <c r="V149" s="6">
        <f t="shared" si="16"/>
        <v>0.37262583095916424</v>
      </c>
      <c r="W149" t="str">
        <f t="shared" si="17"/>
        <v>December</v>
      </c>
      <c r="X149">
        <f t="shared" si="18"/>
        <v>2024</v>
      </c>
      <c r="Y149">
        <f t="shared" si="19"/>
        <v>7</v>
      </c>
      <c r="Z149" s="7">
        <f t="shared" si="20"/>
        <v>0.1</v>
      </c>
      <c r="AA149">
        <f t="shared" si="21"/>
        <v>2779.92</v>
      </c>
      <c r="AB149">
        <f t="shared" si="22"/>
        <v>1035.8700000000001</v>
      </c>
      <c r="AC149" t="str">
        <f t="shared" si="23"/>
        <v>Clean</v>
      </c>
    </row>
    <row r="150" spans="1:29">
      <c r="A150" t="s">
        <v>496</v>
      </c>
      <c r="B150" s="4">
        <v>45697</v>
      </c>
      <c r="C150" s="4">
        <v>45701</v>
      </c>
      <c r="D150" t="s">
        <v>497</v>
      </c>
      <c r="E150" t="str">
        <f>PROPER(TRIM([1]raw_orders!E150))</f>
        <v>Mira Das</v>
      </c>
      <c r="F150" t="str">
        <f>PROPER(TRIM([1]raw_orders!F150))</f>
        <v>Home Office</v>
      </c>
      <c r="G150" t="str">
        <f>IF('[1]Cleaned Text Field'!G150="","Unknown",'[1]Cleaned Text Field'!G150)</f>
        <v>West</v>
      </c>
      <c r="H150" t="str">
        <f>PROPER(TRIM([1]raw_orders!H150))</f>
        <v>Madhya Pradesh</v>
      </c>
      <c r="I150" t="str">
        <f>PROPER(TRIM([1]raw_orders!I150))</f>
        <v>Indore</v>
      </c>
      <c r="J150" t="str">
        <f>PROPER(TRIM([1]raw_orders!J150))</f>
        <v>Technology</v>
      </c>
      <c r="K150" t="str">
        <f>PROPER(TRIM([1]raw_orders!K150))</f>
        <v>Phones</v>
      </c>
      <c r="L150" t="s">
        <v>498</v>
      </c>
      <c r="M150" t="str">
        <f>IF('[1]Cleaned Text Field'!M150="","Unknown",'[1]Cleaned Text Field'!M150)</f>
        <v>Unknown</v>
      </c>
      <c r="N150">
        <f>IF('[1]Cleaned Text Field'!N150="",0,'[1]Cleaned Text Field'!N150)</f>
        <v>8</v>
      </c>
      <c r="O150">
        <v>1696.07</v>
      </c>
      <c r="P150" s="5">
        <f>IF('[1]Cleaned Text Field'!P150="",0,'[1]Cleaned Text Field'!P150)</f>
        <v>0.25</v>
      </c>
      <c r="Q150">
        <v>10176.42</v>
      </c>
      <c r="R150">
        <v>7604.47</v>
      </c>
      <c r="S150">
        <v>2571.9499999999998</v>
      </c>
      <c r="T150" t="str">
        <f>PROPER(TRIM([1]raw_orders!T150))</f>
        <v>Paid</v>
      </c>
      <c r="U150" t="str">
        <f>PROPER(TRIM([1]raw_orders!U150))</f>
        <v>Completed</v>
      </c>
      <c r="V150" s="6">
        <f t="shared" si="16"/>
        <v>0.252736227474888</v>
      </c>
      <c r="W150" t="str">
        <f t="shared" si="17"/>
        <v>February</v>
      </c>
      <c r="X150">
        <f t="shared" si="18"/>
        <v>2025</v>
      </c>
      <c r="Y150">
        <f t="shared" si="19"/>
        <v>4</v>
      </c>
      <c r="Z150" s="7">
        <f t="shared" si="20"/>
        <v>0.25</v>
      </c>
      <c r="AA150">
        <f t="shared" si="21"/>
        <v>10176.42</v>
      </c>
      <c r="AB150">
        <f t="shared" si="22"/>
        <v>2571.9499999999998</v>
      </c>
      <c r="AC150" t="str">
        <f t="shared" si="23"/>
        <v>Clean</v>
      </c>
    </row>
    <row r="151" spans="1:29">
      <c r="A151" t="s">
        <v>499</v>
      </c>
      <c r="B151" s="4">
        <v>45321</v>
      </c>
      <c r="C151" s="4">
        <v>45321</v>
      </c>
      <c r="D151" t="s">
        <v>500</v>
      </c>
      <c r="E151" t="str">
        <f>PROPER(TRIM([1]raw_orders!E151))</f>
        <v>Aarav Sharma</v>
      </c>
      <c r="F151" t="str">
        <f>PROPER(TRIM([1]raw_orders!F151))</f>
        <v>Small Business</v>
      </c>
      <c r="G151" t="str">
        <f>IF('[1]Cleaned Text Field'!G151="","Unknown",'[1]Cleaned Text Field'!G151)</f>
        <v>West</v>
      </c>
      <c r="H151" t="str">
        <f>PROPER(TRIM([1]raw_orders!H151))</f>
        <v>Rajasthan</v>
      </c>
      <c r="I151" t="str">
        <f>PROPER(TRIM([1]raw_orders!I151))</f>
        <v>Udaipur</v>
      </c>
      <c r="J151" t="str">
        <f>PROPER(TRIM([1]raw_orders!J151))</f>
        <v>Technology</v>
      </c>
      <c r="K151" t="str">
        <f>PROPER(TRIM([1]raw_orders!K151))</f>
        <v>Copiers</v>
      </c>
      <c r="L151" t="s">
        <v>501</v>
      </c>
      <c r="M151" t="str">
        <f>IF('[1]Cleaned Text Field'!M151="","Unknown",'[1]Cleaned Text Field'!M151)</f>
        <v>Same Day</v>
      </c>
      <c r="N151">
        <f>IF('[1]Cleaned Text Field'!N151="",0,'[1]Cleaned Text Field'!N151)</f>
        <v>7</v>
      </c>
      <c r="O151">
        <v>2527.61</v>
      </c>
      <c r="P151" s="5">
        <f>IF('[1]Cleaned Text Field'!P151="",0,'[1]Cleaned Text Field'!P151)</f>
        <v>0.25</v>
      </c>
      <c r="Q151">
        <v>13269.95</v>
      </c>
      <c r="R151">
        <v>8977.1</v>
      </c>
      <c r="S151">
        <v>4292.8500000000004</v>
      </c>
      <c r="T151" t="str">
        <f>PROPER(TRIM([1]raw_orders!T151))</f>
        <v>Paid</v>
      </c>
      <c r="U151" t="str">
        <f>PROPER(TRIM([1]raw_orders!U151))</f>
        <v>Completed</v>
      </c>
      <c r="V151" s="6">
        <f t="shared" si="16"/>
        <v>0.32350159571060932</v>
      </c>
      <c r="W151" t="str">
        <f t="shared" si="17"/>
        <v>January</v>
      </c>
      <c r="X151">
        <f t="shared" si="18"/>
        <v>2024</v>
      </c>
      <c r="Y151">
        <f t="shared" si="19"/>
        <v>0</v>
      </c>
      <c r="Z151" s="7">
        <f t="shared" si="20"/>
        <v>0.25</v>
      </c>
      <c r="AA151">
        <f t="shared" si="21"/>
        <v>13269.952499999999</v>
      </c>
      <c r="AB151">
        <f t="shared" si="22"/>
        <v>4292.8500000000004</v>
      </c>
      <c r="AC151" t="str">
        <f t="shared" si="23"/>
        <v>Clean</v>
      </c>
    </row>
    <row r="152" spans="1:29">
      <c r="A152" t="s">
        <v>502</v>
      </c>
      <c r="B152" s="4">
        <v>45385</v>
      </c>
      <c r="C152" s="4">
        <v>45363</v>
      </c>
      <c r="D152" t="s">
        <v>503</v>
      </c>
      <c r="E152" t="str">
        <f>PROPER(TRIM([1]raw_orders!E152))</f>
        <v>Arjun Bose</v>
      </c>
      <c r="F152" t="str">
        <f>PROPER(TRIM([1]raw_orders!F152))</f>
        <v>Consumer</v>
      </c>
      <c r="G152" t="str">
        <f>IF('[1]Cleaned Text Field'!G152="","Unknown",'[1]Cleaned Text Field'!G152)</f>
        <v>Unknown</v>
      </c>
      <c r="H152" t="str">
        <f>PROPER(TRIM([1]raw_orders!H152))</f>
        <v>Gujarat</v>
      </c>
      <c r="I152" t="str">
        <f>PROPER(TRIM([1]raw_orders!I152))</f>
        <v>Ahmedabad</v>
      </c>
      <c r="J152" t="str">
        <f>PROPER(TRIM([1]raw_orders!J152))</f>
        <v>Furniture</v>
      </c>
      <c r="K152" t="str">
        <f>PROPER(TRIM([1]raw_orders!K152))</f>
        <v>Bookcases</v>
      </c>
      <c r="L152" t="s">
        <v>504</v>
      </c>
      <c r="M152" t="str">
        <f>IF('[1]Cleaned Text Field'!M152="","Unknown",'[1]Cleaned Text Field'!M152)</f>
        <v>First Class</v>
      </c>
      <c r="N152">
        <f>IF('[1]Cleaned Text Field'!N152="",0,'[1]Cleaned Text Field'!N152)</f>
        <v>1</v>
      </c>
      <c r="O152">
        <v>1554.12</v>
      </c>
      <c r="P152" s="5">
        <f>IF('[1]Cleaned Text Field'!P152="",0,'[1]Cleaned Text Field'!P152)</f>
        <v>0.1</v>
      </c>
      <c r="Q152">
        <v>1398.71</v>
      </c>
      <c r="R152">
        <v>1056.92</v>
      </c>
      <c r="S152">
        <v>341.79</v>
      </c>
      <c r="T152" t="str">
        <f>PROPER(TRIM([1]raw_orders!T152))</f>
        <v>Paid</v>
      </c>
      <c r="U152" t="str">
        <f>PROPER(TRIM([1]raw_orders!U152))</f>
        <v>Completed</v>
      </c>
      <c r="V152" s="6">
        <f t="shared" si="16"/>
        <v>0.24436087537802689</v>
      </c>
      <c r="W152" t="str">
        <f t="shared" si="17"/>
        <v>April</v>
      </c>
      <c r="X152">
        <f t="shared" si="18"/>
        <v>2024</v>
      </c>
      <c r="Y152">
        <f t="shared" si="19"/>
        <v>-22</v>
      </c>
      <c r="Z152" s="7">
        <f t="shared" si="20"/>
        <v>0.1</v>
      </c>
      <c r="AA152">
        <f t="shared" si="21"/>
        <v>1398.7079999999999</v>
      </c>
      <c r="AB152">
        <f t="shared" si="22"/>
        <v>341.78999999999996</v>
      </c>
      <c r="AC152" t="str">
        <f t="shared" si="23"/>
        <v>Warning</v>
      </c>
    </row>
    <row r="153" spans="1:29">
      <c r="A153" t="s">
        <v>505</v>
      </c>
      <c r="B153" s="4">
        <v>45470</v>
      </c>
      <c r="C153" s="4">
        <v>45470</v>
      </c>
      <c r="D153" t="s">
        <v>506</v>
      </c>
      <c r="E153" t="str">
        <f>PROPER(TRIM([1]raw_orders!E153))</f>
        <v>Neha Gupta</v>
      </c>
      <c r="F153" t="str">
        <f>PROPER(TRIM([1]raw_orders!F153))</f>
        <v>Home Office</v>
      </c>
      <c r="G153" t="str">
        <f>IF('[1]Cleaned Text Field'!G153="","Unknown",'[1]Cleaned Text Field'!G153)</f>
        <v>Unknown</v>
      </c>
      <c r="H153" t="str">
        <f>PROPER(TRIM([1]raw_orders!H153))</f>
        <v>Madhya Pradesh</v>
      </c>
      <c r="I153" t="str">
        <f>PROPER(TRIM([1]raw_orders!I153))</f>
        <v>Indore</v>
      </c>
      <c r="J153" t="str">
        <f>PROPER(TRIM([1]raw_orders!J153))</f>
        <v>Technology</v>
      </c>
      <c r="K153" t="str">
        <f>PROPER(TRIM([1]raw_orders!K153))</f>
        <v>Copiers</v>
      </c>
      <c r="L153" t="s">
        <v>507</v>
      </c>
      <c r="M153" t="str">
        <f>IF('[1]Cleaned Text Field'!M153="","Unknown",'[1]Cleaned Text Field'!M153)</f>
        <v>Standard Class</v>
      </c>
      <c r="N153">
        <f>IF('[1]Cleaned Text Field'!N153="",0,'[1]Cleaned Text Field'!N153)</f>
        <v>2</v>
      </c>
      <c r="O153">
        <v>3859.11</v>
      </c>
      <c r="P153" s="5">
        <f>IF('[1]Cleaned Text Field'!P153="",0,'[1]Cleaned Text Field'!P153)</f>
        <v>0</v>
      </c>
      <c r="Q153">
        <v>7718.22</v>
      </c>
      <c r="R153">
        <v>5355.93</v>
      </c>
      <c r="S153">
        <v>2362.29</v>
      </c>
      <c r="T153" t="str">
        <f>PROPER(TRIM([1]raw_orders!T153))</f>
        <v>Pending</v>
      </c>
      <c r="U153" t="str">
        <f>PROPER(TRIM([1]raw_orders!U153))</f>
        <v>Returned</v>
      </c>
      <c r="V153" s="6">
        <f t="shared" si="16"/>
        <v>0.30606668376905555</v>
      </c>
      <c r="W153" t="str">
        <f t="shared" si="17"/>
        <v>June</v>
      </c>
      <c r="X153">
        <f t="shared" si="18"/>
        <v>2024</v>
      </c>
      <c r="Y153">
        <f t="shared" si="19"/>
        <v>0</v>
      </c>
      <c r="Z153" s="7">
        <f t="shared" si="20"/>
        <v>0</v>
      </c>
      <c r="AA153">
        <f t="shared" si="21"/>
        <v>7718.22</v>
      </c>
      <c r="AB153">
        <f t="shared" si="22"/>
        <v>2362.29</v>
      </c>
      <c r="AC153" t="str">
        <f t="shared" si="23"/>
        <v>Clean</v>
      </c>
    </row>
    <row r="154" spans="1:29">
      <c r="A154" t="s">
        <v>508</v>
      </c>
      <c r="B154" s="4">
        <v>45457</v>
      </c>
      <c r="C154" s="4">
        <v>45460</v>
      </c>
      <c r="D154" t="s">
        <v>509</v>
      </c>
      <c r="E154" t="str">
        <f>PROPER(TRIM([1]raw_orders!E154))</f>
        <v>Kabir Singh</v>
      </c>
      <c r="F154" t="str">
        <f>PROPER(TRIM([1]raw_orders!F154))</f>
        <v>Small Business</v>
      </c>
      <c r="G154" t="str">
        <f>IF('[1]Cleaned Text Field'!G154="","Unknown",'[1]Cleaned Text Field'!G154)</f>
        <v>South</v>
      </c>
      <c r="H154" t="str">
        <f>PROPER(TRIM([1]raw_orders!H154))</f>
        <v>Kerala</v>
      </c>
      <c r="I154" t="str">
        <f>PROPER(TRIM([1]raw_orders!I154))</f>
        <v>Kochi</v>
      </c>
      <c r="J154" t="str">
        <f>PROPER(TRIM([1]raw_orders!J154))</f>
        <v>Furniture</v>
      </c>
      <c r="K154" t="str">
        <f>PROPER(TRIM([1]raw_orders!K154))</f>
        <v>Tables</v>
      </c>
      <c r="L154" t="s">
        <v>510</v>
      </c>
      <c r="M154" t="str">
        <f>IF('[1]Cleaned Text Field'!M154="","Unknown",'[1]Cleaned Text Field'!M154)</f>
        <v>Second Class</v>
      </c>
      <c r="N154">
        <f>IF('[1]Cleaned Text Field'!N154="",0,'[1]Cleaned Text Field'!N154)</f>
        <v>6</v>
      </c>
      <c r="O154">
        <v>1088.04</v>
      </c>
      <c r="P154" s="5">
        <f>IF('[1]Cleaned Text Field'!P154="",0,'[1]Cleaned Text Field'!P154)</f>
        <v>0.1</v>
      </c>
      <c r="Q154">
        <v>5875.42</v>
      </c>
      <c r="R154">
        <v>4380.55</v>
      </c>
      <c r="S154">
        <v>1494.87</v>
      </c>
      <c r="T154" t="str">
        <f>PROPER(TRIM([1]raw_orders!T154))</f>
        <v>Pending</v>
      </c>
      <c r="U154" t="str">
        <f>PROPER(TRIM([1]raw_orders!U154))</f>
        <v>Returned</v>
      </c>
      <c r="V154" s="6">
        <f t="shared" si="16"/>
        <v>0.25442776856803428</v>
      </c>
      <c r="W154" t="str">
        <f t="shared" si="17"/>
        <v>June</v>
      </c>
      <c r="X154">
        <f t="shared" si="18"/>
        <v>2024</v>
      </c>
      <c r="Y154">
        <f t="shared" si="19"/>
        <v>3</v>
      </c>
      <c r="Z154" s="7">
        <f t="shared" si="20"/>
        <v>0.1</v>
      </c>
      <c r="AA154">
        <f t="shared" si="21"/>
        <v>5875.4160000000002</v>
      </c>
      <c r="AB154">
        <f t="shared" si="22"/>
        <v>1494.87</v>
      </c>
      <c r="AC154" t="str">
        <f t="shared" si="23"/>
        <v>Clean</v>
      </c>
    </row>
    <row r="155" spans="1:29">
      <c r="A155" t="s">
        <v>511</v>
      </c>
      <c r="B155" s="4">
        <v>45923</v>
      </c>
      <c r="C155" s="4">
        <v>45925</v>
      </c>
      <c r="D155" t="s">
        <v>512</v>
      </c>
      <c r="E155" t="str">
        <f>PROPER(TRIM([1]raw_orders!E155))</f>
        <v>Aditi Sen</v>
      </c>
      <c r="F155" t="str">
        <f>PROPER(TRIM([1]raw_orders!F155))</f>
        <v>Consumer</v>
      </c>
      <c r="G155" t="str">
        <f>IF('[1]Cleaned Text Field'!G155="","Unknown",'[1]Cleaned Text Field'!G155)</f>
        <v>East</v>
      </c>
      <c r="H155" t="str">
        <f>PROPER(TRIM([1]raw_orders!H155))</f>
        <v>Odisha</v>
      </c>
      <c r="I155" t="str">
        <f>PROPER(TRIM([1]raw_orders!I155))</f>
        <v>Bhubaneswar</v>
      </c>
      <c r="J155" t="str">
        <f>PROPER(TRIM([1]raw_orders!J155))</f>
        <v>Office Supplies</v>
      </c>
      <c r="K155" t="str">
        <f>PROPER(TRIM([1]raw_orders!K155))</f>
        <v>Labels</v>
      </c>
      <c r="L155" t="s">
        <v>513</v>
      </c>
      <c r="M155" t="str">
        <f>IF('[1]Cleaned Text Field'!M155="","Unknown",'[1]Cleaned Text Field'!M155)</f>
        <v>Standard Class</v>
      </c>
      <c r="N155">
        <f>IF('[1]Cleaned Text Field'!N155="",0,'[1]Cleaned Text Field'!N155)</f>
        <v>7</v>
      </c>
      <c r="O155">
        <v>3280.31</v>
      </c>
      <c r="P155" s="5">
        <f>IF('[1]Cleaned Text Field'!P155="",0,'[1]Cleaned Text Field'!P155)</f>
        <v>0</v>
      </c>
      <c r="Q155">
        <v>22962.17</v>
      </c>
      <c r="R155">
        <v>15716.5</v>
      </c>
      <c r="S155">
        <v>7245.67</v>
      </c>
      <c r="T155" t="str">
        <f>PROPER(TRIM([1]raw_orders!T155))</f>
        <v>Refunded</v>
      </c>
      <c r="U155" t="str">
        <f>PROPER(TRIM([1]raw_orders!U155))</f>
        <v>Returned</v>
      </c>
      <c r="V155" s="6">
        <f t="shared" si="16"/>
        <v>0.31554813852523522</v>
      </c>
      <c r="W155" t="str">
        <f t="shared" si="17"/>
        <v>September</v>
      </c>
      <c r="X155">
        <f t="shared" si="18"/>
        <v>2025</v>
      </c>
      <c r="Y155">
        <f t="shared" si="19"/>
        <v>2</v>
      </c>
      <c r="Z155" s="7">
        <f t="shared" si="20"/>
        <v>0</v>
      </c>
      <c r="AA155">
        <f t="shared" si="21"/>
        <v>22962.17</v>
      </c>
      <c r="AB155">
        <f t="shared" si="22"/>
        <v>7245.6699999999983</v>
      </c>
      <c r="AC155" t="str">
        <f t="shared" si="23"/>
        <v>Clean</v>
      </c>
    </row>
    <row r="156" spans="1:29">
      <c r="A156" t="s">
        <v>514</v>
      </c>
      <c r="B156" s="4">
        <v>45334</v>
      </c>
      <c r="C156" s="4">
        <v>45333</v>
      </c>
      <c r="D156" t="s">
        <v>398</v>
      </c>
      <c r="E156" t="str">
        <f>PROPER(TRIM([1]raw_orders!E156))</f>
        <v>Priya Menon</v>
      </c>
      <c r="F156" t="str">
        <f>PROPER(TRIM([1]raw_orders!F156))</f>
        <v>Consumer</v>
      </c>
      <c r="G156" t="str">
        <f>IF('[1]Cleaned Text Field'!G156="","Unknown",'[1]Cleaned Text Field'!G156)</f>
        <v>South</v>
      </c>
      <c r="H156" t="str">
        <f>PROPER(TRIM([1]raw_orders!H156))</f>
        <v>Tamil Nadu</v>
      </c>
      <c r="I156" t="str">
        <f>PROPER(TRIM([1]raw_orders!I156))</f>
        <v>Chennai</v>
      </c>
      <c r="J156" t="str">
        <f>PROPER(TRIM([1]raw_orders!J156))</f>
        <v>Furniture</v>
      </c>
      <c r="K156" t="str">
        <f>PROPER(TRIM([1]raw_orders!K156))</f>
        <v>Bookcases</v>
      </c>
      <c r="L156" t="s">
        <v>515</v>
      </c>
      <c r="M156" t="str">
        <f>IF('[1]Cleaned Text Field'!M156="","Unknown",'[1]Cleaned Text Field'!M156)</f>
        <v>Same Day</v>
      </c>
      <c r="N156">
        <f>IF('[1]Cleaned Text Field'!N156="",0,'[1]Cleaned Text Field'!N156)</f>
        <v>1</v>
      </c>
      <c r="O156">
        <v>2599.12</v>
      </c>
      <c r="P156" s="5">
        <f>IF('[1]Cleaned Text Field'!P156="",0,'[1]Cleaned Text Field'!P156)</f>
        <v>0.15</v>
      </c>
      <c r="Q156">
        <v>2209.25</v>
      </c>
      <c r="R156">
        <v>1523.78</v>
      </c>
      <c r="S156">
        <v>685.47</v>
      </c>
      <c r="T156" t="str">
        <f>PROPER(TRIM([1]raw_orders!T156))</f>
        <v>Paid</v>
      </c>
      <c r="U156" t="str">
        <f>PROPER(TRIM([1]raw_orders!U156))</f>
        <v>Completed</v>
      </c>
      <c r="V156" s="6">
        <f t="shared" si="16"/>
        <v>0.31027271698540232</v>
      </c>
      <c r="W156" t="str">
        <f t="shared" si="17"/>
        <v>February</v>
      </c>
      <c r="X156">
        <f t="shared" si="18"/>
        <v>2024</v>
      </c>
      <c r="Y156">
        <f t="shared" si="19"/>
        <v>-1</v>
      </c>
      <c r="Z156" s="7">
        <f t="shared" si="20"/>
        <v>0.15</v>
      </c>
      <c r="AA156">
        <f t="shared" si="21"/>
        <v>2209.252</v>
      </c>
      <c r="AB156">
        <f t="shared" si="22"/>
        <v>685.47</v>
      </c>
      <c r="AC156" t="str">
        <f t="shared" si="23"/>
        <v>Warning</v>
      </c>
    </row>
    <row r="157" spans="1:29">
      <c r="A157" t="s">
        <v>516</v>
      </c>
      <c r="B157" s="4">
        <v>45683</v>
      </c>
      <c r="C157" s="4">
        <v>45691</v>
      </c>
      <c r="D157" t="s">
        <v>517</v>
      </c>
      <c r="E157" t="str">
        <f>PROPER(TRIM([1]raw_orders!E157))</f>
        <v>Karan Malhotra</v>
      </c>
      <c r="F157" t="str">
        <f>PROPER(TRIM([1]raw_orders!F157))</f>
        <v>Corporate</v>
      </c>
      <c r="G157" t="str">
        <f>IF('[1]Cleaned Text Field'!G157="","Unknown",'[1]Cleaned Text Field'!G157)</f>
        <v>West</v>
      </c>
      <c r="H157" t="str">
        <f>PROPER(TRIM([1]raw_orders!H157))</f>
        <v>Rajasthan</v>
      </c>
      <c r="I157" t="str">
        <f>PROPER(TRIM([1]raw_orders!I157))</f>
        <v>Udaipur</v>
      </c>
      <c r="J157" t="str">
        <f>PROPER(TRIM([1]raw_orders!J157))</f>
        <v>Furniture</v>
      </c>
      <c r="K157" t="str">
        <f>PROPER(TRIM([1]raw_orders!K157))</f>
        <v>Furnishings</v>
      </c>
      <c r="L157" t="s">
        <v>518</v>
      </c>
      <c r="M157" t="str">
        <f>IF('[1]Cleaned Text Field'!M157="","Unknown",'[1]Cleaned Text Field'!M157)</f>
        <v>Same Day</v>
      </c>
      <c r="N157">
        <f>IF('[1]Cleaned Text Field'!N157="",0,'[1]Cleaned Text Field'!N157)</f>
        <v>3</v>
      </c>
      <c r="O157">
        <v>2859.32</v>
      </c>
      <c r="P157" s="5">
        <f>IF('[1]Cleaned Text Field'!P157="",0,'[1]Cleaned Text Field'!P157)</f>
        <v>0.1</v>
      </c>
      <c r="Q157">
        <v>7720.16</v>
      </c>
      <c r="R157">
        <v>5881</v>
      </c>
      <c r="S157">
        <v>1839.16</v>
      </c>
      <c r="T157" t="str">
        <f>PROPER(TRIM([1]raw_orders!T157))</f>
        <v>Refunded</v>
      </c>
      <c r="U157" t="str">
        <f>PROPER(TRIM([1]raw_orders!U157))</f>
        <v>Returned</v>
      </c>
      <c r="V157" s="6">
        <f t="shared" si="16"/>
        <v>0.2382282232492591</v>
      </c>
      <c r="W157" t="str">
        <f t="shared" si="17"/>
        <v>January</v>
      </c>
      <c r="X157">
        <f t="shared" si="18"/>
        <v>2025</v>
      </c>
      <c r="Y157">
        <f t="shared" si="19"/>
        <v>8</v>
      </c>
      <c r="Z157" s="7">
        <f t="shared" si="20"/>
        <v>0.1</v>
      </c>
      <c r="AA157">
        <f t="shared" si="21"/>
        <v>7720.1640000000007</v>
      </c>
      <c r="AB157">
        <f t="shared" si="22"/>
        <v>1839.1599999999999</v>
      </c>
      <c r="AC157" t="str">
        <f t="shared" si="23"/>
        <v>Clean</v>
      </c>
    </row>
    <row r="158" spans="1:29">
      <c r="A158" t="s">
        <v>519</v>
      </c>
      <c r="B158" s="4">
        <v>45743</v>
      </c>
      <c r="C158" s="4">
        <v>45743</v>
      </c>
      <c r="D158" t="s">
        <v>520</v>
      </c>
      <c r="E158" t="str">
        <f>PROPER(TRIM([1]raw_orders!E158))</f>
        <v>Vikram Iyer</v>
      </c>
      <c r="F158" t="str">
        <f>PROPER(TRIM([1]raw_orders!F158))</f>
        <v>Small Business</v>
      </c>
      <c r="G158" t="str">
        <f>IF('[1]Cleaned Text Field'!G158="","Unknown",'[1]Cleaned Text Field'!G158)</f>
        <v>East</v>
      </c>
      <c r="H158" t="str">
        <f>PROPER(TRIM([1]raw_orders!H158))</f>
        <v>Bihar</v>
      </c>
      <c r="I158" t="str">
        <f>PROPER(TRIM([1]raw_orders!I158))</f>
        <v>Patna</v>
      </c>
      <c r="J158" t="str">
        <f>PROPER(TRIM([1]raw_orders!J158))</f>
        <v>Technology</v>
      </c>
      <c r="K158" t="str">
        <f>PROPER(TRIM([1]raw_orders!K158))</f>
        <v>Machines</v>
      </c>
      <c r="L158" t="s">
        <v>521</v>
      </c>
      <c r="M158" t="str">
        <f>IF('[1]Cleaned Text Field'!M158="","Unknown",'[1]Cleaned Text Field'!M158)</f>
        <v>Second Class</v>
      </c>
      <c r="N158">
        <f>IF('[1]Cleaned Text Field'!N158="",0,'[1]Cleaned Text Field'!N158)</f>
        <v>7</v>
      </c>
      <c r="O158">
        <v>2305.37</v>
      </c>
      <c r="P158" s="5">
        <f>IF('[1]Cleaned Text Field'!P158="",0,'[1]Cleaned Text Field'!P158)</f>
        <v>0.25</v>
      </c>
      <c r="Q158">
        <v>12103.19</v>
      </c>
      <c r="R158">
        <v>6717.87</v>
      </c>
      <c r="S158">
        <v>5385.32</v>
      </c>
      <c r="T158" t="str">
        <f>PROPER(TRIM([1]raw_orders!T158))</f>
        <v>Paid</v>
      </c>
      <c r="U158" t="str">
        <f>PROPER(TRIM([1]raw_orders!U158))</f>
        <v>Completed</v>
      </c>
      <c r="V158" s="6">
        <f t="shared" si="16"/>
        <v>0.444950463472853</v>
      </c>
      <c r="W158" t="str">
        <f t="shared" si="17"/>
        <v>March</v>
      </c>
      <c r="X158">
        <f t="shared" si="18"/>
        <v>2025</v>
      </c>
      <c r="Y158">
        <f t="shared" si="19"/>
        <v>0</v>
      </c>
      <c r="Z158" s="7">
        <f t="shared" si="20"/>
        <v>0.25</v>
      </c>
      <c r="AA158">
        <f t="shared" si="21"/>
        <v>12103.192500000001</v>
      </c>
      <c r="AB158">
        <f t="shared" si="22"/>
        <v>5385.3200000000006</v>
      </c>
      <c r="AC158" t="str">
        <f t="shared" si="23"/>
        <v>Clean</v>
      </c>
    </row>
    <row r="159" spans="1:29">
      <c r="A159" t="s">
        <v>522</v>
      </c>
      <c r="B159" s="4">
        <v>45587</v>
      </c>
      <c r="C159" s="4">
        <v>45589</v>
      </c>
      <c r="D159" t="s">
        <v>523</v>
      </c>
      <c r="E159" t="str">
        <f>PROPER(TRIM([1]raw_orders!E159))</f>
        <v>Rohan Mehta</v>
      </c>
      <c r="F159" t="str">
        <f>PROPER(TRIM([1]raw_orders!F159))</f>
        <v>Small Business</v>
      </c>
      <c r="G159" t="str">
        <f>IF('[1]Cleaned Text Field'!G159="","Unknown",'[1]Cleaned Text Field'!G159)</f>
        <v>South</v>
      </c>
      <c r="H159" t="str">
        <f>PROPER(TRIM([1]raw_orders!H159))</f>
        <v>Andhra Pradesh</v>
      </c>
      <c r="I159" t="str">
        <f>PROPER(TRIM([1]raw_orders!I159))</f>
        <v>Vijayawada</v>
      </c>
      <c r="J159" t="str">
        <f>PROPER(TRIM([1]raw_orders!J159))</f>
        <v>Furniture</v>
      </c>
      <c r="K159" t="str">
        <f>PROPER(TRIM([1]raw_orders!K159))</f>
        <v>Bookcases</v>
      </c>
      <c r="L159" t="s">
        <v>524</v>
      </c>
      <c r="M159" t="str">
        <f>IF('[1]Cleaned Text Field'!M159="","Unknown",'[1]Cleaned Text Field'!M159)</f>
        <v>Standard Class</v>
      </c>
      <c r="N159">
        <f>IF('[1]Cleaned Text Field'!N159="",0,'[1]Cleaned Text Field'!N159)</f>
        <v>3</v>
      </c>
      <c r="O159">
        <v>915.84</v>
      </c>
      <c r="P159" s="5">
        <f>IF('[1]Cleaned Text Field'!P159="",0,'[1]Cleaned Text Field'!P159)</f>
        <v>0.15</v>
      </c>
      <c r="Q159">
        <v>2335.39</v>
      </c>
      <c r="R159">
        <v>1466.15</v>
      </c>
      <c r="S159">
        <v>869.24</v>
      </c>
      <c r="T159" t="str">
        <f>PROPER(TRIM([1]raw_orders!T159))</f>
        <v>Paid</v>
      </c>
      <c r="U159" t="str">
        <f>PROPER(TRIM([1]raw_orders!U159))</f>
        <v>Completed</v>
      </c>
      <c r="V159" s="6">
        <f t="shared" si="16"/>
        <v>0.37220335789739617</v>
      </c>
      <c r="W159" t="str">
        <f t="shared" si="17"/>
        <v>October</v>
      </c>
      <c r="X159">
        <f t="shared" si="18"/>
        <v>2024</v>
      </c>
      <c r="Y159">
        <f t="shared" si="19"/>
        <v>2</v>
      </c>
      <c r="Z159" s="7">
        <f t="shared" si="20"/>
        <v>0.15</v>
      </c>
      <c r="AA159">
        <f t="shared" si="21"/>
        <v>2335.3919999999998</v>
      </c>
      <c r="AB159">
        <f t="shared" si="22"/>
        <v>869.23999999999978</v>
      </c>
      <c r="AC159" t="str">
        <f t="shared" si="23"/>
        <v>Clean</v>
      </c>
    </row>
    <row r="160" spans="1:29">
      <c r="A160" t="s">
        <v>525</v>
      </c>
      <c r="B160" s="4">
        <v>45544</v>
      </c>
      <c r="C160" s="4">
        <v>45546</v>
      </c>
      <c r="D160" t="s">
        <v>526</v>
      </c>
      <c r="E160" t="str">
        <f>PROPER(TRIM([1]raw_orders!E160))</f>
        <v>Neha Gupta</v>
      </c>
      <c r="F160" t="str">
        <f>PROPER(TRIM([1]raw_orders!F160))</f>
        <v>Home Office</v>
      </c>
      <c r="G160" t="str">
        <f>IF('[1]Cleaned Text Field'!G160="","Unknown",'[1]Cleaned Text Field'!G160)</f>
        <v>South</v>
      </c>
      <c r="H160" t="str">
        <f>PROPER(TRIM([1]raw_orders!H160))</f>
        <v>Telangana</v>
      </c>
      <c r="I160" t="str">
        <f>PROPER(TRIM([1]raw_orders!I160))</f>
        <v>Hyderabad</v>
      </c>
      <c r="J160" t="str">
        <f>PROPER(TRIM([1]raw_orders!J160))</f>
        <v>Furniture</v>
      </c>
      <c r="K160" t="str">
        <f>PROPER(TRIM([1]raw_orders!K160))</f>
        <v>Bookcases</v>
      </c>
      <c r="L160" t="s">
        <v>527</v>
      </c>
      <c r="M160" t="str">
        <f>IF('[1]Cleaned Text Field'!M160="","Unknown",'[1]Cleaned Text Field'!M160)</f>
        <v>First Class</v>
      </c>
      <c r="N160">
        <f>IF('[1]Cleaned Text Field'!N160="",0,'[1]Cleaned Text Field'!N160)</f>
        <v>1</v>
      </c>
      <c r="O160">
        <v>4199.54</v>
      </c>
      <c r="P160" s="5">
        <f>IF('[1]Cleaned Text Field'!P160="",0,'[1]Cleaned Text Field'!P160)</f>
        <v>0.05</v>
      </c>
      <c r="Q160">
        <v>3989.56</v>
      </c>
      <c r="R160">
        <v>2381.38</v>
      </c>
      <c r="S160">
        <v>1608.18</v>
      </c>
      <c r="T160" t="str">
        <f>PROPER(TRIM([1]raw_orders!T160))</f>
        <v>Paid</v>
      </c>
      <c r="U160" t="str">
        <f>PROPER(TRIM([1]raw_orders!U160))</f>
        <v>Completed</v>
      </c>
      <c r="V160" s="6">
        <f t="shared" si="16"/>
        <v>0.40309708338764177</v>
      </c>
      <c r="W160" t="str">
        <f t="shared" si="17"/>
        <v>September</v>
      </c>
      <c r="X160">
        <f t="shared" si="18"/>
        <v>2024</v>
      </c>
      <c r="Y160">
        <f t="shared" si="19"/>
        <v>2</v>
      </c>
      <c r="Z160" s="7">
        <f t="shared" si="20"/>
        <v>0.05</v>
      </c>
      <c r="AA160">
        <f t="shared" si="21"/>
        <v>3989.5629999999996</v>
      </c>
      <c r="AB160">
        <f t="shared" si="22"/>
        <v>1608.1799999999998</v>
      </c>
      <c r="AC160" t="str">
        <f t="shared" si="23"/>
        <v>Clean</v>
      </c>
    </row>
    <row r="161" spans="1:29">
      <c r="A161" t="s">
        <v>528</v>
      </c>
      <c r="B161" s="4">
        <v>45687</v>
      </c>
      <c r="C161" s="4">
        <v>45749</v>
      </c>
      <c r="D161" t="s">
        <v>529</v>
      </c>
      <c r="E161" t="str">
        <f>PROPER(TRIM([1]raw_orders!E161))</f>
        <v>Priya Menon</v>
      </c>
      <c r="F161" t="str">
        <f>PROPER(TRIM([1]raw_orders!F161))</f>
        <v>Corporate</v>
      </c>
      <c r="G161" t="str">
        <f>IF('[1]Cleaned Text Field'!G161="","Unknown",'[1]Cleaned Text Field'!G161)</f>
        <v>North</v>
      </c>
      <c r="H161" t="str">
        <f>PROPER(TRIM([1]raw_orders!H161))</f>
        <v>Haryana</v>
      </c>
      <c r="I161" t="str">
        <f>PROPER(TRIM([1]raw_orders!I161))</f>
        <v>Gurugram</v>
      </c>
      <c r="J161" t="str">
        <f>PROPER(TRIM([1]raw_orders!J161))</f>
        <v>Furniture</v>
      </c>
      <c r="K161" t="str">
        <f>PROPER(TRIM([1]raw_orders!K161))</f>
        <v>Chairs</v>
      </c>
      <c r="L161" t="s">
        <v>530</v>
      </c>
      <c r="M161" t="str">
        <f>IF('[1]Cleaned Text Field'!M161="","Unknown",'[1]Cleaned Text Field'!M161)</f>
        <v>Same Day</v>
      </c>
      <c r="N161">
        <f>IF('[1]Cleaned Text Field'!N161="",0,'[1]Cleaned Text Field'!N161)</f>
        <v>9</v>
      </c>
      <c r="O161">
        <v>4430.5</v>
      </c>
      <c r="P161" s="5">
        <f>IF('[1]Cleaned Text Field'!P161="",0,'[1]Cleaned Text Field'!P161)</f>
        <v>0.15</v>
      </c>
      <c r="Q161">
        <v>33893.32</v>
      </c>
      <c r="R161">
        <v>25750.35</v>
      </c>
      <c r="S161">
        <v>8142.97</v>
      </c>
      <c r="T161" t="str">
        <f>PROPER(TRIM([1]raw_orders!T161))</f>
        <v>Pending</v>
      </c>
      <c r="U161" t="str">
        <f>PROPER(TRIM([1]raw_orders!U161))</f>
        <v>Cancelled</v>
      </c>
      <c r="V161" s="6">
        <f t="shared" si="16"/>
        <v>0.24025294659832677</v>
      </c>
      <c r="W161" t="str">
        <f t="shared" si="17"/>
        <v>January</v>
      </c>
      <c r="X161">
        <f t="shared" si="18"/>
        <v>2025</v>
      </c>
      <c r="Y161">
        <f t="shared" si="19"/>
        <v>62</v>
      </c>
      <c r="Z161" s="7">
        <f t="shared" si="20"/>
        <v>0.15</v>
      </c>
      <c r="AA161">
        <f t="shared" si="21"/>
        <v>33893.324999999997</v>
      </c>
      <c r="AB161">
        <f t="shared" si="22"/>
        <v>8142.9700000000012</v>
      </c>
      <c r="AC161" t="str">
        <f t="shared" si="23"/>
        <v>Clean</v>
      </c>
    </row>
    <row r="162" spans="1:29">
      <c r="A162" t="s">
        <v>531</v>
      </c>
      <c r="B162" s="4">
        <v>45879</v>
      </c>
      <c r="C162" s="4">
        <v>45936</v>
      </c>
      <c r="D162" t="s">
        <v>532</v>
      </c>
      <c r="E162" t="str">
        <f>PROPER(TRIM([1]raw_orders!E162))</f>
        <v>Vikram Iyer</v>
      </c>
      <c r="F162" t="str">
        <f>PROPER(TRIM([1]raw_orders!F162))</f>
        <v>Small Business</v>
      </c>
      <c r="G162" t="str">
        <f>IF('[1]Cleaned Text Field'!G162="","Unknown",'[1]Cleaned Text Field'!G162)</f>
        <v>West</v>
      </c>
      <c r="H162" t="str">
        <f>PROPER(TRIM([1]raw_orders!H162))</f>
        <v>Maharashtra</v>
      </c>
      <c r="I162" t="str">
        <f>PROPER(TRIM([1]raw_orders!I162))</f>
        <v>Mumbai</v>
      </c>
      <c r="J162" t="str">
        <f>PROPER(TRIM([1]raw_orders!J162))</f>
        <v>Office Supplies</v>
      </c>
      <c r="K162" t="str">
        <f>PROPER(TRIM([1]raw_orders!K162))</f>
        <v>Paper</v>
      </c>
      <c r="L162" t="s">
        <v>533</v>
      </c>
      <c r="M162" t="str">
        <f>IF('[1]Cleaned Text Field'!M162="","Unknown",'[1]Cleaned Text Field'!M162)</f>
        <v>Second Class</v>
      </c>
      <c r="N162">
        <f>IF('[1]Cleaned Text Field'!N162="",0,'[1]Cleaned Text Field'!N162)</f>
        <v>4</v>
      </c>
      <c r="O162">
        <v>1260.42</v>
      </c>
      <c r="P162" s="5">
        <f>IF('[1]Cleaned Text Field'!P162="",0,'[1]Cleaned Text Field'!P162)</f>
        <v>0.05</v>
      </c>
      <c r="Q162">
        <v>4789.6000000000004</v>
      </c>
      <c r="R162">
        <v>4037.64</v>
      </c>
      <c r="S162">
        <v>751.96</v>
      </c>
      <c r="T162" t="str">
        <f>PROPER(TRIM([1]raw_orders!T162))</f>
        <v>Pending</v>
      </c>
      <c r="U162" t="str">
        <f>PROPER(TRIM([1]raw_orders!U162))</f>
        <v>Cancelled</v>
      </c>
      <c r="V162" s="6">
        <f t="shared" si="16"/>
        <v>0.15699849674294303</v>
      </c>
      <c r="W162" t="str">
        <f t="shared" si="17"/>
        <v>August</v>
      </c>
      <c r="X162">
        <f t="shared" si="18"/>
        <v>2025</v>
      </c>
      <c r="Y162">
        <f t="shared" si="19"/>
        <v>57</v>
      </c>
      <c r="Z162" s="7">
        <f t="shared" si="20"/>
        <v>0.05</v>
      </c>
      <c r="AA162">
        <f t="shared" si="21"/>
        <v>4789.5960000000005</v>
      </c>
      <c r="AB162">
        <f t="shared" si="22"/>
        <v>751.96000000000049</v>
      </c>
      <c r="AC162" t="str">
        <f t="shared" si="23"/>
        <v>Clean</v>
      </c>
    </row>
    <row r="163" spans="1:29">
      <c r="A163" t="s">
        <v>534</v>
      </c>
      <c r="B163" s="4">
        <v>45862</v>
      </c>
      <c r="C163" s="4">
        <v>45868</v>
      </c>
      <c r="D163" t="s">
        <v>535</v>
      </c>
      <c r="E163" t="str">
        <f>PROPER(TRIM([1]raw_orders!E163))</f>
        <v>Arjun Bose</v>
      </c>
      <c r="F163" t="str">
        <f>PROPER(TRIM([1]raw_orders!F163))</f>
        <v>Consumer</v>
      </c>
      <c r="G163" t="str">
        <f>IF('[1]Cleaned Text Field'!G163="","Unknown",'[1]Cleaned Text Field'!G163)</f>
        <v>West</v>
      </c>
      <c r="H163" t="str">
        <f>PROPER(TRIM([1]raw_orders!H163))</f>
        <v>Rajasthan</v>
      </c>
      <c r="I163" t="str">
        <f>PROPER(TRIM([1]raw_orders!I163))</f>
        <v>Udaipur</v>
      </c>
      <c r="J163" t="str">
        <f>PROPER(TRIM([1]raw_orders!J163))</f>
        <v>Office Supplies</v>
      </c>
      <c r="K163" t="str">
        <f>PROPER(TRIM([1]raw_orders!K163))</f>
        <v>Binders</v>
      </c>
      <c r="L163" t="s">
        <v>536</v>
      </c>
      <c r="M163" t="str">
        <f>IF('[1]Cleaned Text Field'!M163="","Unknown",'[1]Cleaned Text Field'!M163)</f>
        <v>Standard Class</v>
      </c>
      <c r="N163">
        <f>IF('[1]Cleaned Text Field'!N163="",0,'[1]Cleaned Text Field'!N163)</f>
        <v>1</v>
      </c>
      <c r="O163">
        <v>1643.41</v>
      </c>
      <c r="P163" s="5">
        <f>IF('[1]Cleaned Text Field'!P163="",0,'[1]Cleaned Text Field'!P163)</f>
        <v>0</v>
      </c>
      <c r="Q163">
        <v>1643.41</v>
      </c>
      <c r="R163">
        <v>907.4</v>
      </c>
      <c r="S163">
        <v>736.01</v>
      </c>
      <c r="T163" t="str">
        <f>PROPER(TRIM([1]raw_orders!T163))</f>
        <v>Pending</v>
      </c>
      <c r="U163" t="str">
        <f>PROPER(TRIM([1]raw_orders!U163))</f>
        <v>Cancelled</v>
      </c>
      <c r="V163" s="6">
        <f t="shared" si="16"/>
        <v>0.4478553738872223</v>
      </c>
      <c r="W163" t="str">
        <f t="shared" si="17"/>
        <v>July</v>
      </c>
      <c r="X163">
        <f t="shared" si="18"/>
        <v>2025</v>
      </c>
      <c r="Y163">
        <f t="shared" si="19"/>
        <v>6</v>
      </c>
      <c r="Z163" s="7">
        <f t="shared" si="20"/>
        <v>0</v>
      </c>
      <c r="AA163">
        <f t="shared" si="21"/>
        <v>1643.41</v>
      </c>
      <c r="AB163">
        <f t="shared" si="22"/>
        <v>736.0100000000001</v>
      </c>
      <c r="AC163" t="str">
        <f t="shared" si="23"/>
        <v>Clean</v>
      </c>
    </row>
    <row r="164" spans="1:29">
      <c r="A164" t="s">
        <v>537</v>
      </c>
      <c r="B164" s="4">
        <v>45360</v>
      </c>
      <c r="C164" s="4">
        <v>45365</v>
      </c>
      <c r="D164" t="s">
        <v>538</v>
      </c>
      <c r="E164" t="str">
        <f>PROPER(TRIM([1]raw_orders!E164))</f>
        <v>Neha Gupta</v>
      </c>
      <c r="F164" t="str">
        <f>PROPER(TRIM([1]raw_orders!F164))</f>
        <v>Small Business</v>
      </c>
      <c r="G164" t="str">
        <f>IF('[1]Cleaned Text Field'!G164="","Unknown",'[1]Cleaned Text Field'!G164)</f>
        <v>West</v>
      </c>
      <c r="H164" t="str">
        <f>PROPER(TRIM([1]raw_orders!H164))</f>
        <v>Goa</v>
      </c>
      <c r="I164" t="str">
        <f>PROPER(TRIM([1]raw_orders!I164))</f>
        <v>Panaji</v>
      </c>
      <c r="J164" t="str">
        <f>PROPER(TRIM([1]raw_orders!J164))</f>
        <v>Furniture</v>
      </c>
      <c r="K164" t="str">
        <f>PROPER(TRIM([1]raw_orders!K164))</f>
        <v>Furnishings</v>
      </c>
      <c r="L164" t="s">
        <v>539</v>
      </c>
      <c r="M164" t="str">
        <f>IF('[1]Cleaned Text Field'!M164="","Unknown",'[1]Cleaned Text Field'!M164)</f>
        <v>Second Class</v>
      </c>
      <c r="N164">
        <f>IF('[1]Cleaned Text Field'!N164="",0,'[1]Cleaned Text Field'!N164)</f>
        <v>8</v>
      </c>
      <c r="O164">
        <v>4472.84</v>
      </c>
      <c r="P164" s="5">
        <f>IF('[1]Cleaned Text Field'!P164="",0,'[1]Cleaned Text Field'!P164)</f>
        <v>0</v>
      </c>
      <c r="Q164">
        <v>35997.620000000003</v>
      </c>
      <c r="R164">
        <v>26424.41</v>
      </c>
      <c r="S164">
        <v>9358.31</v>
      </c>
      <c r="T164" t="str">
        <f>PROPER(TRIM([1]raw_orders!T164))</f>
        <v>Pending</v>
      </c>
      <c r="U164" t="str">
        <f>PROPER(TRIM([1]raw_orders!U164))</f>
        <v>Returned</v>
      </c>
      <c r="V164" s="6">
        <f t="shared" si="16"/>
        <v>0.25997024247714151</v>
      </c>
      <c r="W164" t="str">
        <f t="shared" si="17"/>
        <v>March</v>
      </c>
      <c r="X164">
        <f t="shared" si="18"/>
        <v>2024</v>
      </c>
      <c r="Y164">
        <f t="shared" si="19"/>
        <v>5</v>
      </c>
      <c r="Z164" s="7">
        <f t="shared" si="20"/>
        <v>0</v>
      </c>
      <c r="AA164">
        <f t="shared" si="21"/>
        <v>35782.720000000001</v>
      </c>
      <c r="AB164">
        <f t="shared" si="22"/>
        <v>9573.2100000000028</v>
      </c>
      <c r="AC164" t="str">
        <f t="shared" si="23"/>
        <v>Clean</v>
      </c>
    </row>
    <row r="165" spans="1:29">
      <c r="A165" t="s">
        <v>540</v>
      </c>
      <c r="B165" s="4">
        <v>45921</v>
      </c>
      <c r="C165" s="4">
        <v>45926</v>
      </c>
      <c r="D165" t="s">
        <v>541</v>
      </c>
      <c r="E165" t="str">
        <f>PROPER(TRIM([1]raw_orders!E165))</f>
        <v>Rohan Mehta</v>
      </c>
      <c r="F165" t="str">
        <f>PROPER(TRIM([1]raw_orders!F165))</f>
        <v>Home Office</v>
      </c>
      <c r="G165" t="str">
        <f>IF('[1]Cleaned Text Field'!G165="","Unknown",'[1]Cleaned Text Field'!G165)</f>
        <v>West</v>
      </c>
      <c r="H165" t="str">
        <f>PROPER(TRIM([1]raw_orders!H165))</f>
        <v>Gujarat</v>
      </c>
      <c r="I165" t="str">
        <f>PROPER(TRIM([1]raw_orders!I165))</f>
        <v>Ahmedabad</v>
      </c>
      <c r="J165" t="str">
        <f>PROPER(TRIM([1]raw_orders!J165))</f>
        <v>Furniture</v>
      </c>
      <c r="K165" t="str">
        <f>PROPER(TRIM([1]raw_orders!K165))</f>
        <v>Tables</v>
      </c>
      <c r="L165" t="s">
        <v>542</v>
      </c>
      <c r="M165" t="str">
        <f>IF('[1]Cleaned Text Field'!M165="","Unknown",'[1]Cleaned Text Field'!M165)</f>
        <v>Unknown</v>
      </c>
      <c r="N165">
        <f>IF('[1]Cleaned Text Field'!N165="",0,'[1]Cleaned Text Field'!N165)</f>
        <v>6</v>
      </c>
      <c r="O165">
        <v>2903.58</v>
      </c>
      <c r="P165" s="5">
        <f>IF('[1]Cleaned Text Field'!P165="",0,'[1]Cleaned Text Field'!P165)</f>
        <v>0.1</v>
      </c>
      <c r="Q165">
        <v>15679.33</v>
      </c>
      <c r="R165">
        <v>12477.82</v>
      </c>
      <c r="S165">
        <v>3201.51</v>
      </c>
      <c r="T165" t="str">
        <f>PROPER(TRIM([1]raw_orders!T165))</f>
        <v>Pending</v>
      </c>
      <c r="U165" t="str">
        <f>PROPER(TRIM([1]raw_orders!U165))</f>
        <v>Returned</v>
      </c>
      <c r="V165" s="6">
        <f t="shared" si="16"/>
        <v>0.20418665848604503</v>
      </c>
      <c r="W165" t="str">
        <f t="shared" si="17"/>
        <v>September</v>
      </c>
      <c r="X165">
        <f t="shared" si="18"/>
        <v>2025</v>
      </c>
      <c r="Y165">
        <f t="shared" si="19"/>
        <v>5</v>
      </c>
      <c r="Z165" s="7">
        <f t="shared" si="20"/>
        <v>0.1</v>
      </c>
      <c r="AA165">
        <f t="shared" si="21"/>
        <v>15679.332</v>
      </c>
      <c r="AB165">
        <f t="shared" si="22"/>
        <v>3201.51</v>
      </c>
      <c r="AC165" t="str">
        <f t="shared" si="23"/>
        <v>Clean</v>
      </c>
    </row>
    <row r="166" spans="1:29">
      <c r="A166" t="s">
        <v>543</v>
      </c>
      <c r="B166" s="4">
        <v>45909</v>
      </c>
      <c r="C166" s="4">
        <v>45914</v>
      </c>
      <c r="D166" t="s">
        <v>544</v>
      </c>
      <c r="E166" t="str">
        <f>PROPER(TRIM([1]raw_orders!E166))</f>
        <v>Rahul Verma</v>
      </c>
      <c r="F166" t="str">
        <f>PROPER(TRIM([1]raw_orders!F166))</f>
        <v>Small Business</v>
      </c>
      <c r="G166" t="str">
        <f>IF('[1]Cleaned Text Field'!G166="","Unknown",'[1]Cleaned Text Field'!G166)</f>
        <v>East</v>
      </c>
      <c r="H166" t="str">
        <f>PROPER(TRIM([1]raw_orders!H166))</f>
        <v>West Bengal</v>
      </c>
      <c r="I166" t="str">
        <f>PROPER(TRIM([1]raw_orders!I166))</f>
        <v>Kolkata</v>
      </c>
      <c r="J166" t="str">
        <f>PROPER(TRIM([1]raw_orders!J166))</f>
        <v>Furniture</v>
      </c>
      <c r="K166" t="str">
        <f>PROPER(TRIM([1]raw_orders!K166))</f>
        <v>Bookcases</v>
      </c>
      <c r="L166" t="s">
        <v>545</v>
      </c>
      <c r="M166" t="str">
        <f>IF('[1]Cleaned Text Field'!M166="","Unknown",'[1]Cleaned Text Field'!M166)</f>
        <v>Second Class</v>
      </c>
      <c r="N166">
        <f>IF('[1]Cleaned Text Field'!N166="",0,'[1]Cleaned Text Field'!N166)</f>
        <v>1</v>
      </c>
      <c r="O166">
        <v>3154.42</v>
      </c>
      <c r="P166" s="5">
        <f>IF('[1]Cleaned Text Field'!P166="",0,'[1]Cleaned Text Field'!P166)</f>
        <v>0.25</v>
      </c>
      <c r="Q166">
        <v>2365.8200000000002</v>
      </c>
      <c r="R166">
        <v>1547.99</v>
      </c>
      <c r="S166">
        <v>817.83</v>
      </c>
      <c r="T166" t="str">
        <f>PROPER(TRIM([1]raw_orders!T166))</f>
        <v>Paid</v>
      </c>
      <c r="U166" t="str">
        <f>PROPER(TRIM([1]raw_orders!U166))</f>
        <v>Completed</v>
      </c>
      <c r="V166" s="6">
        <f t="shared" si="16"/>
        <v>0.34568563965136823</v>
      </c>
      <c r="W166" t="str">
        <f t="shared" si="17"/>
        <v>September</v>
      </c>
      <c r="X166">
        <f t="shared" si="18"/>
        <v>2025</v>
      </c>
      <c r="Y166">
        <f t="shared" si="19"/>
        <v>5</v>
      </c>
      <c r="Z166" s="7">
        <f t="shared" si="20"/>
        <v>0.25</v>
      </c>
      <c r="AA166">
        <f t="shared" si="21"/>
        <v>2365.8150000000001</v>
      </c>
      <c r="AB166">
        <f t="shared" si="22"/>
        <v>817.83000000000015</v>
      </c>
      <c r="AC166" t="str">
        <f t="shared" si="23"/>
        <v>Clean</v>
      </c>
    </row>
    <row r="167" spans="1:29">
      <c r="A167" t="s">
        <v>546</v>
      </c>
      <c r="B167" s="4">
        <v>45618</v>
      </c>
      <c r="C167" s="4">
        <v>45625</v>
      </c>
      <c r="D167" t="s">
        <v>547</v>
      </c>
      <c r="E167" t="str">
        <f>PROPER(TRIM([1]raw_orders!E167))</f>
        <v>Mira Das</v>
      </c>
      <c r="F167" t="str">
        <f>PROPER(TRIM([1]raw_orders!F167))</f>
        <v>Home Office</v>
      </c>
      <c r="G167" t="str">
        <f>IF('[1]Cleaned Text Field'!G167="","Unknown",'[1]Cleaned Text Field'!G167)</f>
        <v>East</v>
      </c>
      <c r="H167" t="str">
        <f>PROPER(TRIM([1]raw_orders!H167))</f>
        <v>Bihar</v>
      </c>
      <c r="I167" t="str">
        <f>PROPER(TRIM([1]raw_orders!I167))</f>
        <v>Patna</v>
      </c>
      <c r="J167" t="str">
        <f>PROPER(TRIM([1]raw_orders!J167))</f>
        <v>Furniture</v>
      </c>
      <c r="K167" t="str">
        <f>PROPER(TRIM([1]raw_orders!K167))</f>
        <v>Chairs</v>
      </c>
      <c r="L167" t="s">
        <v>548</v>
      </c>
      <c r="M167" t="str">
        <f>IF('[1]Cleaned Text Field'!M167="","Unknown",'[1]Cleaned Text Field'!M167)</f>
        <v>Standard Class</v>
      </c>
      <c r="N167">
        <f>IF('[1]Cleaned Text Field'!N167="",0,'[1]Cleaned Text Field'!N167)</f>
        <v>4</v>
      </c>
      <c r="O167">
        <v>3422.99</v>
      </c>
      <c r="P167" s="5">
        <f>IF('[1]Cleaned Text Field'!P167="",0,'[1]Cleaned Text Field'!P167)</f>
        <v>0.25</v>
      </c>
      <c r="Q167">
        <v>10268.969999999999</v>
      </c>
      <c r="R167">
        <v>6470.92</v>
      </c>
      <c r="S167">
        <v>3798.05</v>
      </c>
      <c r="T167" t="str">
        <f>PROPER(TRIM([1]raw_orders!T167))</f>
        <v>Paid</v>
      </c>
      <c r="U167" t="str">
        <f>PROPER(TRIM([1]raw_orders!U167))</f>
        <v>Completed</v>
      </c>
      <c r="V167" s="6">
        <f t="shared" si="16"/>
        <v>0.36985695741637187</v>
      </c>
      <c r="W167" t="str">
        <f t="shared" si="17"/>
        <v>November</v>
      </c>
      <c r="X167">
        <f t="shared" si="18"/>
        <v>2024</v>
      </c>
      <c r="Y167">
        <f t="shared" si="19"/>
        <v>7</v>
      </c>
      <c r="Z167" s="7">
        <f t="shared" si="20"/>
        <v>0.25</v>
      </c>
      <c r="AA167">
        <f t="shared" si="21"/>
        <v>10268.969999999999</v>
      </c>
      <c r="AB167">
        <f t="shared" si="22"/>
        <v>3798.0499999999993</v>
      </c>
      <c r="AC167" t="str">
        <f t="shared" si="23"/>
        <v>Clean</v>
      </c>
    </row>
    <row r="168" spans="1:29">
      <c r="A168" t="s">
        <v>549</v>
      </c>
      <c r="B168" s="4">
        <v>45708</v>
      </c>
      <c r="C168" s="4">
        <v>45714</v>
      </c>
      <c r="D168" t="s">
        <v>550</v>
      </c>
      <c r="E168" t="str">
        <f>PROPER(TRIM([1]raw_orders!E168))</f>
        <v>Karan Malhotra</v>
      </c>
      <c r="F168" t="str">
        <f>PROPER(TRIM([1]raw_orders!F168))</f>
        <v>Small Business</v>
      </c>
      <c r="G168" t="str">
        <f>IF('[1]Cleaned Text Field'!G168="","Unknown",'[1]Cleaned Text Field'!G168)</f>
        <v>West</v>
      </c>
      <c r="H168" t="str">
        <f>PROPER(TRIM([1]raw_orders!H168))</f>
        <v>Gujarat</v>
      </c>
      <c r="I168" t="str">
        <f>PROPER(TRIM([1]raw_orders!I168))</f>
        <v>Ahmedabad</v>
      </c>
      <c r="J168" t="str">
        <f>PROPER(TRIM([1]raw_orders!J168))</f>
        <v>Office Supplies</v>
      </c>
      <c r="K168" t="str">
        <f>PROPER(TRIM([1]raw_orders!K168))</f>
        <v>Labels</v>
      </c>
      <c r="L168" t="s">
        <v>551</v>
      </c>
      <c r="M168" t="str">
        <f>IF('[1]Cleaned Text Field'!M168="","Unknown",'[1]Cleaned Text Field'!M168)</f>
        <v>First Class</v>
      </c>
      <c r="N168">
        <f>IF('[1]Cleaned Text Field'!N168="",0,'[1]Cleaned Text Field'!N168)</f>
        <v>1</v>
      </c>
      <c r="O168">
        <v>2557.85</v>
      </c>
      <c r="P168" s="5">
        <f>IF('[1]Cleaned Text Field'!P168="",0,'[1]Cleaned Text Field'!P168)</f>
        <v>0.2</v>
      </c>
      <c r="Q168">
        <v>2046.28</v>
      </c>
      <c r="R168">
        <v>1449.54</v>
      </c>
      <c r="S168">
        <v>596.74</v>
      </c>
      <c r="T168" t="str">
        <f>PROPER(TRIM([1]raw_orders!T168))</f>
        <v>Paid</v>
      </c>
      <c r="U168" t="str">
        <f>PROPER(TRIM([1]raw_orders!U168))</f>
        <v>Completed</v>
      </c>
      <c r="V168" s="6">
        <f t="shared" si="16"/>
        <v>0.29162186992982386</v>
      </c>
      <c r="W168" t="str">
        <f t="shared" si="17"/>
        <v>February</v>
      </c>
      <c r="X168">
        <f t="shared" si="18"/>
        <v>2025</v>
      </c>
      <c r="Y168">
        <f t="shared" si="19"/>
        <v>6</v>
      </c>
      <c r="Z168" s="7">
        <f t="shared" si="20"/>
        <v>0.2</v>
      </c>
      <c r="AA168">
        <f t="shared" si="21"/>
        <v>2046.28</v>
      </c>
      <c r="AB168">
        <f t="shared" si="22"/>
        <v>596.74</v>
      </c>
      <c r="AC168" t="str">
        <f t="shared" si="23"/>
        <v>Clean</v>
      </c>
    </row>
    <row r="169" spans="1:29">
      <c r="A169" t="s">
        <v>552</v>
      </c>
      <c r="B169" s="4">
        <v>45887</v>
      </c>
      <c r="C169" s="4">
        <v>45887</v>
      </c>
      <c r="D169" t="s">
        <v>553</v>
      </c>
      <c r="E169" t="str">
        <f>PROPER(TRIM([1]raw_orders!E169))</f>
        <v>Arjun Bose</v>
      </c>
      <c r="F169" t="str">
        <f>PROPER(TRIM([1]raw_orders!F169))</f>
        <v>Home Office</v>
      </c>
      <c r="G169" t="str">
        <f>IF('[1]Cleaned Text Field'!G169="","Unknown",'[1]Cleaned Text Field'!G169)</f>
        <v>South</v>
      </c>
      <c r="H169" t="str">
        <f>PROPER(TRIM([1]raw_orders!H169))</f>
        <v>Karnataka</v>
      </c>
      <c r="I169" t="str">
        <f>PROPER(TRIM([1]raw_orders!I169))</f>
        <v>Bengaluru</v>
      </c>
      <c r="J169" t="str">
        <f>PROPER(TRIM([1]raw_orders!J169))</f>
        <v>Office Supplies</v>
      </c>
      <c r="K169" t="str">
        <f>PROPER(TRIM([1]raw_orders!K169))</f>
        <v>Storage</v>
      </c>
      <c r="L169" t="s">
        <v>554</v>
      </c>
      <c r="M169" t="str">
        <f>IF('[1]Cleaned Text Field'!M169="","Unknown",'[1]Cleaned Text Field'!M169)</f>
        <v>First Class</v>
      </c>
      <c r="N169">
        <f>IF('[1]Cleaned Text Field'!N169="",0,'[1]Cleaned Text Field'!N169)</f>
        <v>9</v>
      </c>
      <c r="O169">
        <v>3030.93</v>
      </c>
      <c r="P169" s="5">
        <f>IF('[1]Cleaned Text Field'!P169="",0,'[1]Cleaned Text Field'!P169)</f>
        <v>0.15</v>
      </c>
      <c r="Q169">
        <v>23186.61</v>
      </c>
      <c r="R169">
        <v>17906.54</v>
      </c>
      <c r="S169">
        <v>5280.07</v>
      </c>
      <c r="T169" t="str">
        <f>PROPER(TRIM([1]raw_orders!T169))</f>
        <v>Paid</v>
      </c>
      <c r="U169" t="str">
        <f>PROPER(TRIM([1]raw_orders!U169))</f>
        <v>Returned</v>
      </c>
      <c r="V169" s="6">
        <f t="shared" si="16"/>
        <v>0.22772065429142077</v>
      </c>
      <c r="W169" t="str">
        <f t="shared" si="17"/>
        <v>August</v>
      </c>
      <c r="X169">
        <f t="shared" si="18"/>
        <v>2025</v>
      </c>
      <c r="Y169">
        <f t="shared" si="19"/>
        <v>0</v>
      </c>
      <c r="Z169" s="7">
        <f t="shared" si="20"/>
        <v>0.15</v>
      </c>
      <c r="AA169">
        <f t="shared" si="21"/>
        <v>23186.6145</v>
      </c>
      <c r="AB169">
        <f t="shared" si="22"/>
        <v>5280.07</v>
      </c>
      <c r="AC169" t="str">
        <f t="shared" si="23"/>
        <v>Clean</v>
      </c>
    </row>
    <row r="170" spans="1:29">
      <c r="A170" t="s">
        <v>555</v>
      </c>
      <c r="B170" s="4">
        <v>45677</v>
      </c>
      <c r="C170" s="4">
        <v>45680</v>
      </c>
      <c r="D170" t="s">
        <v>556</v>
      </c>
      <c r="E170" t="str">
        <f>PROPER(TRIM([1]raw_orders!E170))</f>
        <v>Kabir Singh</v>
      </c>
      <c r="F170" t="str">
        <f>PROPER(TRIM([1]raw_orders!F170))</f>
        <v>Consumer</v>
      </c>
      <c r="G170" t="str">
        <f>IF('[1]Cleaned Text Field'!G170="","Unknown",'[1]Cleaned Text Field'!G170)</f>
        <v>West</v>
      </c>
      <c r="H170" t="str">
        <f>PROPER(TRIM([1]raw_orders!H170))</f>
        <v>Maharashtra</v>
      </c>
      <c r="I170" t="str">
        <f>PROPER(TRIM([1]raw_orders!I170))</f>
        <v>Mumbai</v>
      </c>
      <c r="J170" t="str">
        <f>PROPER(TRIM([1]raw_orders!J170))</f>
        <v>Technology</v>
      </c>
      <c r="K170" t="str">
        <f>PROPER(TRIM([1]raw_orders!K170))</f>
        <v>Accessories</v>
      </c>
      <c r="L170" t="s">
        <v>557</v>
      </c>
      <c r="M170" t="str">
        <f>IF('[1]Cleaned Text Field'!M170="","Unknown",'[1]Cleaned Text Field'!M170)</f>
        <v>Same Day</v>
      </c>
      <c r="N170">
        <f>IF('[1]Cleaned Text Field'!N170="",0,'[1]Cleaned Text Field'!N170)</f>
        <v>5</v>
      </c>
      <c r="O170">
        <v>639.27</v>
      </c>
      <c r="P170" s="5">
        <f>IF('[1]Cleaned Text Field'!P170="",0,'[1]Cleaned Text Field'!P170)</f>
        <v>0.2</v>
      </c>
      <c r="Q170">
        <v>2557.08</v>
      </c>
      <c r="R170">
        <v>2025.69</v>
      </c>
      <c r="S170">
        <v>531.39</v>
      </c>
      <c r="T170" t="str">
        <f>PROPER(TRIM([1]raw_orders!T170))</f>
        <v>Paid</v>
      </c>
      <c r="U170" t="str">
        <f>PROPER(TRIM([1]raw_orders!U170))</f>
        <v>Cancelled</v>
      </c>
      <c r="V170" s="6">
        <f t="shared" si="16"/>
        <v>0.20781125346097892</v>
      </c>
      <c r="W170" t="str">
        <f t="shared" si="17"/>
        <v>January</v>
      </c>
      <c r="X170">
        <f t="shared" si="18"/>
        <v>2025</v>
      </c>
      <c r="Y170">
        <f t="shared" si="19"/>
        <v>3</v>
      </c>
      <c r="Z170" s="7">
        <f t="shared" si="20"/>
        <v>0.2</v>
      </c>
      <c r="AA170">
        <f t="shared" si="21"/>
        <v>2557.08</v>
      </c>
      <c r="AB170">
        <f t="shared" si="22"/>
        <v>531.38999999999987</v>
      </c>
      <c r="AC170" t="str">
        <f t="shared" si="23"/>
        <v>Clean</v>
      </c>
    </row>
    <row r="171" spans="1:29">
      <c r="A171" t="s">
        <v>558</v>
      </c>
      <c r="B171" s="4">
        <v>45913</v>
      </c>
      <c r="C171" s="4">
        <v>45913</v>
      </c>
      <c r="D171" t="s">
        <v>559</v>
      </c>
      <c r="E171" t="str">
        <f>PROPER(TRIM([1]raw_orders!E171))</f>
        <v>Diya Patel</v>
      </c>
      <c r="F171" t="str">
        <f>PROPER(TRIM([1]raw_orders!F171))</f>
        <v>Consumer</v>
      </c>
      <c r="G171" t="str">
        <f>IF('[1]Cleaned Text Field'!G171="","Unknown",'[1]Cleaned Text Field'!G171)</f>
        <v>East</v>
      </c>
      <c r="H171" t="str">
        <f>PROPER(TRIM([1]raw_orders!H171))</f>
        <v>Assam</v>
      </c>
      <c r="I171" t="str">
        <f>PROPER(TRIM([1]raw_orders!I171))</f>
        <v>Guwahati</v>
      </c>
      <c r="J171" t="str">
        <f>PROPER(TRIM([1]raw_orders!J171))</f>
        <v>Office Supplies</v>
      </c>
      <c r="K171" t="str">
        <f>PROPER(TRIM([1]raw_orders!K171))</f>
        <v>Art</v>
      </c>
      <c r="L171" t="s">
        <v>560</v>
      </c>
      <c r="M171" t="str">
        <f>IF('[1]Cleaned Text Field'!M171="","Unknown",'[1]Cleaned Text Field'!M171)</f>
        <v>Standard Class</v>
      </c>
      <c r="N171">
        <f>IF('[1]Cleaned Text Field'!N171="",0,'[1]Cleaned Text Field'!N171)</f>
        <v>8</v>
      </c>
      <c r="O171">
        <v>733.9</v>
      </c>
      <c r="P171" s="5">
        <f>IF('[1]Cleaned Text Field'!P171="",0,'[1]Cleaned Text Field'!P171)</f>
        <v>0.05</v>
      </c>
      <c r="Q171">
        <v>5577.64</v>
      </c>
      <c r="R171">
        <v>3541.29</v>
      </c>
      <c r="S171">
        <v>2036.35</v>
      </c>
      <c r="T171" t="str">
        <f>PROPER(TRIM([1]raw_orders!T171))</f>
        <v>Pending</v>
      </c>
      <c r="U171" t="str">
        <f>PROPER(TRIM([1]raw_orders!U171))</f>
        <v>Returned</v>
      </c>
      <c r="V171" s="6">
        <f t="shared" si="16"/>
        <v>0.36509168752375554</v>
      </c>
      <c r="W171" t="str">
        <f t="shared" si="17"/>
        <v>September</v>
      </c>
      <c r="X171">
        <f t="shared" si="18"/>
        <v>2025</v>
      </c>
      <c r="Y171">
        <f t="shared" si="19"/>
        <v>0</v>
      </c>
      <c r="Z171" s="7">
        <f t="shared" si="20"/>
        <v>0.05</v>
      </c>
      <c r="AA171">
        <f t="shared" si="21"/>
        <v>5577.6399999999994</v>
      </c>
      <c r="AB171">
        <f t="shared" si="22"/>
        <v>2036.3500000000004</v>
      </c>
      <c r="AC171" t="str">
        <f t="shared" si="23"/>
        <v>Clean</v>
      </c>
    </row>
    <row r="172" spans="1:29">
      <c r="A172" t="s">
        <v>561</v>
      </c>
      <c r="B172" s="4">
        <v>45847</v>
      </c>
      <c r="C172" s="4">
        <v>45915</v>
      </c>
      <c r="D172" t="s">
        <v>562</v>
      </c>
      <c r="E172" t="str">
        <f>PROPER(TRIM([1]raw_orders!E172))</f>
        <v>Rohan Mehta</v>
      </c>
      <c r="F172" t="str">
        <f>PROPER(TRIM([1]raw_orders!F172))</f>
        <v>Corporate</v>
      </c>
      <c r="G172" t="str">
        <f>IF('[1]Cleaned Text Field'!G172="","Unknown",'[1]Cleaned Text Field'!G172)</f>
        <v>East</v>
      </c>
      <c r="H172" t="str">
        <f>PROPER(TRIM([1]raw_orders!H172))</f>
        <v>Bihar</v>
      </c>
      <c r="I172" t="str">
        <f>PROPER(TRIM([1]raw_orders!I172))</f>
        <v>Patna</v>
      </c>
      <c r="J172" t="str">
        <f>PROPER(TRIM([1]raw_orders!J172))</f>
        <v>Technology</v>
      </c>
      <c r="K172" t="str">
        <f>PROPER(TRIM([1]raw_orders!K172))</f>
        <v>Copiers</v>
      </c>
      <c r="L172" t="s">
        <v>563</v>
      </c>
      <c r="M172" t="str">
        <f>IF('[1]Cleaned Text Field'!M172="","Unknown",'[1]Cleaned Text Field'!M172)</f>
        <v>Standard Class</v>
      </c>
      <c r="N172">
        <f>IF('[1]Cleaned Text Field'!N172="",0,'[1]Cleaned Text Field'!N172)</f>
        <v>3</v>
      </c>
      <c r="O172">
        <v>1711.32</v>
      </c>
      <c r="P172" s="5">
        <f>IF('[1]Cleaned Text Field'!P172="",0,'[1]Cleaned Text Field'!P172)</f>
        <v>0</v>
      </c>
      <c r="Q172">
        <v>5133.96</v>
      </c>
      <c r="R172">
        <v>3930</v>
      </c>
      <c r="S172">
        <v>1203.96</v>
      </c>
      <c r="T172" t="str">
        <f>PROPER(TRIM([1]raw_orders!T172))</f>
        <v>Paid</v>
      </c>
      <c r="U172" t="str">
        <f>PROPER(TRIM([1]raw_orders!U172))</f>
        <v>Completed</v>
      </c>
      <c r="V172" s="6">
        <f t="shared" si="16"/>
        <v>0.23450903396208775</v>
      </c>
      <c r="W172" t="str">
        <f t="shared" si="17"/>
        <v>July</v>
      </c>
      <c r="X172">
        <f t="shared" si="18"/>
        <v>2025</v>
      </c>
      <c r="Y172">
        <f t="shared" si="19"/>
        <v>68</v>
      </c>
      <c r="Z172" s="7">
        <f t="shared" si="20"/>
        <v>0</v>
      </c>
      <c r="AA172">
        <f t="shared" si="21"/>
        <v>5133.96</v>
      </c>
      <c r="AB172">
        <f t="shared" si="22"/>
        <v>1203.96</v>
      </c>
      <c r="AC172" t="str">
        <f t="shared" si="23"/>
        <v>Clean</v>
      </c>
    </row>
    <row r="173" spans="1:29">
      <c r="A173" t="s">
        <v>564</v>
      </c>
      <c r="B173" s="4">
        <v>45711</v>
      </c>
      <c r="C173" s="4">
        <v>45713</v>
      </c>
      <c r="D173" t="s">
        <v>565</v>
      </c>
      <c r="E173" t="str">
        <f>PROPER(TRIM([1]raw_orders!E173))</f>
        <v>Karan Malhotra</v>
      </c>
      <c r="F173" t="str">
        <f>PROPER(TRIM([1]raw_orders!F173))</f>
        <v>Corporate</v>
      </c>
      <c r="G173" t="str">
        <f>IF('[1]Cleaned Text Field'!G173="","Unknown",'[1]Cleaned Text Field'!G173)</f>
        <v>East</v>
      </c>
      <c r="H173" t="str">
        <f>PROPER(TRIM([1]raw_orders!H173))</f>
        <v>Bihar</v>
      </c>
      <c r="I173" t="str">
        <f>PROPER(TRIM([1]raw_orders!I173))</f>
        <v>Patna</v>
      </c>
      <c r="J173" t="str">
        <f>PROPER(TRIM([1]raw_orders!J173))</f>
        <v>Office Supplies</v>
      </c>
      <c r="K173" t="str">
        <f>PROPER(TRIM([1]raw_orders!K173))</f>
        <v>Labels</v>
      </c>
      <c r="L173" t="s">
        <v>566</v>
      </c>
      <c r="M173" t="str">
        <f>IF('[1]Cleaned Text Field'!M173="","Unknown",'[1]Cleaned Text Field'!M173)</f>
        <v>Same Day</v>
      </c>
      <c r="N173">
        <f>IF('[1]Cleaned Text Field'!N173="",0,'[1]Cleaned Text Field'!N173)</f>
        <v>5</v>
      </c>
      <c r="O173">
        <v>4246.2700000000004</v>
      </c>
      <c r="P173" s="5">
        <f>IF('[1]Cleaned Text Field'!P173="",0,'[1]Cleaned Text Field'!P173)</f>
        <v>0.25</v>
      </c>
      <c r="Q173">
        <v>15923.51</v>
      </c>
      <c r="R173">
        <v>11291.8</v>
      </c>
      <c r="S173">
        <v>4631.71</v>
      </c>
      <c r="T173" t="str">
        <f>PROPER(TRIM([1]raw_orders!T173))</f>
        <v>Paid</v>
      </c>
      <c r="U173" t="str">
        <f>PROPER(TRIM([1]raw_orders!U173))</f>
        <v>Completed</v>
      </c>
      <c r="V173" s="6">
        <f t="shared" si="16"/>
        <v>0.29087242699630922</v>
      </c>
      <c r="W173" t="str">
        <f t="shared" si="17"/>
        <v>February</v>
      </c>
      <c r="X173">
        <f t="shared" si="18"/>
        <v>2025</v>
      </c>
      <c r="Y173">
        <f t="shared" si="19"/>
        <v>2</v>
      </c>
      <c r="Z173" s="7">
        <f t="shared" si="20"/>
        <v>0.25</v>
      </c>
      <c r="AA173">
        <f t="shared" si="21"/>
        <v>15923.512500000001</v>
      </c>
      <c r="AB173">
        <f t="shared" si="22"/>
        <v>4631.7100000000009</v>
      </c>
      <c r="AC173" t="str">
        <f t="shared" si="23"/>
        <v>Clean</v>
      </c>
    </row>
    <row r="174" spans="1:29">
      <c r="A174" t="s">
        <v>567</v>
      </c>
      <c r="B174" s="4">
        <v>45696</v>
      </c>
      <c r="C174" s="4">
        <v>45938</v>
      </c>
      <c r="D174" t="s">
        <v>568</v>
      </c>
      <c r="E174" t="str">
        <f>PROPER(TRIM([1]raw_orders!E174))</f>
        <v>Karan Malhotra</v>
      </c>
      <c r="F174" t="str">
        <f>PROPER(TRIM([1]raw_orders!F174))</f>
        <v>Corporate</v>
      </c>
      <c r="G174" t="str">
        <f>IF('[1]Cleaned Text Field'!G174="","Unknown",'[1]Cleaned Text Field'!G174)</f>
        <v>North</v>
      </c>
      <c r="H174" t="str">
        <f>PROPER(TRIM([1]raw_orders!H174))</f>
        <v>Delhi</v>
      </c>
      <c r="I174" t="str">
        <f>PROPER(TRIM([1]raw_orders!I174))</f>
        <v>New Delhi</v>
      </c>
      <c r="J174" t="str">
        <f>PROPER(TRIM([1]raw_orders!J174))</f>
        <v>Furniture</v>
      </c>
      <c r="K174" t="str">
        <f>PROPER(TRIM([1]raw_orders!K174))</f>
        <v>Furnishings</v>
      </c>
      <c r="L174" t="s">
        <v>569</v>
      </c>
      <c r="M174" t="str">
        <f>IF('[1]Cleaned Text Field'!M174="","Unknown",'[1]Cleaned Text Field'!M174)</f>
        <v>Same Day</v>
      </c>
      <c r="N174">
        <f>IF('[1]Cleaned Text Field'!N174="",0,'[1]Cleaned Text Field'!N174)</f>
        <v>9</v>
      </c>
      <c r="O174">
        <v>2962.62</v>
      </c>
      <c r="P174" s="5">
        <f>IF('[1]Cleaned Text Field'!P174="",0,'[1]Cleaned Text Field'!P174)</f>
        <v>0.1</v>
      </c>
      <c r="Q174">
        <v>23997.22</v>
      </c>
      <c r="R174">
        <v>16134.63</v>
      </c>
      <c r="S174">
        <v>7862.59</v>
      </c>
      <c r="T174" t="str">
        <f>PROPER(TRIM([1]raw_orders!T174))</f>
        <v>Refunded</v>
      </c>
      <c r="U174" t="str">
        <f>PROPER(TRIM([1]raw_orders!U174))</f>
        <v>Returned</v>
      </c>
      <c r="V174" s="6">
        <f t="shared" si="16"/>
        <v>0.32764586897982351</v>
      </c>
      <c r="W174" t="str">
        <f t="shared" si="17"/>
        <v>February</v>
      </c>
      <c r="X174">
        <f t="shared" si="18"/>
        <v>2025</v>
      </c>
      <c r="Y174">
        <f t="shared" si="19"/>
        <v>242</v>
      </c>
      <c r="Z174" s="7">
        <f t="shared" si="20"/>
        <v>0.1</v>
      </c>
      <c r="AA174">
        <f t="shared" si="21"/>
        <v>23997.221999999998</v>
      </c>
      <c r="AB174">
        <f t="shared" si="22"/>
        <v>7862.590000000002</v>
      </c>
      <c r="AC174" t="str">
        <f t="shared" si="23"/>
        <v>Clean</v>
      </c>
    </row>
    <row r="175" spans="1:29">
      <c r="A175" t="s">
        <v>570</v>
      </c>
      <c r="B175" s="4">
        <v>45327</v>
      </c>
      <c r="C175" s="4">
        <v>45420</v>
      </c>
      <c r="D175" t="s">
        <v>571</v>
      </c>
      <c r="E175" t="str">
        <f>PROPER(TRIM([1]raw_orders!E175))</f>
        <v>Priya Menon</v>
      </c>
      <c r="F175" t="str">
        <f>PROPER(TRIM([1]raw_orders!F175))</f>
        <v>Home Office</v>
      </c>
      <c r="G175" t="str">
        <f>IF('[1]Cleaned Text Field'!G175="","Unknown",'[1]Cleaned Text Field'!G175)</f>
        <v>North</v>
      </c>
      <c r="H175" t="str">
        <f>PROPER(TRIM([1]raw_orders!H175))</f>
        <v>Punjab</v>
      </c>
      <c r="I175" t="str">
        <f>PROPER(TRIM([1]raw_orders!I175))</f>
        <v>Ludhiana</v>
      </c>
      <c r="J175" t="str">
        <f>PROPER(TRIM([1]raw_orders!J175))</f>
        <v>Technology</v>
      </c>
      <c r="K175" t="str">
        <f>PROPER(TRIM([1]raw_orders!K175))</f>
        <v>Copiers</v>
      </c>
      <c r="L175" t="s">
        <v>572</v>
      </c>
      <c r="M175" t="str">
        <f>IF('[1]Cleaned Text Field'!M175="","Unknown",'[1]Cleaned Text Field'!M175)</f>
        <v>Second Class</v>
      </c>
      <c r="N175">
        <f>IF('[1]Cleaned Text Field'!N175="",0,'[1]Cleaned Text Field'!N175)</f>
        <v>1</v>
      </c>
      <c r="O175">
        <v>2312.25</v>
      </c>
      <c r="P175" s="5">
        <f>IF('[1]Cleaned Text Field'!P175="",0,'[1]Cleaned Text Field'!P175)</f>
        <v>0.25</v>
      </c>
      <c r="Q175">
        <v>1734.19</v>
      </c>
      <c r="R175">
        <v>1386.07</v>
      </c>
      <c r="S175">
        <v>348.12</v>
      </c>
      <c r="T175" t="str">
        <f>PROPER(TRIM([1]raw_orders!T175))</f>
        <v>Paid</v>
      </c>
      <c r="U175" t="str">
        <f>PROPER(TRIM([1]raw_orders!U175))</f>
        <v>Completed</v>
      </c>
      <c r="V175" s="6">
        <f t="shared" si="16"/>
        <v>0.20073925002450713</v>
      </c>
      <c r="W175" t="str">
        <f t="shared" si="17"/>
        <v>February</v>
      </c>
      <c r="X175">
        <f t="shared" si="18"/>
        <v>2024</v>
      </c>
      <c r="Y175">
        <f t="shared" si="19"/>
        <v>93</v>
      </c>
      <c r="Z175" s="7">
        <f t="shared" si="20"/>
        <v>0.25</v>
      </c>
      <c r="AA175">
        <f t="shared" si="21"/>
        <v>1734.1875</v>
      </c>
      <c r="AB175">
        <f t="shared" si="22"/>
        <v>348.12000000000012</v>
      </c>
      <c r="AC175" t="str">
        <f t="shared" si="23"/>
        <v>Clean</v>
      </c>
    </row>
    <row r="176" spans="1:29">
      <c r="A176" t="s">
        <v>573</v>
      </c>
      <c r="B176" s="4">
        <v>45928</v>
      </c>
      <c r="C176" s="4">
        <v>45757</v>
      </c>
      <c r="D176" t="s">
        <v>574</v>
      </c>
      <c r="E176" t="str">
        <f>PROPER(TRIM([1]raw_orders!E176))</f>
        <v>Karan Malhotra</v>
      </c>
      <c r="F176" t="str">
        <f>PROPER(TRIM([1]raw_orders!F176))</f>
        <v>Small Business</v>
      </c>
      <c r="G176" t="str">
        <f>IF('[1]Cleaned Text Field'!G176="","Unknown",'[1]Cleaned Text Field'!G176)</f>
        <v>South</v>
      </c>
      <c r="H176" t="str">
        <f>PROPER(TRIM([1]raw_orders!H176))</f>
        <v>Karnataka</v>
      </c>
      <c r="I176" t="str">
        <f>PROPER(TRIM([1]raw_orders!I176))</f>
        <v>Bengaluru</v>
      </c>
      <c r="J176" t="str">
        <f>PROPER(TRIM([1]raw_orders!J176))</f>
        <v>Furniture</v>
      </c>
      <c r="K176" t="str">
        <f>PROPER(TRIM([1]raw_orders!K176))</f>
        <v>Bookcases</v>
      </c>
      <c r="L176" t="s">
        <v>575</v>
      </c>
      <c r="M176" t="str">
        <f>IF('[1]Cleaned Text Field'!M176="","Unknown",'[1]Cleaned Text Field'!M176)</f>
        <v>First Class</v>
      </c>
      <c r="N176">
        <f>IF('[1]Cleaned Text Field'!N176="",0,'[1]Cleaned Text Field'!N176)</f>
        <v>6</v>
      </c>
      <c r="O176">
        <v>1620.53</v>
      </c>
      <c r="P176" s="5">
        <f>IF('[1]Cleaned Text Field'!P176="",0,'[1]Cleaned Text Field'!P176)</f>
        <v>0.15</v>
      </c>
      <c r="Q176">
        <v>8264.7000000000007</v>
      </c>
      <c r="R176">
        <v>4768.75</v>
      </c>
      <c r="S176">
        <v>3495.95</v>
      </c>
      <c r="T176" t="str">
        <f>PROPER(TRIM([1]raw_orders!T176))</f>
        <v>Pending</v>
      </c>
      <c r="U176" t="str">
        <f>PROPER(TRIM([1]raw_orders!U176))</f>
        <v>Returned</v>
      </c>
      <c r="V176" s="6">
        <f t="shared" si="16"/>
        <v>0.42299780996285402</v>
      </c>
      <c r="W176" t="str">
        <f t="shared" si="17"/>
        <v>September</v>
      </c>
      <c r="X176">
        <f t="shared" si="18"/>
        <v>2025</v>
      </c>
      <c r="Y176">
        <f t="shared" si="19"/>
        <v>-171</v>
      </c>
      <c r="Z176" s="7">
        <f t="shared" si="20"/>
        <v>0.15</v>
      </c>
      <c r="AA176">
        <f t="shared" si="21"/>
        <v>8264.7029999999995</v>
      </c>
      <c r="AB176">
        <f t="shared" si="22"/>
        <v>3495.9500000000007</v>
      </c>
      <c r="AC176" t="str">
        <f t="shared" si="23"/>
        <v>Warning</v>
      </c>
    </row>
    <row r="177" spans="1:29">
      <c r="A177" t="s">
        <v>576</v>
      </c>
      <c r="B177" s="4">
        <v>45318</v>
      </c>
      <c r="C177" s="4">
        <v>45325</v>
      </c>
      <c r="D177" t="s">
        <v>577</v>
      </c>
      <c r="E177" t="str">
        <f>PROPER(TRIM([1]raw_orders!E177))</f>
        <v>Arjun Bose</v>
      </c>
      <c r="F177" t="str">
        <f>PROPER(TRIM([1]raw_orders!F177))</f>
        <v>Small Business</v>
      </c>
      <c r="G177" t="str">
        <f>IF('[1]Cleaned Text Field'!G177="","Unknown",'[1]Cleaned Text Field'!G177)</f>
        <v>East</v>
      </c>
      <c r="H177" t="str">
        <f>PROPER(TRIM([1]raw_orders!H177))</f>
        <v>Bihar</v>
      </c>
      <c r="I177" t="str">
        <f>PROPER(TRIM([1]raw_orders!I177))</f>
        <v>Patna</v>
      </c>
      <c r="J177" t="str">
        <f>PROPER(TRIM([1]raw_orders!J177))</f>
        <v>Technology</v>
      </c>
      <c r="K177" t="str">
        <f>PROPER(TRIM([1]raw_orders!K177))</f>
        <v>Machines</v>
      </c>
      <c r="L177" t="s">
        <v>578</v>
      </c>
      <c r="M177" t="str">
        <f>IF('[1]Cleaned Text Field'!M177="","Unknown",'[1]Cleaned Text Field'!M177)</f>
        <v>Same Day</v>
      </c>
      <c r="N177">
        <f>IF('[1]Cleaned Text Field'!N177="",0,'[1]Cleaned Text Field'!N177)</f>
        <v>7</v>
      </c>
      <c r="O177">
        <v>2673.42</v>
      </c>
      <c r="P177" s="5">
        <f>IF('[1]Cleaned Text Field'!P177="",0,'[1]Cleaned Text Field'!P177)</f>
        <v>0.15</v>
      </c>
      <c r="Q177">
        <v>15906.85</v>
      </c>
      <c r="R177">
        <v>11014.46</v>
      </c>
      <c r="S177">
        <v>4892.3900000000003</v>
      </c>
      <c r="T177" t="str">
        <f>PROPER(TRIM([1]raw_orders!T177))</f>
        <v>Paid</v>
      </c>
      <c r="U177" t="str">
        <f>PROPER(TRIM([1]raw_orders!U177))</f>
        <v>Returned</v>
      </c>
      <c r="V177" s="6">
        <f t="shared" si="16"/>
        <v>0.30756497986716413</v>
      </c>
      <c r="W177" t="str">
        <f t="shared" si="17"/>
        <v>January</v>
      </c>
      <c r="X177">
        <f t="shared" si="18"/>
        <v>2024</v>
      </c>
      <c r="Y177">
        <f t="shared" si="19"/>
        <v>7</v>
      </c>
      <c r="Z177" s="7">
        <f t="shared" si="20"/>
        <v>0.15</v>
      </c>
      <c r="AA177">
        <f t="shared" si="21"/>
        <v>15906.849000000002</v>
      </c>
      <c r="AB177">
        <f t="shared" si="22"/>
        <v>4892.3900000000012</v>
      </c>
      <c r="AC177" t="str">
        <f t="shared" si="23"/>
        <v>Clean</v>
      </c>
    </row>
    <row r="178" spans="1:29">
      <c r="A178" t="s">
        <v>579</v>
      </c>
      <c r="B178" s="4">
        <v>45734</v>
      </c>
      <c r="C178" s="4">
        <v>45742</v>
      </c>
      <c r="D178" t="s">
        <v>580</v>
      </c>
      <c r="E178" t="str">
        <f>PROPER(TRIM([1]raw_orders!E178))</f>
        <v>Vikram Iyer</v>
      </c>
      <c r="F178" t="str">
        <f>PROPER(TRIM([1]raw_orders!F178))</f>
        <v>Corporate</v>
      </c>
      <c r="G178" t="str">
        <f>IF('[1]Cleaned Text Field'!G178="","Unknown",'[1]Cleaned Text Field'!G178)</f>
        <v>East</v>
      </c>
      <c r="H178" t="str">
        <f>PROPER(TRIM([1]raw_orders!H178))</f>
        <v>Jharkhand</v>
      </c>
      <c r="I178" t="str">
        <f>PROPER(TRIM([1]raw_orders!I178))</f>
        <v>Ranchi</v>
      </c>
      <c r="J178" t="str">
        <f>PROPER(TRIM([1]raw_orders!J178))</f>
        <v>Furniture</v>
      </c>
      <c r="K178" t="str">
        <f>PROPER(TRIM([1]raw_orders!K178))</f>
        <v>Bookcases</v>
      </c>
      <c r="L178" t="s">
        <v>581</v>
      </c>
      <c r="M178" t="str">
        <f>IF('[1]Cleaned Text Field'!M178="","Unknown",'[1]Cleaned Text Field'!M178)</f>
        <v>Standard Class</v>
      </c>
      <c r="N178">
        <f>IF('[1]Cleaned Text Field'!N178="",0,'[1]Cleaned Text Field'!N178)</f>
        <v>8</v>
      </c>
      <c r="O178">
        <v>3563.09</v>
      </c>
      <c r="P178" s="5">
        <f>IF('[1]Cleaned Text Field'!P178="",0,'[1]Cleaned Text Field'!P178)</f>
        <v>0.15</v>
      </c>
      <c r="Q178">
        <v>24229.01</v>
      </c>
      <c r="R178">
        <v>13910.64</v>
      </c>
      <c r="S178">
        <v>10318.370000000001</v>
      </c>
      <c r="T178" t="str">
        <f>PROPER(TRIM([1]raw_orders!T178))</f>
        <v>Paid</v>
      </c>
      <c r="U178" t="str">
        <f>PROPER(TRIM([1]raw_orders!U178))</f>
        <v>Completed</v>
      </c>
      <c r="V178" s="6">
        <f t="shared" si="16"/>
        <v>0.42586841146212751</v>
      </c>
      <c r="W178" t="str">
        <f t="shared" si="17"/>
        <v>March</v>
      </c>
      <c r="X178">
        <f t="shared" si="18"/>
        <v>2025</v>
      </c>
      <c r="Y178">
        <f t="shared" si="19"/>
        <v>8</v>
      </c>
      <c r="Z178" s="7">
        <f t="shared" si="20"/>
        <v>0.15</v>
      </c>
      <c r="AA178">
        <f t="shared" si="21"/>
        <v>24229.011999999999</v>
      </c>
      <c r="AB178">
        <f t="shared" si="22"/>
        <v>10318.369999999999</v>
      </c>
      <c r="AC178" t="str">
        <f t="shared" si="23"/>
        <v>Clean</v>
      </c>
    </row>
    <row r="179" spans="1:29">
      <c r="A179" t="s">
        <v>582</v>
      </c>
      <c r="B179" s="4">
        <v>45297</v>
      </c>
      <c r="C179" s="4">
        <v>45446</v>
      </c>
      <c r="D179" t="s">
        <v>583</v>
      </c>
      <c r="E179" t="str">
        <f>PROPER(TRIM([1]raw_orders!E179))</f>
        <v>Sneha Kapoor</v>
      </c>
      <c r="F179" t="str">
        <f>PROPER(TRIM([1]raw_orders!F179))</f>
        <v>Home Office</v>
      </c>
      <c r="G179" t="str">
        <f>IF('[1]Cleaned Text Field'!G179="","Unknown",'[1]Cleaned Text Field'!G179)</f>
        <v>Unknown</v>
      </c>
      <c r="H179" t="str">
        <f>PROPER(TRIM([1]raw_orders!H179))</f>
        <v>Bihar</v>
      </c>
      <c r="I179" t="str">
        <f>PROPER(TRIM([1]raw_orders!I179))</f>
        <v>Patna</v>
      </c>
      <c r="J179" t="str">
        <f>PROPER(TRIM([1]raw_orders!J179))</f>
        <v>Office Supplies</v>
      </c>
      <c r="K179" t="str">
        <f>PROPER(TRIM([1]raw_orders!K179))</f>
        <v>Art</v>
      </c>
      <c r="L179" t="s">
        <v>584</v>
      </c>
      <c r="M179" t="str">
        <f>IF('[1]Cleaned Text Field'!M179="","Unknown",'[1]Cleaned Text Field'!M179)</f>
        <v>Same Day</v>
      </c>
      <c r="N179">
        <f>IF('[1]Cleaned Text Field'!N179="",0,'[1]Cleaned Text Field'!N179)</f>
        <v>8</v>
      </c>
      <c r="O179">
        <v>3879.95</v>
      </c>
      <c r="P179" s="5">
        <f>IF('[1]Cleaned Text Field'!P179="",0,'[1]Cleaned Text Field'!P179)</f>
        <v>0</v>
      </c>
      <c r="Q179">
        <v>31039.599999999999</v>
      </c>
      <c r="R179">
        <v>20866.72</v>
      </c>
      <c r="S179">
        <v>10172.879999999999</v>
      </c>
      <c r="T179" t="str">
        <f>PROPER(TRIM([1]raw_orders!T179))</f>
        <v>Paid</v>
      </c>
      <c r="U179" t="str">
        <f>PROPER(TRIM([1]raw_orders!U179))</f>
        <v>Completed</v>
      </c>
      <c r="V179" s="6">
        <f t="shared" si="16"/>
        <v>0.3277387595200969</v>
      </c>
      <c r="W179" t="str">
        <f t="shared" si="17"/>
        <v>January</v>
      </c>
      <c r="X179">
        <f t="shared" si="18"/>
        <v>2024</v>
      </c>
      <c r="Y179">
        <f t="shared" si="19"/>
        <v>149</v>
      </c>
      <c r="Z179" s="7">
        <f t="shared" si="20"/>
        <v>0</v>
      </c>
      <c r="AA179">
        <f t="shared" si="21"/>
        <v>31039.599999999999</v>
      </c>
      <c r="AB179">
        <f t="shared" si="22"/>
        <v>10172.879999999997</v>
      </c>
      <c r="AC179" t="str">
        <f t="shared" si="23"/>
        <v>Clean</v>
      </c>
    </row>
    <row r="180" spans="1:29">
      <c r="A180" t="s">
        <v>585</v>
      </c>
      <c r="B180" s="4">
        <v>45565</v>
      </c>
      <c r="C180" s="4">
        <v>45565</v>
      </c>
      <c r="D180" t="s">
        <v>586</v>
      </c>
      <c r="E180" t="str">
        <f>PROPER(TRIM([1]raw_orders!E180))</f>
        <v>Isha Nair</v>
      </c>
      <c r="F180" t="str">
        <f>PROPER(TRIM([1]raw_orders!F180))</f>
        <v>Corporate</v>
      </c>
      <c r="G180" t="str">
        <f>IF('[1]Cleaned Text Field'!G180="","Unknown",'[1]Cleaned Text Field'!G180)</f>
        <v>South</v>
      </c>
      <c r="H180" t="str">
        <f>PROPER(TRIM([1]raw_orders!H180))</f>
        <v>Telangana</v>
      </c>
      <c r="I180" t="str">
        <f>PROPER(TRIM([1]raw_orders!I180))</f>
        <v>Hyderabad</v>
      </c>
      <c r="J180" t="str">
        <f>PROPER(TRIM([1]raw_orders!J180))</f>
        <v>Office Supplies</v>
      </c>
      <c r="K180" t="str">
        <f>PROPER(TRIM([1]raw_orders!K180))</f>
        <v>Art</v>
      </c>
      <c r="L180" t="s">
        <v>587</v>
      </c>
      <c r="M180" t="str">
        <f>IF('[1]Cleaned Text Field'!M180="","Unknown",'[1]Cleaned Text Field'!M180)</f>
        <v>Standard Class</v>
      </c>
      <c r="N180">
        <f>IF('[1]Cleaned Text Field'!N180="",0,'[1]Cleaned Text Field'!N180)</f>
        <v>4</v>
      </c>
      <c r="O180">
        <v>3281.74</v>
      </c>
      <c r="P180" s="5">
        <f>IF('[1]Cleaned Text Field'!P180="",0,'[1]Cleaned Text Field'!P180)</f>
        <v>0</v>
      </c>
      <c r="Q180">
        <v>13126.96</v>
      </c>
      <c r="R180">
        <v>10732.44</v>
      </c>
      <c r="S180">
        <v>2394.52</v>
      </c>
      <c r="T180" t="str">
        <f>PROPER(TRIM([1]raw_orders!T180))</f>
        <v>Paid</v>
      </c>
      <c r="U180" t="str">
        <f>PROPER(TRIM([1]raw_orders!U180))</f>
        <v>Completed</v>
      </c>
      <c r="V180" s="6">
        <f t="shared" si="16"/>
        <v>0.18241237879905173</v>
      </c>
      <c r="W180" t="str">
        <f t="shared" si="17"/>
        <v>September</v>
      </c>
      <c r="X180">
        <f t="shared" si="18"/>
        <v>2024</v>
      </c>
      <c r="Y180">
        <f t="shared" si="19"/>
        <v>0</v>
      </c>
      <c r="Z180" s="7">
        <f t="shared" si="20"/>
        <v>0</v>
      </c>
      <c r="AA180">
        <f t="shared" si="21"/>
        <v>13126.96</v>
      </c>
      <c r="AB180">
        <f t="shared" si="22"/>
        <v>2394.5199999999986</v>
      </c>
      <c r="AC180" t="str">
        <f t="shared" si="23"/>
        <v>Clean</v>
      </c>
    </row>
    <row r="181" spans="1:29">
      <c r="A181" t="s">
        <v>588</v>
      </c>
      <c r="B181" s="4">
        <v>45366</v>
      </c>
      <c r="C181" s="4">
        <v>45370</v>
      </c>
      <c r="D181" t="s">
        <v>589</v>
      </c>
      <c r="E181" t="str">
        <f>PROPER(TRIM([1]raw_orders!E181))</f>
        <v>Ananya Rao</v>
      </c>
      <c r="F181" t="str">
        <f>PROPER(TRIM([1]raw_orders!F181))</f>
        <v>Small Business</v>
      </c>
      <c r="G181" t="str">
        <f>IF('[1]Cleaned Text Field'!G181="","Unknown",'[1]Cleaned Text Field'!G181)</f>
        <v>South</v>
      </c>
      <c r="H181" t="str">
        <f>PROPER(TRIM([1]raw_orders!H181))</f>
        <v>Tamil Nadu</v>
      </c>
      <c r="I181" t="str">
        <f>PROPER(TRIM([1]raw_orders!I181))</f>
        <v>Chennai</v>
      </c>
      <c r="J181" t="str">
        <f>PROPER(TRIM([1]raw_orders!J181))</f>
        <v>Furniture</v>
      </c>
      <c r="K181" t="str">
        <f>PROPER(TRIM([1]raw_orders!K181))</f>
        <v>Furnishings</v>
      </c>
      <c r="L181" t="s">
        <v>590</v>
      </c>
      <c r="M181" t="str">
        <f>IF('[1]Cleaned Text Field'!M181="","Unknown",'[1]Cleaned Text Field'!M181)</f>
        <v>Standard Class</v>
      </c>
      <c r="N181">
        <f>IF('[1]Cleaned Text Field'!N181="",0,'[1]Cleaned Text Field'!N181)</f>
        <v>4</v>
      </c>
      <c r="O181">
        <v>3186.3</v>
      </c>
      <c r="P181" s="5">
        <f>IF('[1]Cleaned Text Field'!P181="",0,'[1]Cleaned Text Field'!P181)</f>
        <v>0.25</v>
      </c>
      <c r="Q181">
        <v>9558.9</v>
      </c>
      <c r="R181">
        <v>5516.76</v>
      </c>
      <c r="S181">
        <v>4042.14</v>
      </c>
      <c r="T181" t="str">
        <f>PROPER(TRIM([1]raw_orders!T181))</f>
        <v>Refunded</v>
      </c>
      <c r="U181" t="str">
        <f>PROPER(TRIM([1]raw_orders!U181))</f>
        <v>Returned</v>
      </c>
      <c r="V181" s="6">
        <f t="shared" si="16"/>
        <v>0.4228666478360481</v>
      </c>
      <c r="W181" t="str">
        <f t="shared" si="17"/>
        <v>March</v>
      </c>
      <c r="X181">
        <f t="shared" si="18"/>
        <v>2024</v>
      </c>
      <c r="Y181">
        <f t="shared" si="19"/>
        <v>4</v>
      </c>
      <c r="Z181" s="7">
        <f t="shared" si="20"/>
        <v>0.25</v>
      </c>
      <c r="AA181">
        <f t="shared" si="21"/>
        <v>9558.9000000000015</v>
      </c>
      <c r="AB181">
        <f t="shared" si="22"/>
        <v>4042.1399999999994</v>
      </c>
      <c r="AC181" t="str">
        <f t="shared" si="23"/>
        <v>Clean</v>
      </c>
    </row>
    <row r="182" spans="1:29">
      <c r="A182" t="s">
        <v>591</v>
      </c>
      <c r="B182" s="4">
        <v>45530</v>
      </c>
      <c r="C182" s="4">
        <v>45530</v>
      </c>
      <c r="D182" t="s">
        <v>592</v>
      </c>
      <c r="E182" t="str">
        <f>PROPER(TRIM([1]raw_orders!E182))</f>
        <v>Mira Das</v>
      </c>
      <c r="F182" t="str">
        <f>PROPER(TRIM([1]raw_orders!F182))</f>
        <v>Home Office</v>
      </c>
      <c r="G182" t="str">
        <f>IF('[1]Cleaned Text Field'!G182="","Unknown",'[1]Cleaned Text Field'!G182)</f>
        <v>North</v>
      </c>
      <c r="H182" t="str">
        <f>PROPER(TRIM([1]raw_orders!H182))</f>
        <v>Uttar Pradesh</v>
      </c>
      <c r="I182" t="str">
        <f>PROPER(TRIM([1]raw_orders!I182))</f>
        <v>Noida</v>
      </c>
      <c r="J182" t="str">
        <f>PROPER(TRIM([1]raw_orders!J182))</f>
        <v>Office Supplies</v>
      </c>
      <c r="K182" t="str">
        <f>PROPER(TRIM([1]raw_orders!K182))</f>
        <v>Binders</v>
      </c>
      <c r="L182" t="s">
        <v>593</v>
      </c>
      <c r="M182" t="str">
        <f>IF('[1]Cleaned Text Field'!M182="","Unknown",'[1]Cleaned Text Field'!M182)</f>
        <v>First Class</v>
      </c>
      <c r="N182">
        <f>IF('[1]Cleaned Text Field'!N182="",0,'[1]Cleaned Text Field'!N182)</f>
        <v>7</v>
      </c>
      <c r="O182">
        <v>844.59</v>
      </c>
      <c r="P182" s="5">
        <f>IF('[1]Cleaned Text Field'!P182="",0,'[1]Cleaned Text Field'!P182)</f>
        <v>0.1</v>
      </c>
      <c r="Q182">
        <v>5320.92</v>
      </c>
      <c r="R182">
        <v>3041.5</v>
      </c>
      <c r="S182">
        <v>2279.42</v>
      </c>
      <c r="T182" t="str">
        <f>PROPER(TRIM([1]raw_orders!T182))</f>
        <v>Paid</v>
      </c>
      <c r="U182" t="str">
        <f>PROPER(TRIM([1]raw_orders!U182))</f>
        <v>Completed</v>
      </c>
      <c r="V182" s="6">
        <f t="shared" si="16"/>
        <v>0.42838832382369968</v>
      </c>
      <c r="W182" t="str">
        <f t="shared" si="17"/>
        <v>August</v>
      </c>
      <c r="X182">
        <f t="shared" si="18"/>
        <v>2024</v>
      </c>
      <c r="Y182">
        <f t="shared" si="19"/>
        <v>0</v>
      </c>
      <c r="Z182" s="7">
        <f t="shared" si="20"/>
        <v>0.1</v>
      </c>
      <c r="AA182">
        <f t="shared" si="21"/>
        <v>5320.9170000000004</v>
      </c>
      <c r="AB182">
        <f t="shared" si="22"/>
        <v>2279.42</v>
      </c>
      <c r="AC182" t="str">
        <f t="shared" si="23"/>
        <v>Clean</v>
      </c>
    </row>
    <row r="183" spans="1:29">
      <c r="A183" t="s">
        <v>594</v>
      </c>
      <c r="B183" s="4">
        <v>45909</v>
      </c>
      <c r="C183" s="4">
        <v>45939</v>
      </c>
      <c r="D183" t="s">
        <v>595</v>
      </c>
      <c r="E183" t="str">
        <f>PROPER(TRIM([1]raw_orders!E183))</f>
        <v>Priya Menon</v>
      </c>
      <c r="F183" t="str">
        <f>PROPER(TRIM([1]raw_orders!F183))</f>
        <v>Home Office</v>
      </c>
      <c r="G183" t="str">
        <f>IF('[1]Cleaned Text Field'!G183="","Unknown",'[1]Cleaned Text Field'!G183)</f>
        <v>South</v>
      </c>
      <c r="H183" t="str">
        <f>PROPER(TRIM([1]raw_orders!H183))</f>
        <v>Tamil Nadu</v>
      </c>
      <c r="I183" t="str">
        <f>PROPER(TRIM([1]raw_orders!I183))</f>
        <v>Chennai</v>
      </c>
      <c r="J183" t="str">
        <f>PROPER(TRIM([1]raw_orders!J183))</f>
        <v>Office Supplies</v>
      </c>
      <c r="K183" t="str">
        <f>PROPER(TRIM([1]raw_orders!K183))</f>
        <v>Art</v>
      </c>
      <c r="L183" t="s">
        <v>596</v>
      </c>
      <c r="M183" t="str">
        <f>IF('[1]Cleaned Text Field'!M183="","Unknown",'[1]Cleaned Text Field'!M183)</f>
        <v>Second Class</v>
      </c>
      <c r="N183">
        <f>IF('[1]Cleaned Text Field'!N183="",0,'[1]Cleaned Text Field'!N183)</f>
        <v>4</v>
      </c>
      <c r="O183">
        <v>2551.4499999999998</v>
      </c>
      <c r="P183" s="5">
        <f>IF('[1]Cleaned Text Field'!P183="",0,'[1]Cleaned Text Field'!P183)</f>
        <v>0</v>
      </c>
      <c r="Q183">
        <v>10205.799999999999</v>
      </c>
      <c r="R183">
        <v>5986.31</v>
      </c>
      <c r="S183">
        <v>4219.49</v>
      </c>
      <c r="T183" t="str">
        <f>PROPER(TRIM([1]raw_orders!T183))</f>
        <v>Paid</v>
      </c>
      <c r="U183" t="str">
        <f>PROPER(TRIM([1]raw_orders!U183))</f>
        <v>Completed</v>
      </c>
      <c r="V183" s="6">
        <f t="shared" si="16"/>
        <v>0.41344039663720628</v>
      </c>
      <c r="W183" t="str">
        <f t="shared" si="17"/>
        <v>September</v>
      </c>
      <c r="X183">
        <f t="shared" si="18"/>
        <v>2025</v>
      </c>
      <c r="Y183">
        <f t="shared" si="19"/>
        <v>30</v>
      </c>
      <c r="Z183" s="7">
        <f t="shared" si="20"/>
        <v>0</v>
      </c>
      <c r="AA183">
        <f t="shared" si="21"/>
        <v>10205.799999999999</v>
      </c>
      <c r="AB183">
        <f t="shared" si="22"/>
        <v>4219.4899999999989</v>
      </c>
      <c r="AC183" t="str">
        <f t="shared" si="23"/>
        <v>Clean</v>
      </c>
    </row>
    <row r="184" spans="1:29">
      <c r="A184" t="s">
        <v>597</v>
      </c>
      <c r="B184" s="4">
        <v>45581</v>
      </c>
      <c r="C184" s="4">
        <v>45581</v>
      </c>
      <c r="D184" t="s">
        <v>598</v>
      </c>
      <c r="E184" t="str">
        <f>PROPER(TRIM([1]raw_orders!E184))</f>
        <v>Ananya Rao</v>
      </c>
      <c r="F184" t="str">
        <f>PROPER(TRIM([1]raw_orders!F184))</f>
        <v>Home Office</v>
      </c>
      <c r="G184" t="str">
        <f>IF('[1]Cleaned Text Field'!G184="","Unknown",'[1]Cleaned Text Field'!G184)</f>
        <v>East</v>
      </c>
      <c r="H184" t="str">
        <f>PROPER(TRIM([1]raw_orders!H184))</f>
        <v>Bihar</v>
      </c>
      <c r="I184" t="str">
        <f>PROPER(TRIM([1]raw_orders!I184))</f>
        <v>Patna</v>
      </c>
      <c r="J184" t="str">
        <f>PROPER(TRIM([1]raw_orders!J184))</f>
        <v>Technology</v>
      </c>
      <c r="K184" t="str">
        <f>PROPER(TRIM([1]raw_orders!K184))</f>
        <v>Machines</v>
      </c>
      <c r="L184" t="s">
        <v>599</v>
      </c>
      <c r="M184" t="str">
        <f>IF('[1]Cleaned Text Field'!M184="","Unknown",'[1]Cleaned Text Field'!M184)</f>
        <v>Standard Class</v>
      </c>
      <c r="N184">
        <f>IF('[1]Cleaned Text Field'!N184="",0,'[1]Cleaned Text Field'!N184)</f>
        <v>7</v>
      </c>
      <c r="O184">
        <v>775.77</v>
      </c>
      <c r="P184" s="5">
        <f>IF('[1]Cleaned Text Field'!P184="",0,'[1]Cleaned Text Field'!P184)</f>
        <v>0</v>
      </c>
      <c r="Q184">
        <v>5430.39</v>
      </c>
      <c r="R184">
        <v>3707.66</v>
      </c>
      <c r="S184">
        <v>1722.73</v>
      </c>
      <c r="T184" t="str">
        <f>PROPER(TRIM([1]raw_orders!T184))</f>
        <v>Paid</v>
      </c>
      <c r="U184" t="str">
        <f>PROPER(TRIM([1]raw_orders!U184))</f>
        <v>Completed</v>
      </c>
      <c r="V184" s="6">
        <f t="shared" si="16"/>
        <v>0.31723872502711592</v>
      </c>
      <c r="W184" t="str">
        <f t="shared" si="17"/>
        <v>October</v>
      </c>
      <c r="X184">
        <f t="shared" si="18"/>
        <v>2024</v>
      </c>
      <c r="Y184">
        <f t="shared" si="19"/>
        <v>0</v>
      </c>
      <c r="Z184" s="7">
        <f t="shared" si="20"/>
        <v>0</v>
      </c>
      <c r="AA184">
        <f t="shared" si="21"/>
        <v>5430.3899999999994</v>
      </c>
      <c r="AB184">
        <f t="shared" si="22"/>
        <v>1722.7300000000005</v>
      </c>
      <c r="AC184" t="str">
        <f t="shared" si="23"/>
        <v>Clean</v>
      </c>
    </row>
    <row r="185" spans="1:29">
      <c r="A185" t="s">
        <v>600</v>
      </c>
      <c r="B185" s="4">
        <v>45832</v>
      </c>
      <c r="C185" s="4">
        <v>45835</v>
      </c>
      <c r="D185" t="s">
        <v>601</v>
      </c>
      <c r="E185" t="str">
        <f>PROPER(TRIM([1]raw_orders!E185))</f>
        <v>Vikram Iyer</v>
      </c>
      <c r="F185" t="str">
        <f>PROPER(TRIM([1]raw_orders!F185))</f>
        <v>Home Office</v>
      </c>
      <c r="G185" t="str">
        <f>IF('[1]Cleaned Text Field'!G185="","Unknown",'[1]Cleaned Text Field'!G185)</f>
        <v>South</v>
      </c>
      <c r="H185" t="str">
        <f>PROPER(TRIM([1]raw_orders!H185))</f>
        <v>Telangana</v>
      </c>
      <c r="I185" t="str">
        <f>PROPER(TRIM([1]raw_orders!I185))</f>
        <v>Hyderabad</v>
      </c>
      <c r="J185" t="str">
        <f>PROPER(TRIM([1]raw_orders!J185))</f>
        <v>Technology</v>
      </c>
      <c r="K185" t="str">
        <f>PROPER(TRIM([1]raw_orders!K185))</f>
        <v>Copiers</v>
      </c>
      <c r="L185" t="s">
        <v>602</v>
      </c>
      <c r="M185" t="str">
        <f>IF('[1]Cleaned Text Field'!M185="","Unknown",'[1]Cleaned Text Field'!M185)</f>
        <v>Standard Class</v>
      </c>
      <c r="N185">
        <f>IF('[1]Cleaned Text Field'!N185="",0,'[1]Cleaned Text Field'!N185)</f>
        <v>7</v>
      </c>
      <c r="O185">
        <v>2304.86</v>
      </c>
      <c r="P185" s="5">
        <f>IF('[1]Cleaned Text Field'!P185="",0,'[1]Cleaned Text Field'!P185)</f>
        <v>0.2</v>
      </c>
      <c r="Q185">
        <v>12907.22</v>
      </c>
      <c r="R185">
        <v>8327.89</v>
      </c>
      <c r="S185">
        <v>4579.33</v>
      </c>
      <c r="T185" t="str">
        <f>PROPER(TRIM([1]raw_orders!T185))</f>
        <v>Paid</v>
      </c>
      <c r="U185" t="str">
        <f>PROPER(TRIM([1]raw_orders!U185))</f>
        <v>Returned</v>
      </c>
      <c r="V185" s="6">
        <f t="shared" si="16"/>
        <v>0.35478825029712052</v>
      </c>
      <c r="W185" t="str">
        <f t="shared" si="17"/>
        <v>June</v>
      </c>
      <c r="X185">
        <f t="shared" si="18"/>
        <v>2025</v>
      </c>
      <c r="Y185">
        <f t="shared" si="19"/>
        <v>3</v>
      </c>
      <c r="Z185" s="7">
        <f t="shared" si="20"/>
        <v>0.2</v>
      </c>
      <c r="AA185">
        <f t="shared" si="21"/>
        <v>12907.216</v>
      </c>
      <c r="AB185">
        <f t="shared" si="22"/>
        <v>4579.33</v>
      </c>
      <c r="AC185" t="str">
        <f t="shared" si="23"/>
        <v>Clean</v>
      </c>
    </row>
    <row r="186" spans="1:29">
      <c r="A186" t="s">
        <v>603</v>
      </c>
      <c r="B186" s="4">
        <v>45384</v>
      </c>
      <c r="C186" s="4">
        <v>45388</v>
      </c>
      <c r="D186" t="s">
        <v>604</v>
      </c>
      <c r="E186" t="str">
        <f>PROPER(TRIM([1]raw_orders!E186))</f>
        <v>Vikram Iyer</v>
      </c>
      <c r="F186" t="str">
        <f>PROPER(TRIM([1]raw_orders!F186))</f>
        <v>Corporate</v>
      </c>
      <c r="G186" t="str">
        <f>IF('[1]Cleaned Text Field'!G186="","Unknown",'[1]Cleaned Text Field'!G186)</f>
        <v>West</v>
      </c>
      <c r="H186" t="str">
        <f>PROPER(TRIM([1]raw_orders!H186))</f>
        <v>Madhya Pradesh</v>
      </c>
      <c r="I186" t="str">
        <f>PROPER(TRIM([1]raw_orders!I186))</f>
        <v>Indore</v>
      </c>
      <c r="J186" t="str">
        <f>PROPER(TRIM([1]raw_orders!J186))</f>
        <v>Furniture</v>
      </c>
      <c r="K186" t="str">
        <f>PROPER(TRIM([1]raw_orders!K186))</f>
        <v>Bookcases</v>
      </c>
      <c r="L186" t="s">
        <v>605</v>
      </c>
      <c r="M186" t="str">
        <f>IF('[1]Cleaned Text Field'!M186="","Unknown",'[1]Cleaned Text Field'!M186)</f>
        <v>Standard Class</v>
      </c>
      <c r="N186">
        <f>IF('[1]Cleaned Text Field'!N186="",0,'[1]Cleaned Text Field'!N186)</f>
        <v>2</v>
      </c>
      <c r="O186">
        <v>888.98</v>
      </c>
      <c r="P186" s="5">
        <f>IF('[1]Cleaned Text Field'!P186="",0,'[1]Cleaned Text Field'!P186)</f>
        <v>0</v>
      </c>
      <c r="Q186">
        <v>1777.96</v>
      </c>
      <c r="R186">
        <v>1021.16</v>
      </c>
      <c r="S186">
        <v>756.8</v>
      </c>
      <c r="T186" t="str">
        <f>PROPER(TRIM([1]raw_orders!T186))</f>
        <v>Refunded</v>
      </c>
      <c r="U186" t="str">
        <f>PROPER(TRIM([1]raw_orders!U186))</f>
        <v>Returned</v>
      </c>
      <c r="V186" s="6">
        <f t="shared" si="16"/>
        <v>0.42565637022205222</v>
      </c>
      <c r="W186" t="str">
        <f t="shared" si="17"/>
        <v>April</v>
      </c>
      <c r="X186">
        <f t="shared" si="18"/>
        <v>2024</v>
      </c>
      <c r="Y186">
        <f t="shared" si="19"/>
        <v>4</v>
      </c>
      <c r="Z186" s="7">
        <f t="shared" si="20"/>
        <v>0</v>
      </c>
      <c r="AA186">
        <f t="shared" si="21"/>
        <v>1777.96</v>
      </c>
      <c r="AB186">
        <f t="shared" si="22"/>
        <v>756.80000000000007</v>
      </c>
      <c r="AC186" t="str">
        <f t="shared" si="23"/>
        <v>Clean</v>
      </c>
    </row>
    <row r="187" spans="1:29">
      <c r="A187" t="s">
        <v>606</v>
      </c>
      <c r="B187" s="4">
        <v>45601</v>
      </c>
      <c r="C187" s="4">
        <v>45609</v>
      </c>
      <c r="D187" t="s">
        <v>607</v>
      </c>
      <c r="E187" t="str">
        <f>PROPER(TRIM([1]raw_orders!E187))</f>
        <v>Arjun Bose</v>
      </c>
      <c r="F187" t="str">
        <f>PROPER(TRIM([1]raw_orders!F187))</f>
        <v>Consumer</v>
      </c>
      <c r="G187" t="str">
        <f>IF('[1]Cleaned Text Field'!G187="","Unknown",'[1]Cleaned Text Field'!G187)</f>
        <v>Unknown</v>
      </c>
      <c r="H187" t="str">
        <f>PROPER(TRIM([1]raw_orders!H187))</f>
        <v>Punjab</v>
      </c>
      <c r="I187" t="str">
        <f>PROPER(TRIM([1]raw_orders!I187))</f>
        <v>Ludhiana</v>
      </c>
      <c r="J187" t="str">
        <f>PROPER(TRIM([1]raw_orders!J187))</f>
        <v>Office Supplies</v>
      </c>
      <c r="K187" t="str">
        <f>PROPER(TRIM([1]raw_orders!K187))</f>
        <v>Labels</v>
      </c>
      <c r="L187" t="s">
        <v>608</v>
      </c>
      <c r="M187" t="str">
        <f>IF('[1]Cleaned Text Field'!M187="","Unknown",'[1]Cleaned Text Field'!M187)</f>
        <v>Second Class</v>
      </c>
      <c r="N187">
        <f>IF('[1]Cleaned Text Field'!N187="",0,'[1]Cleaned Text Field'!N187)</f>
        <v>2</v>
      </c>
      <c r="O187">
        <v>1003.17</v>
      </c>
      <c r="P187" s="5">
        <f>IF('[1]Cleaned Text Field'!P187="",0,'[1]Cleaned Text Field'!P187)</f>
        <v>0.2</v>
      </c>
      <c r="Q187">
        <v>1605.07</v>
      </c>
      <c r="R187">
        <v>1337.28</v>
      </c>
      <c r="S187">
        <v>267.79000000000002</v>
      </c>
      <c r="T187" t="str">
        <f>PROPER(TRIM([1]raw_orders!T187))</f>
        <v>Paid</v>
      </c>
      <c r="U187" t="str">
        <f>PROPER(TRIM([1]raw_orders!U187))</f>
        <v>Completed</v>
      </c>
      <c r="V187" s="6">
        <f t="shared" si="16"/>
        <v>0.16684007551072541</v>
      </c>
      <c r="W187" t="str">
        <f t="shared" si="17"/>
        <v>November</v>
      </c>
      <c r="X187">
        <f t="shared" si="18"/>
        <v>2024</v>
      </c>
      <c r="Y187">
        <f t="shared" si="19"/>
        <v>8</v>
      </c>
      <c r="Z187" s="7">
        <f t="shared" si="20"/>
        <v>0.2</v>
      </c>
      <c r="AA187">
        <f t="shared" si="21"/>
        <v>1605.0720000000001</v>
      </c>
      <c r="AB187">
        <f t="shared" si="22"/>
        <v>267.78999999999996</v>
      </c>
      <c r="AC187" t="str">
        <f t="shared" si="23"/>
        <v>Clean</v>
      </c>
    </row>
    <row r="188" spans="1:29">
      <c r="A188" t="s">
        <v>609</v>
      </c>
      <c r="B188" s="4">
        <v>45492</v>
      </c>
      <c r="C188" s="4">
        <v>45493</v>
      </c>
      <c r="D188" t="s">
        <v>210</v>
      </c>
      <c r="E188" t="str">
        <f>PROPER(TRIM([1]raw_orders!E188))</f>
        <v>Vikram Iyer</v>
      </c>
      <c r="F188" t="str">
        <f>PROPER(TRIM([1]raw_orders!F188))</f>
        <v>Consumer</v>
      </c>
      <c r="G188" t="str">
        <f>IF('[1]Cleaned Text Field'!G188="","Unknown",'[1]Cleaned Text Field'!G188)</f>
        <v>South</v>
      </c>
      <c r="H188" t="str">
        <f>PROPER(TRIM([1]raw_orders!H188))</f>
        <v>Tamil Nadu</v>
      </c>
      <c r="I188" t="str">
        <f>PROPER(TRIM([1]raw_orders!I188))</f>
        <v>Chennai</v>
      </c>
      <c r="J188" t="str">
        <f>PROPER(TRIM([1]raw_orders!J188))</f>
        <v>Furniture</v>
      </c>
      <c r="K188" t="str">
        <f>PROPER(TRIM([1]raw_orders!K188))</f>
        <v>Tables</v>
      </c>
      <c r="L188" t="s">
        <v>610</v>
      </c>
      <c r="M188" t="str">
        <f>IF('[1]Cleaned Text Field'!M188="","Unknown",'[1]Cleaned Text Field'!M188)</f>
        <v>First Class</v>
      </c>
      <c r="N188">
        <f>IF('[1]Cleaned Text Field'!N188="",0,'[1]Cleaned Text Field'!N188)</f>
        <v>7</v>
      </c>
      <c r="O188">
        <v>3608.43</v>
      </c>
      <c r="P188" s="5">
        <f>IF('[1]Cleaned Text Field'!P188="",0,'[1]Cleaned Text Field'!P188)</f>
        <v>0.05</v>
      </c>
      <c r="Q188">
        <v>23996.06</v>
      </c>
      <c r="R188">
        <v>20167.28</v>
      </c>
      <c r="S188">
        <v>3828.78</v>
      </c>
      <c r="T188" t="str">
        <f>PROPER(TRIM([1]raw_orders!T188))</f>
        <v>Paid</v>
      </c>
      <c r="U188" t="str">
        <f>PROPER(TRIM([1]raw_orders!U188))</f>
        <v>Completed</v>
      </c>
      <c r="V188" s="6">
        <f t="shared" si="16"/>
        <v>0.15955869421896762</v>
      </c>
      <c r="W188" t="str">
        <f t="shared" si="17"/>
        <v>July</v>
      </c>
      <c r="X188">
        <f t="shared" si="18"/>
        <v>2024</v>
      </c>
      <c r="Y188">
        <f t="shared" si="19"/>
        <v>1</v>
      </c>
      <c r="Z188" s="7">
        <f t="shared" si="20"/>
        <v>0.05</v>
      </c>
      <c r="AA188">
        <f t="shared" si="21"/>
        <v>23996.059499999996</v>
      </c>
      <c r="AB188">
        <f t="shared" si="22"/>
        <v>3828.7800000000025</v>
      </c>
      <c r="AC188" t="str">
        <f t="shared" si="23"/>
        <v>Clean</v>
      </c>
    </row>
    <row r="189" spans="1:29">
      <c r="A189" t="s">
        <v>611</v>
      </c>
      <c r="B189" s="4">
        <v>45778</v>
      </c>
      <c r="C189" s="4">
        <v>45779</v>
      </c>
      <c r="D189" t="s">
        <v>612</v>
      </c>
      <c r="E189" t="str">
        <f>PROPER(TRIM([1]raw_orders!E189))</f>
        <v>Mira Das</v>
      </c>
      <c r="F189" t="str">
        <f>PROPER(TRIM([1]raw_orders!F189))</f>
        <v>Consumer</v>
      </c>
      <c r="G189" t="str">
        <f>IF('[1]Cleaned Text Field'!G189="","Unknown",'[1]Cleaned Text Field'!G189)</f>
        <v>West</v>
      </c>
      <c r="H189" t="str">
        <f>PROPER(TRIM([1]raw_orders!H189))</f>
        <v>Madhya Pradesh</v>
      </c>
      <c r="I189" t="str">
        <f>PROPER(TRIM([1]raw_orders!I189))</f>
        <v>Indore</v>
      </c>
      <c r="J189" t="str">
        <f>PROPER(TRIM([1]raw_orders!J189))</f>
        <v>Furniture</v>
      </c>
      <c r="K189" t="str">
        <f>PROPER(TRIM([1]raw_orders!K189))</f>
        <v>Chairs</v>
      </c>
      <c r="L189" t="s">
        <v>613</v>
      </c>
      <c r="M189" t="str">
        <f>IF('[1]Cleaned Text Field'!M189="","Unknown",'[1]Cleaned Text Field'!M189)</f>
        <v>Same Day</v>
      </c>
      <c r="N189">
        <f>IF('[1]Cleaned Text Field'!N189="",0,'[1]Cleaned Text Field'!N189)</f>
        <v>3</v>
      </c>
      <c r="O189">
        <v>2905.74</v>
      </c>
      <c r="P189" s="5">
        <f>IF('[1]Cleaned Text Field'!P189="",0,'[1]Cleaned Text Field'!P189)</f>
        <v>0</v>
      </c>
      <c r="Q189">
        <v>8717.2199999999993</v>
      </c>
      <c r="R189">
        <v>6215.96</v>
      </c>
      <c r="S189">
        <v>2501.2600000000002</v>
      </c>
      <c r="T189" t="str">
        <f>PROPER(TRIM([1]raw_orders!T189))</f>
        <v>Paid</v>
      </c>
      <c r="U189" t="str">
        <f>PROPER(TRIM([1]raw_orders!U189))</f>
        <v>Returned</v>
      </c>
      <c r="V189" s="6">
        <f t="shared" si="16"/>
        <v>0.28693321953558593</v>
      </c>
      <c r="W189" t="str">
        <f t="shared" si="17"/>
        <v>May</v>
      </c>
      <c r="X189">
        <f t="shared" si="18"/>
        <v>2025</v>
      </c>
      <c r="Y189">
        <f t="shared" si="19"/>
        <v>1</v>
      </c>
      <c r="Z189" s="7">
        <f t="shared" si="20"/>
        <v>0</v>
      </c>
      <c r="AA189">
        <f t="shared" si="21"/>
        <v>8717.2199999999993</v>
      </c>
      <c r="AB189">
        <f t="shared" si="22"/>
        <v>2501.2599999999993</v>
      </c>
      <c r="AC189" t="str">
        <f t="shared" si="23"/>
        <v>Clean</v>
      </c>
    </row>
    <row r="190" spans="1:29">
      <c r="A190" t="s">
        <v>614</v>
      </c>
      <c r="B190" s="4">
        <v>45798</v>
      </c>
      <c r="C190" s="4">
        <v>45805</v>
      </c>
      <c r="D190" t="s">
        <v>615</v>
      </c>
      <c r="E190" t="str">
        <f>PROPER(TRIM([1]raw_orders!E190))</f>
        <v>Priya Menon</v>
      </c>
      <c r="F190" t="str">
        <f>PROPER(TRIM([1]raw_orders!F190))</f>
        <v>Corporate</v>
      </c>
      <c r="G190" t="str">
        <f>IF('[1]Cleaned Text Field'!G190="","Unknown",'[1]Cleaned Text Field'!G190)</f>
        <v>East</v>
      </c>
      <c r="H190" t="str">
        <f>PROPER(TRIM([1]raw_orders!H190))</f>
        <v>West Bengal</v>
      </c>
      <c r="I190" t="str">
        <f>PROPER(TRIM([1]raw_orders!I190))</f>
        <v>Kolkata</v>
      </c>
      <c r="J190" t="str">
        <f>PROPER(TRIM([1]raw_orders!J190))</f>
        <v>Furniture</v>
      </c>
      <c r="K190" t="str">
        <f>PROPER(TRIM([1]raw_orders!K190))</f>
        <v>Bookcases</v>
      </c>
      <c r="L190" t="s">
        <v>616</v>
      </c>
      <c r="M190" t="str">
        <f>IF('[1]Cleaned Text Field'!M190="","Unknown",'[1]Cleaned Text Field'!M190)</f>
        <v>Same Day</v>
      </c>
      <c r="N190">
        <f>IF('[1]Cleaned Text Field'!N190="",0,'[1]Cleaned Text Field'!N190)</f>
        <v>2</v>
      </c>
      <c r="O190">
        <v>3559.57</v>
      </c>
      <c r="P190" s="5">
        <f>IF('[1]Cleaned Text Field'!P190="",0,'[1]Cleaned Text Field'!P190)</f>
        <v>0.1</v>
      </c>
      <c r="Q190">
        <v>6553.95</v>
      </c>
      <c r="R190">
        <v>4923.09</v>
      </c>
      <c r="S190">
        <v>1484.14</v>
      </c>
      <c r="T190" t="str">
        <f>PROPER(TRIM([1]raw_orders!T190))</f>
        <v>Paid</v>
      </c>
      <c r="U190" t="str">
        <f>PROPER(TRIM([1]raw_orders!U190))</f>
        <v>Completed</v>
      </c>
      <c r="V190" s="6">
        <f t="shared" si="16"/>
        <v>0.22644969827356023</v>
      </c>
      <c r="W190" t="str">
        <f t="shared" si="17"/>
        <v>May</v>
      </c>
      <c r="X190">
        <f t="shared" si="18"/>
        <v>2025</v>
      </c>
      <c r="Y190">
        <f t="shared" si="19"/>
        <v>7</v>
      </c>
      <c r="Z190" s="7">
        <f t="shared" si="20"/>
        <v>0.1</v>
      </c>
      <c r="AA190">
        <f t="shared" si="21"/>
        <v>6407.2260000000006</v>
      </c>
      <c r="AB190">
        <f t="shared" si="22"/>
        <v>1630.8599999999997</v>
      </c>
      <c r="AC190" t="str">
        <f t="shared" si="23"/>
        <v>Clean</v>
      </c>
    </row>
    <row r="191" spans="1:29">
      <c r="A191" t="s">
        <v>617</v>
      </c>
      <c r="B191" s="4">
        <v>45783</v>
      </c>
      <c r="C191" s="4">
        <v>45784</v>
      </c>
      <c r="D191" t="s">
        <v>618</v>
      </c>
      <c r="E191" t="str">
        <f>PROPER(TRIM([1]raw_orders!E191))</f>
        <v>Arjun Bose</v>
      </c>
      <c r="F191" t="str">
        <f>PROPER(TRIM([1]raw_orders!F191))</f>
        <v>Consumer</v>
      </c>
      <c r="G191" t="str">
        <f>IF('[1]Cleaned Text Field'!G191="","Unknown",'[1]Cleaned Text Field'!G191)</f>
        <v>West</v>
      </c>
      <c r="H191" t="str">
        <f>PROPER(TRIM([1]raw_orders!H191))</f>
        <v>Rajasthan</v>
      </c>
      <c r="I191" t="str">
        <f>PROPER(TRIM([1]raw_orders!I191))</f>
        <v>Udaipur</v>
      </c>
      <c r="J191" t="str">
        <f>PROPER(TRIM([1]raw_orders!J191))</f>
        <v>Furniture</v>
      </c>
      <c r="K191" t="str">
        <f>PROPER(TRIM([1]raw_orders!K191))</f>
        <v>Bookcases</v>
      </c>
      <c r="L191" t="s">
        <v>619</v>
      </c>
      <c r="M191" t="str">
        <f>IF('[1]Cleaned Text Field'!M191="","Unknown",'[1]Cleaned Text Field'!M191)</f>
        <v>First Class</v>
      </c>
      <c r="N191">
        <f>IF('[1]Cleaned Text Field'!N191="",0,'[1]Cleaned Text Field'!N191)</f>
        <v>9</v>
      </c>
      <c r="O191">
        <v>3318.24</v>
      </c>
      <c r="P191" s="5">
        <f>IF('[1]Cleaned Text Field'!P191="",0,'[1]Cleaned Text Field'!P191)</f>
        <v>0</v>
      </c>
      <c r="Q191">
        <v>25384.54</v>
      </c>
      <c r="R191">
        <v>16872.39</v>
      </c>
      <c r="S191">
        <v>8512.15</v>
      </c>
      <c r="T191" t="str">
        <f>PROPER(TRIM([1]raw_orders!T191))</f>
        <v>Paid</v>
      </c>
      <c r="U191" t="str">
        <f>PROPER(TRIM([1]raw_orders!U191))</f>
        <v>Completed</v>
      </c>
      <c r="V191" s="6">
        <f t="shared" si="16"/>
        <v>0.33532811703501419</v>
      </c>
      <c r="W191" t="str">
        <f t="shared" si="17"/>
        <v>May</v>
      </c>
      <c r="X191">
        <f t="shared" si="18"/>
        <v>2025</v>
      </c>
      <c r="Y191">
        <f t="shared" si="19"/>
        <v>1</v>
      </c>
      <c r="Z191" s="7">
        <f t="shared" si="20"/>
        <v>0</v>
      </c>
      <c r="AA191">
        <f t="shared" si="21"/>
        <v>29864.159999999996</v>
      </c>
      <c r="AB191">
        <f t="shared" si="22"/>
        <v>8512.1500000000015</v>
      </c>
      <c r="AC191" t="str">
        <f t="shared" si="23"/>
        <v>Clean</v>
      </c>
    </row>
    <row r="192" spans="1:29">
      <c r="A192" t="s">
        <v>620</v>
      </c>
      <c r="B192" s="4">
        <v>45767</v>
      </c>
      <c r="C192" s="4">
        <v>45768</v>
      </c>
      <c r="D192" t="s">
        <v>621</v>
      </c>
      <c r="E192" t="str">
        <f>PROPER(TRIM([1]raw_orders!E192))</f>
        <v>Aditi Sen</v>
      </c>
      <c r="F192" t="str">
        <f>PROPER(TRIM([1]raw_orders!F192))</f>
        <v>Consumer</v>
      </c>
      <c r="G192" t="str">
        <f>IF('[1]Cleaned Text Field'!G192="","Unknown",'[1]Cleaned Text Field'!G192)</f>
        <v>South</v>
      </c>
      <c r="H192" t="str">
        <f>PROPER(TRIM([1]raw_orders!H192))</f>
        <v>Tamil Nadu</v>
      </c>
      <c r="I192" t="str">
        <f>PROPER(TRIM([1]raw_orders!I192))</f>
        <v>Chennai</v>
      </c>
      <c r="J192" t="str">
        <f>PROPER(TRIM([1]raw_orders!J192))</f>
        <v>Office Supplies</v>
      </c>
      <c r="K192" t="str">
        <f>PROPER(TRIM([1]raw_orders!K192))</f>
        <v>Storage</v>
      </c>
      <c r="L192" t="s">
        <v>622</v>
      </c>
      <c r="M192" t="str">
        <f>IF('[1]Cleaned Text Field'!M192="","Unknown",'[1]Cleaned Text Field'!M192)</f>
        <v>First Class</v>
      </c>
      <c r="N192">
        <f>IF('[1]Cleaned Text Field'!N192="",0,'[1]Cleaned Text Field'!N192)</f>
        <v>3</v>
      </c>
      <c r="O192">
        <v>540.09</v>
      </c>
      <c r="P192" s="5">
        <f>IF('[1]Cleaned Text Field'!P192="",0,'[1]Cleaned Text Field'!P192)</f>
        <v>0.1</v>
      </c>
      <c r="Q192">
        <v>1458.24</v>
      </c>
      <c r="R192">
        <v>943.32</v>
      </c>
      <c r="S192">
        <v>514.91999999999996</v>
      </c>
      <c r="T192" t="str">
        <f>PROPER(TRIM([1]raw_orders!T192))</f>
        <v>Paid</v>
      </c>
      <c r="U192" t="str">
        <f>PROPER(TRIM([1]raw_orders!U192))</f>
        <v>Completed</v>
      </c>
      <c r="V192" s="6">
        <f t="shared" si="16"/>
        <v>0.35311059907834097</v>
      </c>
      <c r="W192" t="str">
        <f t="shared" si="17"/>
        <v>April</v>
      </c>
      <c r="X192">
        <f t="shared" si="18"/>
        <v>2025</v>
      </c>
      <c r="Y192">
        <f t="shared" si="19"/>
        <v>1</v>
      </c>
      <c r="Z192" s="7">
        <f t="shared" si="20"/>
        <v>0.1</v>
      </c>
      <c r="AA192">
        <f t="shared" si="21"/>
        <v>1458.2429999999999</v>
      </c>
      <c r="AB192">
        <f t="shared" si="22"/>
        <v>514.91999999999996</v>
      </c>
      <c r="AC192" t="str">
        <f t="shared" si="23"/>
        <v>Clean</v>
      </c>
    </row>
    <row r="193" spans="1:29">
      <c r="A193" t="s">
        <v>623</v>
      </c>
      <c r="B193" s="4">
        <v>45584</v>
      </c>
      <c r="C193" s="4">
        <v>45589</v>
      </c>
      <c r="D193" t="s">
        <v>624</v>
      </c>
      <c r="E193" t="str">
        <f>PROPER(TRIM([1]raw_orders!E193))</f>
        <v>Sneha Kapoor</v>
      </c>
      <c r="F193" t="str">
        <f>PROPER(TRIM([1]raw_orders!F193))</f>
        <v>Small Business</v>
      </c>
      <c r="G193" t="str">
        <f>IF('[1]Cleaned Text Field'!G193="","Unknown",'[1]Cleaned Text Field'!G193)</f>
        <v>South</v>
      </c>
      <c r="H193" t="str">
        <f>PROPER(TRIM([1]raw_orders!H193))</f>
        <v>Tamil Nadu</v>
      </c>
      <c r="I193" t="str">
        <f>PROPER(TRIM([1]raw_orders!I193))</f>
        <v>Chennai</v>
      </c>
      <c r="J193" t="str">
        <f>PROPER(TRIM([1]raw_orders!J193))</f>
        <v>Furniture</v>
      </c>
      <c r="K193" t="str">
        <f>PROPER(TRIM([1]raw_orders!K193))</f>
        <v>Bookcases</v>
      </c>
      <c r="L193" t="s">
        <v>625</v>
      </c>
      <c r="M193" t="str">
        <f>IF('[1]Cleaned Text Field'!M193="","Unknown",'[1]Cleaned Text Field'!M193)</f>
        <v>Second Class</v>
      </c>
      <c r="N193">
        <f>IF('[1]Cleaned Text Field'!N193="",0,'[1]Cleaned Text Field'!N193)</f>
        <v>6</v>
      </c>
      <c r="O193">
        <v>4308.3999999999996</v>
      </c>
      <c r="P193" s="5">
        <f>IF('[1]Cleaned Text Field'!P193="",0,'[1]Cleaned Text Field'!P193)</f>
        <v>0.65</v>
      </c>
      <c r="Q193">
        <v>25850.400000000001</v>
      </c>
      <c r="R193">
        <v>19397.68</v>
      </c>
      <c r="S193">
        <v>6452.72</v>
      </c>
      <c r="T193" t="str">
        <f>PROPER(TRIM([1]raw_orders!T193))</f>
        <v>Paid</v>
      </c>
      <c r="U193" t="str">
        <f>PROPER(TRIM([1]raw_orders!U193))</f>
        <v>Completed</v>
      </c>
      <c r="V193" s="6">
        <f t="shared" si="16"/>
        <v>0.24961780088509269</v>
      </c>
      <c r="W193" t="str">
        <f t="shared" si="17"/>
        <v>October</v>
      </c>
      <c r="X193">
        <f t="shared" si="18"/>
        <v>2024</v>
      </c>
      <c r="Y193">
        <f t="shared" si="19"/>
        <v>5</v>
      </c>
      <c r="Z193" s="7">
        <f t="shared" si="20"/>
        <v>0.65</v>
      </c>
      <c r="AA193">
        <f t="shared" si="21"/>
        <v>9047.64</v>
      </c>
      <c r="AB193">
        <f t="shared" si="22"/>
        <v>6452.7200000000012</v>
      </c>
      <c r="AC193" t="str">
        <f t="shared" si="23"/>
        <v>Clean</v>
      </c>
    </row>
    <row r="194" spans="1:29">
      <c r="A194" t="s">
        <v>626</v>
      </c>
      <c r="B194" s="4">
        <v>45635</v>
      </c>
      <c r="C194" s="4">
        <v>45642</v>
      </c>
      <c r="D194" t="s">
        <v>627</v>
      </c>
      <c r="E194" t="str">
        <f>PROPER(TRIM([1]raw_orders!E194))</f>
        <v>Isha Nair</v>
      </c>
      <c r="F194" t="str">
        <f>PROPER(TRIM([1]raw_orders!F194))</f>
        <v>Home Office</v>
      </c>
      <c r="G194" t="str">
        <f>IF('[1]Cleaned Text Field'!G194="","Unknown",'[1]Cleaned Text Field'!G194)</f>
        <v>West</v>
      </c>
      <c r="H194" t="str">
        <f>PROPER(TRIM([1]raw_orders!H194))</f>
        <v>Gujarat</v>
      </c>
      <c r="I194" t="str">
        <f>PROPER(TRIM([1]raw_orders!I194))</f>
        <v>Ahmedabad</v>
      </c>
      <c r="J194" t="str">
        <f>PROPER(TRIM([1]raw_orders!J194))</f>
        <v>Furniture</v>
      </c>
      <c r="K194" t="str">
        <f>PROPER(TRIM([1]raw_orders!K194))</f>
        <v>Chairs</v>
      </c>
      <c r="L194" t="s">
        <v>628</v>
      </c>
      <c r="M194" t="str">
        <f>IF('[1]Cleaned Text Field'!M194="","Unknown",'[1]Cleaned Text Field'!M194)</f>
        <v>First Class</v>
      </c>
      <c r="N194">
        <f>IF('[1]Cleaned Text Field'!N194="",0,'[1]Cleaned Text Field'!N194)</f>
        <v>4</v>
      </c>
      <c r="O194">
        <v>2191.0300000000002</v>
      </c>
      <c r="P194" s="5">
        <f>IF('[1]Cleaned Text Field'!P194="",0,'[1]Cleaned Text Field'!P194)</f>
        <v>0</v>
      </c>
      <c r="Q194">
        <v>8764.1200000000008</v>
      </c>
      <c r="R194">
        <v>7220.05</v>
      </c>
      <c r="S194">
        <v>1544.07</v>
      </c>
      <c r="T194" t="str">
        <f>PROPER(TRIM([1]raw_orders!T194))</f>
        <v>Paid</v>
      </c>
      <c r="U194" t="str">
        <f>PROPER(TRIM([1]raw_orders!U194))</f>
        <v>Completed</v>
      </c>
      <c r="V194" s="6">
        <f t="shared" si="16"/>
        <v>0.17618083732308545</v>
      </c>
      <c r="W194" t="str">
        <f t="shared" si="17"/>
        <v>December</v>
      </c>
      <c r="X194">
        <f t="shared" si="18"/>
        <v>2024</v>
      </c>
      <c r="Y194">
        <f t="shared" si="19"/>
        <v>7</v>
      </c>
      <c r="Z194" s="7">
        <f t="shared" si="20"/>
        <v>0</v>
      </c>
      <c r="AA194">
        <f t="shared" si="21"/>
        <v>8764.1200000000008</v>
      </c>
      <c r="AB194">
        <f t="shared" si="22"/>
        <v>1544.0700000000006</v>
      </c>
      <c r="AC194" t="str">
        <f t="shared" si="23"/>
        <v>Clean</v>
      </c>
    </row>
    <row r="195" spans="1:29">
      <c r="A195" t="s">
        <v>629</v>
      </c>
      <c r="B195" s="4">
        <v>45466</v>
      </c>
      <c r="C195" s="4">
        <v>45471</v>
      </c>
      <c r="D195" t="s">
        <v>630</v>
      </c>
      <c r="E195" t="str">
        <f>PROPER(TRIM([1]raw_orders!E195))</f>
        <v>Priya Menon</v>
      </c>
      <c r="F195" t="str">
        <f>PROPER(TRIM([1]raw_orders!F195))</f>
        <v>Small Business</v>
      </c>
      <c r="G195" t="str">
        <f>IF('[1]Cleaned Text Field'!G195="","Unknown",'[1]Cleaned Text Field'!G195)</f>
        <v>North</v>
      </c>
      <c r="H195" t="str">
        <f>PROPER(TRIM([1]raw_orders!H195))</f>
        <v>Punjab</v>
      </c>
      <c r="I195" t="str">
        <f>PROPER(TRIM([1]raw_orders!I195))</f>
        <v>Ludhiana</v>
      </c>
      <c r="J195" t="str">
        <f>PROPER(TRIM([1]raw_orders!J195))</f>
        <v>Technology</v>
      </c>
      <c r="K195" t="str">
        <f>PROPER(TRIM([1]raw_orders!K195))</f>
        <v>Copiers</v>
      </c>
      <c r="L195" t="s">
        <v>631</v>
      </c>
      <c r="M195" t="str">
        <f>IF('[1]Cleaned Text Field'!M195="","Unknown",'[1]Cleaned Text Field'!M195)</f>
        <v>Same Day</v>
      </c>
      <c r="N195">
        <f>IF('[1]Cleaned Text Field'!N195="",0,'[1]Cleaned Text Field'!N195)</f>
        <v>6</v>
      </c>
      <c r="O195">
        <v>1956.63</v>
      </c>
      <c r="P195" s="5">
        <f>IF('[1]Cleaned Text Field'!P195="",0,'[1]Cleaned Text Field'!P195)</f>
        <v>0.2</v>
      </c>
      <c r="Q195">
        <v>9391.82</v>
      </c>
      <c r="R195">
        <v>6013.22</v>
      </c>
      <c r="S195">
        <v>3378.6</v>
      </c>
      <c r="T195" t="str">
        <f>PROPER(TRIM([1]raw_orders!T195))</f>
        <v>Refunded</v>
      </c>
      <c r="U195" t="str">
        <f>PROPER(TRIM([1]raw_orders!U195))</f>
        <v>Returned</v>
      </c>
      <c r="V195" s="6">
        <f t="shared" ref="V195:V258" si="24">IF(Q195=0,0,S195/Q195)</f>
        <v>0.3597385810205051</v>
      </c>
      <c r="W195" t="str">
        <f t="shared" ref="W195:W258" si="25">TEXT(B195,"mmmm")</f>
        <v>June</v>
      </c>
      <c r="X195">
        <f t="shared" ref="X195:X258" si="26">YEAR(B195)</f>
        <v>2024</v>
      </c>
      <c r="Y195">
        <f t="shared" ref="Y195:Y258" si="27">C195-B195</f>
        <v>5</v>
      </c>
      <c r="Z195" s="7">
        <f t="shared" ref="Z195:Z258" si="28">P195</f>
        <v>0.2</v>
      </c>
      <c r="AA195">
        <f t="shared" ref="AA195:AA258" si="29">N195*O195*(1-P195)</f>
        <v>9391.8240000000005</v>
      </c>
      <c r="AB195">
        <f t="shared" ref="AB195:AB258" si="30">Q195-R195</f>
        <v>3378.5999999999995</v>
      </c>
      <c r="AC195" t="str">
        <f t="shared" ref="AC195:AC258" si="31">IF(OR(B195="",C195="",AA195&lt;=0),"Invalid",IF(Y195&lt;0,"Warning",IF(Z195&gt;100%,"Warning","Clean")))</f>
        <v>Clean</v>
      </c>
    </row>
    <row r="196" spans="1:29">
      <c r="A196" t="s">
        <v>632</v>
      </c>
      <c r="B196" s="4">
        <v>45685</v>
      </c>
      <c r="C196" s="4">
        <v>45688</v>
      </c>
      <c r="D196" t="s">
        <v>633</v>
      </c>
      <c r="E196" t="str">
        <f>PROPER(TRIM([1]raw_orders!E196))</f>
        <v>Priya Menon</v>
      </c>
      <c r="F196" t="str">
        <f>PROPER(TRIM([1]raw_orders!F196))</f>
        <v>Consumer</v>
      </c>
      <c r="G196" t="str">
        <f>IF('[1]Cleaned Text Field'!G196="","Unknown",'[1]Cleaned Text Field'!G196)</f>
        <v>West</v>
      </c>
      <c r="H196" t="str">
        <f>PROPER(TRIM([1]raw_orders!H196))</f>
        <v>Maharashtra</v>
      </c>
      <c r="I196" t="str">
        <f>PROPER(TRIM([1]raw_orders!I196))</f>
        <v>Mumbai</v>
      </c>
      <c r="J196" t="str">
        <f>PROPER(TRIM([1]raw_orders!J196))</f>
        <v>Furniture</v>
      </c>
      <c r="K196" t="str">
        <f>PROPER(TRIM([1]raw_orders!K196))</f>
        <v>Furnishings</v>
      </c>
      <c r="L196" t="s">
        <v>634</v>
      </c>
      <c r="M196" t="str">
        <f>IF('[1]Cleaned Text Field'!M196="","Unknown",'[1]Cleaned Text Field'!M196)</f>
        <v>First Class</v>
      </c>
      <c r="N196">
        <f>IF('[1]Cleaned Text Field'!N196="",0,'[1]Cleaned Text Field'!N196)</f>
        <v>9</v>
      </c>
      <c r="O196">
        <v>858.39</v>
      </c>
      <c r="P196" s="5">
        <f>IF('[1]Cleaned Text Field'!P196="",0,'[1]Cleaned Text Field'!P196)</f>
        <v>0.05</v>
      </c>
      <c r="Q196">
        <v>7339.23</v>
      </c>
      <c r="R196">
        <v>5434.12</v>
      </c>
      <c r="S196">
        <v>1905.11</v>
      </c>
      <c r="T196" t="str">
        <f>PROPER(TRIM([1]raw_orders!T196))</f>
        <v>Pending</v>
      </c>
      <c r="U196" t="str">
        <f>PROPER(TRIM([1]raw_orders!U196))</f>
        <v>Returned</v>
      </c>
      <c r="V196" s="6">
        <f t="shared" si="24"/>
        <v>0.25957900215690199</v>
      </c>
      <c r="W196" t="str">
        <f t="shared" si="25"/>
        <v>January</v>
      </c>
      <c r="X196">
        <f t="shared" si="26"/>
        <v>2025</v>
      </c>
      <c r="Y196">
        <f t="shared" si="27"/>
        <v>3</v>
      </c>
      <c r="Z196" s="7">
        <f t="shared" si="28"/>
        <v>0.05</v>
      </c>
      <c r="AA196">
        <f t="shared" si="29"/>
        <v>7339.2344999999996</v>
      </c>
      <c r="AB196">
        <f t="shared" si="30"/>
        <v>1905.1099999999997</v>
      </c>
      <c r="AC196" t="str">
        <f t="shared" si="31"/>
        <v>Clean</v>
      </c>
    </row>
    <row r="197" spans="1:29">
      <c r="A197" t="s">
        <v>635</v>
      </c>
      <c r="B197" s="4">
        <v>45860</v>
      </c>
      <c r="C197" s="4">
        <v>45862</v>
      </c>
      <c r="D197" t="s">
        <v>636</v>
      </c>
      <c r="E197" t="str">
        <f>PROPER(TRIM([1]raw_orders!E197))</f>
        <v>Neha Gupta</v>
      </c>
      <c r="F197" t="str">
        <f>PROPER(TRIM([1]raw_orders!F197))</f>
        <v>Home Office</v>
      </c>
      <c r="G197" t="str">
        <f>IF('[1]Cleaned Text Field'!G197="","Unknown",'[1]Cleaned Text Field'!G197)</f>
        <v>South</v>
      </c>
      <c r="H197" t="str">
        <f>PROPER(TRIM([1]raw_orders!H197))</f>
        <v>Andhra Pradesh</v>
      </c>
      <c r="I197" t="str">
        <f>PROPER(TRIM([1]raw_orders!I197))</f>
        <v>Vijayawada</v>
      </c>
      <c r="J197" t="str">
        <f>PROPER(TRIM([1]raw_orders!J197))</f>
        <v>Furniture</v>
      </c>
      <c r="K197" t="str">
        <f>PROPER(TRIM([1]raw_orders!K197))</f>
        <v>Furnishings</v>
      </c>
      <c r="L197" t="s">
        <v>637</v>
      </c>
      <c r="M197" t="str">
        <f>IF('[1]Cleaned Text Field'!M197="","Unknown",'[1]Cleaned Text Field'!M197)</f>
        <v>Same Day</v>
      </c>
      <c r="N197">
        <f>IF('[1]Cleaned Text Field'!N197="",0,'[1]Cleaned Text Field'!N197)</f>
        <v>5</v>
      </c>
      <c r="O197">
        <v>1922.83</v>
      </c>
      <c r="P197" s="5">
        <f>IF('[1]Cleaned Text Field'!P197="",0,'[1]Cleaned Text Field'!P197)</f>
        <v>0</v>
      </c>
      <c r="Q197">
        <v>9614.15</v>
      </c>
      <c r="R197">
        <v>7576.84</v>
      </c>
      <c r="S197">
        <v>2037.31</v>
      </c>
      <c r="T197" t="str">
        <f>PROPER(TRIM([1]raw_orders!T197))</f>
        <v>Paid</v>
      </c>
      <c r="U197" t="str">
        <f>PROPER(TRIM([1]raw_orders!U197))</f>
        <v>Completed</v>
      </c>
      <c r="V197" s="6">
        <f t="shared" si="24"/>
        <v>0.21190744891644087</v>
      </c>
      <c r="W197" t="str">
        <f t="shared" si="25"/>
        <v>July</v>
      </c>
      <c r="X197">
        <f t="shared" si="26"/>
        <v>2025</v>
      </c>
      <c r="Y197">
        <f t="shared" si="27"/>
        <v>2</v>
      </c>
      <c r="Z197" s="7">
        <f t="shared" si="28"/>
        <v>0</v>
      </c>
      <c r="AA197">
        <f t="shared" si="29"/>
        <v>9614.15</v>
      </c>
      <c r="AB197">
        <f t="shared" si="30"/>
        <v>2037.3099999999995</v>
      </c>
      <c r="AC197" t="str">
        <f t="shared" si="31"/>
        <v>Clean</v>
      </c>
    </row>
    <row r="198" spans="1:29">
      <c r="A198" t="s">
        <v>638</v>
      </c>
      <c r="B198" s="4">
        <v>45313</v>
      </c>
      <c r="C198" s="4">
        <v>45316</v>
      </c>
      <c r="D198" t="s">
        <v>639</v>
      </c>
      <c r="E198" t="str">
        <f>PROPER(TRIM([1]raw_orders!E198))</f>
        <v>Kabir Singh</v>
      </c>
      <c r="F198" t="str">
        <f>PROPER(TRIM([1]raw_orders!F198))</f>
        <v>Home Office</v>
      </c>
      <c r="G198" t="str">
        <f>IF('[1]Cleaned Text Field'!G198="","Unknown",'[1]Cleaned Text Field'!G198)</f>
        <v>North</v>
      </c>
      <c r="H198" t="str">
        <f>PROPER(TRIM([1]raw_orders!H198))</f>
        <v>Uttar Pradesh</v>
      </c>
      <c r="I198" t="str">
        <f>PROPER(TRIM([1]raw_orders!I198))</f>
        <v>Noida</v>
      </c>
      <c r="J198" t="str">
        <f>PROPER(TRIM([1]raw_orders!J198))</f>
        <v>Office Supplies</v>
      </c>
      <c r="K198" t="str">
        <f>PROPER(TRIM([1]raw_orders!K198))</f>
        <v>Storage</v>
      </c>
      <c r="L198" t="s">
        <v>640</v>
      </c>
      <c r="M198" t="str">
        <f>IF('[1]Cleaned Text Field'!M198="","Unknown",'[1]Cleaned Text Field'!M198)</f>
        <v>First Class</v>
      </c>
      <c r="N198">
        <f>IF('[1]Cleaned Text Field'!N198="",0,'[1]Cleaned Text Field'!N198)</f>
        <v>3</v>
      </c>
      <c r="O198">
        <v>1212.03</v>
      </c>
      <c r="P198" s="5">
        <f>IF('[1]Cleaned Text Field'!P198="",0,'[1]Cleaned Text Field'!P198)</f>
        <v>0.1</v>
      </c>
      <c r="Q198">
        <v>3272.48</v>
      </c>
      <c r="R198">
        <v>2517.44</v>
      </c>
      <c r="S198">
        <v>755.04</v>
      </c>
      <c r="T198" t="str">
        <f>PROPER(TRIM([1]raw_orders!T198))</f>
        <v>Paid</v>
      </c>
      <c r="U198" t="str">
        <f>PROPER(TRIM([1]raw_orders!U198))</f>
        <v>Completed</v>
      </c>
      <c r="V198" s="6">
        <f t="shared" si="24"/>
        <v>0.23072409915415831</v>
      </c>
      <c r="W198" t="str">
        <f t="shared" si="25"/>
        <v>January</v>
      </c>
      <c r="X198">
        <f t="shared" si="26"/>
        <v>2024</v>
      </c>
      <c r="Y198">
        <f t="shared" si="27"/>
        <v>3</v>
      </c>
      <c r="Z198" s="7">
        <f t="shared" si="28"/>
        <v>0.1</v>
      </c>
      <c r="AA198">
        <f t="shared" si="29"/>
        <v>3272.4810000000002</v>
      </c>
      <c r="AB198">
        <f t="shared" si="30"/>
        <v>755.04</v>
      </c>
      <c r="AC198" t="str">
        <f t="shared" si="31"/>
        <v>Clean</v>
      </c>
    </row>
    <row r="199" spans="1:29">
      <c r="A199" t="s">
        <v>641</v>
      </c>
      <c r="B199" s="4">
        <v>45747</v>
      </c>
      <c r="C199" s="4">
        <v>45842</v>
      </c>
      <c r="D199" t="s">
        <v>333</v>
      </c>
      <c r="E199" t="str">
        <f>PROPER(TRIM([1]raw_orders!E199))</f>
        <v>Rahul Verma</v>
      </c>
      <c r="F199" t="str">
        <f>PROPER(TRIM([1]raw_orders!F199))</f>
        <v>Small Business</v>
      </c>
      <c r="G199" t="str">
        <f>IF('[1]Cleaned Text Field'!G199="","Unknown",'[1]Cleaned Text Field'!G199)</f>
        <v>East</v>
      </c>
      <c r="H199" t="str">
        <f>PROPER(TRIM([1]raw_orders!H199))</f>
        <v>Bihar</v>
      </c>
      <c r="I199" t="str">
        <f>PROPER(TRIM([1]raw_orders!I199))</f>
        <v>Patna</v>
      </c>
      <c r="J199" t="str">
        <f>PROPER(TRIM([1]raw_orders!J199))</f>
        <v>Office Supplies</v>
      </c>
      <c r="K199" t="str">
        <f>PROPER(TRIM([1]raw_orders!K199))</f>
        <v>Storage</v>
      </c>
      <c r="L199" t="s">
        <v>642</v>
      </c>
      <c r="M199" t="str">
        <f>IF('[1]Cleaned Text Field'!M199="","Unknown",'[1]Cleaned Text Field'!M199)</f>
        <v>Second Class</v>
      </c>
      <c r="N199">
        <f>IF('[1]Cleaned Text Field'!N199="",0,'[1]Cleaned Text Field'!N199)</f>
        <v>5</v>
      </c>
      <c r="O199">
        <v>4096.4399999999996</v>
      </c>
      <c r="P199" s="5">
        <f>IF('[1]Cleaned Text Field'!P199="",0,'[1]Cleaned Text Field'!P199)</f>
        <v>0.15</v>
      </c>
      <c r="Q199">
        <v>17409.87</v>
      </c>
      <c r="R199">
        <v>14076.25</v>
      </c>
      <c r="S199">
        <v>3333.62</v>
      </c>
      <c r="T199" t="str">
        <f>PROPER(TRIM([1]raw_orders!T199))</f>
        <v>Paid</v>
      </c>
      <c r="U199" t="str">
        <f>PROPER(TRIM([1]raw_orders!U199))</f>
        <v>Completed</v>
      </c>
      <c r="V199" s="6">
        <f t="shared" si="24"/>
        <v>0.19147874165631334</v>
      </c>
      <c r="W199" t="str">
        <f t="shared" si="25"/>
        <v>March</v>
      </c>
      <c r="X199">
        <f t="shared" si="26"/>
        <v>2025</v>
      </c>
      <c r="Y199">
        <f t="shared" si="27"/>
        <v>95</v>
      </c>
      <c r="Z199" s="7">
        <f t="shared" si="28"/>
        <v>0.15</v>
      </c>
      <c r="AA199">
        <f t="shared" si="29"/>
        <v>17409.869999999995</v>
      </c>
      <c r="AB199">
        <f t="shared" si="30"/>
        <v>3333.619999999999</v>
      </c>
      <c r="AC199" t="str">
        <f t="shared" si="31"/>
        <v>Clean</v>
      </c>
    </row>
    <row r="200" spans="1:29">
      <c r="A200" t="s">
        <v>643</v>
      </c>
      <c r="B200" s="4">
        <v>45418</v>
      </c>
      <c r="C200" s="4">
        <v>45449</v>
      </c>
      <c r="D200" t="s">
        <v>644</v>
      </c>
      <c r="E200" t="str">
        <f>PROPER(TRIM([1]raw_orders!E200))</f>
        <v>Sneha Kapoor</v>
      </c>
      <c r="F200" t="str">
        <f>PROPER(TRIM([1]raw_orders!F200))</f>
        <v>Consumer</v>
      </c>
      <c r="G200" t="str">
        <f>IF('[1]Cleaned Text Field'!G200="","Unknown",'[1]Cleaned Text Field'!G200)</f>
        <v>West</v>
      </c>
      <c r="H200" t="str">
        <f>PROPER(TRIM([1]raw_orders!H200))</f>
        <v>Gujarat</v>
      </c>
      <c r="I200" t="str">
        <f>PROPER(TRIM([1]raw_orders!I200))</f>
        <v>Ahmedabad</v>
      </c>
      <c r="J200" t="str">
        <f>PROPER(TRIM([1]raw_orders!J200))</f>
        <v>Office Supplies</v>
      </c>
      <c r="K200" t="str">
        <f>PROPER(TRIM([1]raw_orders!K200))</f>
        <v>Art</v>
      </c>
      <c r="L200" t="s">
        <v>645</v>
      </c>
      <c r="M200" t="str">
        <f>IF('[1]Cleaned Text Field'!M200="","Unknown",'[1]Cleaned Text Field'!M200)</f>
        <v>Second Class</v>
      </c>
      <c r="N200">
        <f>IF('[1]Cleaned Text Field'!N200="",0,'[1]Cleaned Text Field'!N200)</f>
        <v>1</v>
      </c>
      <c r="O200">
        <v>1184.58</v>
      </c>
      <c r="P200" s="5">
        <f>IF('[1]Cleaned Text Field'!P200="",0,'[1]Cleaned Text Field'!P200)</f>
        <v>0.05</v>
      </c>
      <c r="Q200">
        <v>1125.3499999999999</v>
      </c>
      <c r="R200">
        <v>676.97</v>
      </c>
      <c r="S200">
        <v>448.38</v>
      </c>
      <c r="T200" t="str">
        <f>PROPER(TRIM([1]raw_orders!T200))</f>
        <v>Failed</v>
      </c>
      <c r="U200" t="str">
        <f>PROPER(TRIM([1]raw_orders!U200))</f>
        <v>Cancelled</v>
      </c>
      <c r="V200" s="6">
        <f t="shared" si="24"/>
        <v>0.39843604212022932</v>
      </c>
      <c r="W200" t="str">
        <f t="shared" si="25"/>
        <v>May</v>
      </c>
      <c r="X200">
        <f t="shared" si="26"/>
        <v>2024</v>
      </c>
      <c r="Y200">
        <f t="shared" si="27"/>
        <v>31</v>
      </c>
      <c r="Z200" s="7">
        <f t="shared" si="28"/>
        <v>0.05</v>
      </c>
      <c r="AA200">
        <f t="shared" si="29"/>
        <v>1125.3509999999999</v>
      </c>
      <c r="AB200">
        <f t="shared" si="30"/>
        <v>448.37999999999988</v>
      </c>
      <c r="AC200" t="str">
        <f t="shared" si="31"/>
        <v>Clean</v>
      </c>
    </row>
    <row r="201" spans="1:29">
      <c r="A201" t="s">
        <v>646</v>
      </c>
      <c r="B201" s="4">
        <v>45363</v>
      </c>
      <c r="C201" s="4">
        <v>45629</v>
      </c>
      <c r="D201" t="s">
        <v>647</v>
      </c>
      <c r="E201" t="str">
        <f>PROPER(TRIM([1]raw_orders!E201))</f>
        <v>Rahul Verma</v>
      </c>
      <c r="F201" t="str">
        <f>PROPER(TRIM([1]raw_orders!F201))</f>
        <v>Home Office</v>
      </c>
      <c r="G201" t="str">
        <f>IF('[1]Cleaned Text Field'!G201="","Unknown",'[1]Cleaned Text Field'!G201)</f>
        <v>East</v>
      </c>
      <c r="H201" t="str">
        <f>PROPER(TRIM([1]raw_orders!H201))</f>
        <v>Bihar</v>
      </c>
      <c r="I201" t="str">
        <f>PROPER(TRIM([1]raw_orders!I201))</f>
        <v>Patna</v>
      </c>
      <c r="J201" t="str">
        <f>PROPER(TRIM([1]raw_orders!J201))</f>
        <v>Technology</v>
      </c>
      <c r="K201" t="str">
        <f>PROPER(TRIM([1]raw_orders!K201))</f>
        <v>Machines</v>
      </c>
      <c r="L201" t="s">
        <v>648</v>
      </c>
      <c r="M201" t="str">
        <f>IF('[1]Cleaned Text Field'!M201="","Unknown",'[1]Cleaned Text Field'!M201)</f>
        <v>Unknown</v>
      </c>
      <c r="N201">
        <f>IF('[1]Cleaned Text Field'!N201="",0,'[1]Cleaned Text Field'!N201)</f>
        <v>6</v>
      </c>
      <c r="O201">
        <v>2185.58</v>
      </c>
      <c r="P201" s="5">
        <f>IF('[1]Cleaned Text Field'!P201="",0,'[1]Cleaned Text Field'!P201)</f>
        <v>0.25</v>
      </c>
      <c r="Q201">
        <v>9835.11</v>
      </c>
      <c r="R201">
        <v>5437.64</v>
      </c>
      <c r="S201">
        <v>4397.47</v>
      </c>
      <c r="T201" t="str">
        <f>PROPER(TRIM([1]raw_orders!T201))</f>
        <v>Paid</v>
      </c>
      <c r="U201" t="str">
        <f>PROPER(TRIM([1]raw_orders!U201))</f>
        <v>Completed</v>
      </c>
      <c r="V201" s="6">
        <f t="shared" si="24"/>
        <v>0.44711955433136996</v>
      </c>
      <c r="W201" t="str">
        <f t="shared" si="25"/>
        <v>March</v>
      </c>
      <c r="X201">
        <f t="shared" si="26"/>
        <v>2024</v>
      </c>
      <c r="Y201">
        <f t="shared" si="27"/>
        <v>266</v>
      </c>
      <c r="Z201" s="7">
        <f t="shared" si="28"/>
        <v>0.25</v>
      </c>
      <c r="AA201">
        <f t="shared" si="29"/>
        <v>9835.11</v>
      </c>
      <c r="AB201">
        <f t="shared" si="30"/>
        <v>4397.47</v>
      </c>
      <c r="AC201" t="str">
        <f t="shared" si="31"/>
        <v>Clean</v>
      </c>
    </row>
    <row r="202" spans="1:29">
      <c r="A202" t="s">
        <v>649</v>
      </c>
      <c r="B202" s="4">
        <v>45835</v>
      </c>
      <c r="C202" s="4">
        <v>45843</v>
      </c>
      <c r="D202" t="s">
        <v>650</v>
      </c>
      <c r="E202" t="str">
        <f>PROPER(TRIM([1]raw_orders!E202))</f>
        <v>Priya Menon</v>
      </c>
      <c r="F202" t="str">
        <f>PROPER(TRIM([1]raw_orders!F202))</f>
        <v>Small Business</v>
      </c>
      <c r="G202" t="str">
        <f>IF('[1]Cleaned Text Field'!G202="","Unknown",'[1]Cleaned Text Field'!G202)</f>
        <v>North</v>
      </c>
      <c r="H202" t="str">
        <f>PROPER(TRIM([1]raw_orders!H202))</f>
        <v>Rajasthan</v>
      </c>
      <c r="I202" t="str">
        <f>PROPER(TRIM([1]raw_orders!I202))</f>
        <v>Jaipur</v>
      </c>
      <c r="J202" t="str">
        <f>PROPER(TRIM([1]raw_orders!J202))</f>
        <v>Technology</v>
      </c>
      <c r="K202" t="str">
        <f>PROPER(TRIM([1]raw_orders!K202))</f>
        <v>Copiers</v>
      </c>
      <c r="L202" t="s">
        <v>651</v>
      </c>
      <c r="M202" t="str">
        <f>IF('[1]Cleaned Text Field'!M202="","Unknown",'[1]Cleaned Text Field'!M202)</f>
        <v>First Class</v>
      </c>
      <c r="N202">
        <f>IF('[1]Cleaned Text Field'!N202="",0,'[1]Cleaned Text Field'!N202)</f>
        <v>5</v>
      </c>
      <c r="O202">
        <v>2868.44</v>
      </c>
      <c r="P202" s="5">
        <f>IF('[1]Cleaned Text Field'!P202="",0,'[1]Cleaned Text Field'!P202)</f>
        <v>0.1</v>
      </c>
      <c r="Q202">
        <v>12907.98</v>
      </c>
      <c r="R202">
        <v>9197.08</v>
      </c>
      <c r="S202">
        <v>3710.9</v>
      </c>
      <c r="T202" t="str">
        <f>PROPER(TRIM([1]raw_orders!T202))</f>
        <v>Pending</v>
      </c>
      <c r="U202" t="str">
        <f>PROPER(TRIM([1]raw_orders!U202))</f>
        <v>Cancelled</v>
      </c>
      <c r="V202" s="6">
        <f t="shared" si="24"/>
        <v>0.28748882474252363</v>
      </c>
      <c r="W202" t="str">
        <f t="shared" si="25"/>
        <v>June</v>
      </c>
      <c r="X202">
        <f t="shared" si="26"/>
        <v>2025</v>
      </c>
      <c r="Y202">
        <f t="shared" si="27"/>
        <v>8</v>
      </c>
      <c r="Z202" s="7">
        <f t="shared" si="28"/>
        <v>0.1</v>
      </c>
      <c r="AA202">
        <f t="shared" si="29"/>
        <v>12907.980000000001</v>
      </c>
      <c r="AB202">
        <f t="shared" si="30"/>
        <v>3710.8999999999996</v>
      </c>
      <c r="AC202" t="str">
        <f t="shared" si="31"/>
        <v>Clean</v>
      </c>
    </row>
    <row r="203" spans="1:29">
      <c r="A203" t="s">
        <v>652</v>
      </c>
      <c r="B203" s="4">
        <v>45864</v>
      </c>
      <c r="C203" s="4">
        <v>45872</v>
      </c>
      <c r="D203" t="s">
        <v>653</v>
      </c>
      <c r="E203" t="str">
        <f>PROPER(TRIM([1]raw_orders!E203))</f>
        <v>Vikram Iyer</v>
      </c>
      <c r="F203" t="str">
        <f>PROPER(TRIM([1]raw_orders!F203))</f>
        <v>Consumer</v>
      </c>
      <c r="G203" t="str">
        <f>IF('[1]Cleaned Text Field'!G203="","Unknown",'[1]Cleaned Text Field'!G203)</f>
        <v>West</v>
      </c>
      <c r="H203" t="str">
        <f>PROPER(TRIM([1]raw_orders!H203))</f>
        <v>Madhya Pradesh</v>
      </c>
      <c r="I203" t="str">
        <f>PROPER(TRIM([1]raw_orders!I203))</f>
        <v>Indore</v>
      </c>
      <c r="J203" t="str">
        <f>PROPER(TRIM([1]raw_orders!J203))</f>
        <v>Office Supplies</v>
      </c>
      <c r="K203" t="str">
        <f>PROPER(TRIM([1]raw_orders!K203))</f>
        <v>Labels</v>
      </c>
      <c r="L203" t="s">
        <v>654</v>
      </c>
      <c r="M203" t="str">
        <f>IF('[1]Cleaned Text Field'!M203="","Unknown",'[1]Cleaned Text Field'!M203)</f>
        <v>Second Class</v>
      </c>
      <c r="N203">
        <f>IF('[1]Cleaned Text Field'!N203="",0,'[1]Cleaned Text Field'!N203)</f>
        <v>2</v>
      </c>
      <c r="O203">
        <v>2503.5300000000002</v>
      </c>
      <c r="P203" s="5">
        <f>IF('[1]Cleaned Text Field'!P203="",0,'[1]Cleaned Text Field'!P203)</f>
        <v>-0.16</v>
      </c>
      <c r="Q203">
        <v>4756.71</v>
      </c>
      <c r="R203">
        <v>2954.86</v>
      </c>
      <c r="S203">
        <v>1801.85</v>
      </c>
      <c r="T203" t="str">
        <f>PROPER(TRIM([1]raw_orders!T203))</f>
        <v>Refunded</v>
      </c>
      <c r="U203" t="str">
        <f>PROPER(TRIM([1]raw_orders!U203))</f>
        <v>Cancelled</v>
      </c>
      <c r="V203" s="6">
        <f t="shared" si="24"/>
        <v>0.37880173481250695</v>
      </c>
      <c r="W203" t="str">
        <f t="shared" si="25"/>
        <v>July</v>
      </c>
      <c r="X203">
        <f t="shared" si="26"/>
        <v>2025</v>
      </c>
      <c r="Y203">
        <f t="shared" si="27"/>
        <v>8</v>
      </c>
      <c r="Z203" s="7">
        <f t="shared" si="28"/>
        <v>-0.16</v>
      </c>
      <c r="AA203">
        <f t="shared" si="29"/>
        <v>5808.1895999999997</v>
      </c>
      <c r="AB203">
        <f t="shared" si="30"/>
        <v>1801.85</v>
      </c>
      <c r="AC203" t="str">
        <f t="shared" si="31"/>
        <v>Clean</v>
      </c>
    </row>
    <row r="204" spans="1:29">
      <c r="A204" t="s">
        <v>655</v>
      </c>
      <c r="B204" s="4">
        <v>45744</v>
      </c>
      <c r="C204" s="4">
        <v>45744</v>
      </c>
      <c r="D204" t="s">
        <v>656</v>
      </c>
      <c r="E204" t="str">
        <f>PROPER(TRIM([1]raw_orders!E204))</f>
        <v>Sneha Kapoor</v>
      </c>
      <c r="F204" t="str">
        <f>PROPER(TRIM([1]raw_orders!F204))</f>
        <v>Corporate</v>
      </c>
      <c r="G204" t="str">
        <f>IF('[1]Cleaned Text Field'!G204="","Unknown",'[1]Cleaned Text Field'!G204)</f>
        <v>West</v>
      </c>
      <c r="H204" t="str">
        <f>PROPER(TRIM([1]raw_orders!H204))</f>
        <v>Goa</v>
      </c>
      <c r="I204" t="str">
        <f>PROPER(TRIM([1]raw_orders!I204))</f>
        <v>Panaji</v>
      </c>
      <c r="J204" t="str">
        <f>PROPER(TRIM([1]raw_orders!J204))</f>
        <v>Technology</v>
      </c>
      <c r="K204" t="str">
        <f>PROPER(TRIM([1]raw_orders!K204))</f>
        <v>Accessories</v>
      </c>
      <c r="L204" t="s">
        <v>657</v>
      </c>
      <c r="M204" t="str">
        <f>IF('[1]Cleaned Text Field'!M204="","Unknown",'[1]Cleaned Text Field'!M204)</f>
        <v>Standard Class</v>
      </c>
      <c r="N204">
        <f>IF('[1]Cleaned Text Field'!N204="",0,'[1]Cleaned Text Field'!N204)</f>
        <v>8</v>
      </c>
      <c r="O204">
        <v>1740.94</v>
      </c>
      <c r="P204" s="5">
        <f>IF('[1]Cleaned Text Field'!P204="",0,'[1]Cleaned Text Field'!P204)</f>
        <v>0.05</v>
      </c>
      <c r="Q204">
        <v>13231.14</v>
      </c>
      <c r="R204">
        <v>11290.06</v>
      </c>
      <c r="S204">
        <v>1941.08</v>
      </c>
      <c r="T204" t="str">
        <f>PROPER(TRIM([1]raw_orders!T204))</f>
        <v>Paid</v>
      </c>
      <c r="U204" t="str">
        <f>PROPER(TRIM([1]raw_orders!U204))</f>
        <v>Completed</v>
      </c>
      <c r="V204" s="6">
        <f t="shared" si="24"/>
        <v>0.14670542372010273</v>
      </c>
      <c r="W204" t="str">
        <f t="shared" si="25"/>
        <v>March</v>
      </c>
      <c r="X204">
        <f t="shared" si="26"/>
        <v>2025</v>
      </c>
      <c r="Y204">
        <f t="shared" si="27"/>
        <v>0</v>
      </c>
      <c r="Z204" s="7">
        <f t="shared" si="28"/>
        <v>0.05</v>
      </c>
      <c r="AA204">
        <f t="shared" si="29"/>
        <v>13231.144</v>
      </c>
      <c r="AB204">
        <f t="shared" si="30"/>
        <v>1941.08</v>
      </c>
      <c r="AC204" t="str">
        <f t="shared" si="31"/>
        <v>Clean</v>
      </c>
    </row>
    <row r="205" spans="1:29">
      <c r="A205" t="s">
        <v>658</v>
      </c>
      <c r="B205" s="4">
        <v>45379</v>
      </c>
      <c r="C205" s="4">
        <v>45381</v>
      </c>
      <c r="D205" t="s">
        <v>659</v>
      </c>
      <c r="E205" t="str">
        <f>PROPER(TRIM([1]raw_orders!E205))</f>
        <v>Sneha Kapoor</v>
      </c>
      <c r="F205" t="str">
        <f>PROPER(TRIM([1]raw_orders!F205))</f>
        <v>Corporate</v>
      </c>
      <c r="G205" t="str">
        <f>IF('[1]Cleaned Text Field'!G205="","Unknown",'[1]Cleaned Text Field'!G205)</f>
        <v>West</v>
      </c>
      <c r="H205" t="str">
        <f>PROPER(TRIM([1]raw_orders!H205))</f>
        <v>Rajasthan</v>
      </c>
      <c r="I205" t="str">
        <f>PROPER(TRIM([1]raw_orders!I205))</f>
        <v>Udaipur</v>
      </c>
      <c r="J205" t="str">
        <f>PROPER(TRIM([1]raw_orders!J205))</f>
        <v>Technology</v>
      </c>
      <c r="K205" t="str">
        <f>PROPER(TRIM([1]raw_orders!K205))</f>
        <v>Accessories</v>
      </c>
      <c r="L205" t="s">
        <v>660</v>
      </c>
      <c r="M205" t="str">
        <f>IF('[1]Cleaned Text Field'!M205="","Unknown",'[1]Cleaned Text Field'!M205)</f>
        <v>Second Class</v>
      </c>
      <c r="N205">
        <f>IF('[1]Cleaned Text Field'!N205="",0,'[1]Cleaned Text Field'!N205)</f>
        <v>1</v>
      </c>
      <c r="O205">
        <v>570.34</v>
      </c>
      <c r="P205" s="5">
        <f>IF('[1]Cleaned Text Field'!P205="",0,'[1]Cleaned Text Field'!P205)</f>
        <v>0.15</v>
      </c>
      <c r="Q205">
        <v>484.79</v>
      </c>
      <c r="R205">
        <v>333.54</v>
      </c>
      <c r="S205">
        <v>151.25</v>
      </c>
      <c r="T205" t="str">
        <f>PROPER(TRIM([1]raw_orders!T205))</f>
        <v>Paid</v>
      </c>
      <c r="U205" t="str">
        <f>PROPER(TRIM([1]raw_orders!U205))</f>
        <v>Completed</v>
      </c>
      <c r="V205" s="6">
        <f t="shared" si="24"/>
        <v>0.31199075888529054</v>
      </c>
      <c r="W205" t="str">
        <f t="shared" si="25"/>
        <v>March</v>
      </c>
      <c r="X205">
        <f t="shared" si="26"/>
        <v>2024</v>
      </c>
      <c r="Y205">
        <f t="shared" si="27"/>
        <v>2</v>
      </c>
      <c r="Z205" s="7">
        <f t="shared" si="28"/>
        <v>0.15</v>
      </c>
      <c r="AA205">
        <f t="shared" si="29"/>
        <v>484.78899999999999</v>
      </c>
      <c r="AB205">
        <f t="shared" si="30"/>
        <v>151.25</v>
      </c>
      <c r="AC205" t="str">
        <f t="shared" si="31"/>
        <v>Clean</v>
      </c>
    </row>
    <row r="206" spans="1:29">
      <c r="A206" t="s">
        <v>661</v>
      </c>
      <c r="B206" s="4">
        <v>45858</v>
      </c>
      <c r="C206" s="4">
        <v>45861</v>
      </c>
      <c r="D206" t="s">
        <v>662</v>
      </c>
      <c r="E206" t="str">
        <f>PROPER(TRIM([1]raw_orders!E206))</f>
        <v>Mira Das</v>
      </c>
      <c r="F206" t="str">
        <f>PROPER(TRIM([1]raw_orders!F206))</f>
        <v>Home Office</v>
      </c>
      <c r="G206" t="str">
        <f>IF('[1]Cleaned Text Field'!G206="","Unknown",'[1]Cleaned Text Field'!G206)</f>
        <v>East</v>
      </c>
      <c r="H206" t="str">
        <f>PROPER(TRIM([1]raw_orders!H206))</f>
        <v>West Bengal</v>
      </c>
      <c r="I206" t="str">
        <f>PROPER(TRIM([1]raw_orders!I206))</f>
        <v>Kolkata</v>
      </c>
      <c r="J206" t="str">
        <f>PROPER(TRIM([1]raw_orders!J206))</f>
        <v>Furniture</v>
      </c>
      <c r="K206" t="str">
        <f>PROPER(TRIM([1]raw_orders!K206))</f>
        <v>Tables</v>
      </c>
      <c r="L206" t="s">
        <v>663</v>
      </c>
      <c r="M206" t="str">
        <f>IF('[1]Cleaned Text Field'!M206="","Unknown",'[1]Cleaned Text Field'!M206)</f>
        <v>Second Class</v>
      </c>
      <c r="N206">
        <f>IF('[1]Cleaned Text Field'!N206="",0,'[1]Cleaned Text Field'!N206)</f>
        <v>4</v>
      </c>
      <c r="O206">
        <v>477.69</v>
      </c>
      <c r="P206" s="5">
        <f>IF('[1]Cleaned Text Field'!P206="",0,'[1]Cleaned Text Field'!P206)</f>
        <v>0.15</v>
      </c>
      <c r="Q206">
        <v>1624.15</v>
      </c>
      <c r="R206">
        <v>1217.99</v>
      </c>
      <c r="S206">
        <v>406.16</v>
      </c>
      <c r="T206" t="str">
        <f>PROPER(TRIM([1]raw_orders!T206))</f>
        <v>Paid</v>
      </c>
      <c r="U206" t="str">
        <f>PROPER(TRIM([1]raw_orders!U206))</f>
        <v>Completed</v>
      </c>
      <c r="V206" s="6">
        <f t="shared" si="24"/>
        <v>0.25007542406797401</v>
      </c>
      <c r="W206" t="str">
        <f t="shared" si="25"/>
        <v>July</v>
      </c>
      <c r="X206">
        <f t="shared" si="26"/>
        <v>2025</v>
      </c>
      <c r="Y206">
        <f t="shared" si="27"/>
        <v>3</v>
      </c>
      <c r="Z206" s="7">
        <f t="shared" si="28"/>
        <v>0.15</v>
      </c>
      <c r="AA206">
        <f t="shared" si="29"/>
        <v>1624.146</v>
      </c>
      <c r="AB206">
        <f t="shared" si="30"/>
        <v>406.16000000000008</v>
      </c>
      <c r="AC206" t="str">
        <f t="shared" si="31"/>
        <v>Clean</v>
      </c>
    </row>
    <row r="207" spans="1:29">
      <c r="A207" t="s">
        <v>664</v>
      </c>
      <c r="B207" s="4">
        <v>45768</v>
      </c>
      <c r="C207" s="4">
        <v>45773</v>
      </c>
      <c r="D207" t="s">
        <v>665</v>
      </c>
      <c r="E207" t="str">
        <f>PROPER(TRIM([1]raw_orders!E207))</f>
        <v>Ananya Rao</v>
      </c>
      <c r="F207" t="str">
        <f>PROPER(TRIM([1]raw_orders!F207))</f>
        <v>Consumer</v>
      </c>
      <c r="G207" t="str">
        <f>IF('[1]Cleaned Text Field'!G207="","Unknown",'[1]Cleaned Text Field'!G207)</f>
        <v>West</v>
      </c>
      <c r="H207" t="str">
        <f>PROPER(TRIM([1]raw_orders!H207))</f>
        <v>Maharashtra</v>
      </c>
      <c r="I207" t="str">
        <f>PROPER(TRIM([1]raw_orders!I207))</f>
        <v>Mumbai</v>
      </c>
      <c r="J207" t="str">
        <f>PROPER(TRIM([1]raw_orders!J207))</f>
        <v>Office Supplies</v>
      </c>
      <c r="K207" t="str">
        <f>PROPER(TRIM([1]raw_orders!K207))</f>
        <v>Labels</v>
      </c>
      <c r="L207" t="s">
        <v>666</v>
      </c>
      <c r="M207" t="str">
        <f>IF('[1]Cleaned Text Field'!M207="","Unknown",'[1]Cleaned Text Field'!M207)</f>
        <v>Same Day</v>
      </c>
      <c r="N207">
        <f>IF('[1]Cleaned Text Field'!N207="",0,'[1]Cleaned Text Field'!N207)</f>
        <v>6</v>
      </c>
      <c r="O207">
        <v>873.59</v>
      </c>
      <c r="P207" s="5">
        <f>IF('[1]Cleaned Text Field'!P207="",0,'[1]Cleaned Text Field'!P207)</f>
        <v>0.2</v>
      </c>
      <c r="Q207">
        <v>4193.2299999999996</v>
      </c>
      <c r="R207">
        <v>3329.99</v>
      </c>
      <c r="S207">
        <v>863.24</v>
      </c>
      <c r="T207" t="str">
        <f>PROPER(TRIM([1]raw_orders!T207))</f>
        <v>Paid</v>
      </c>
      <c r="U207" t="str">
        <f>PROPER(TRIM([1]raw_orders!U207))</f>
        <v>Completed</v>
      </c>
      <c r="V207" s="6">
        <f t="shared" si="24"/>
        <v>0.20586516837855307</v>
      </c>
      <c r="W207" t="str">
        <f t="shared" si="25"/>
        <v>April</v>
      </c>
      <c r="X207">
        <f t="shared" si="26"/>
        <v>2025</v>
      </c>
      <c r="Y207">
        <f t="shared" si="27"/>
        <v>5</v>
      </c>
      <c r="Z207" s="7">
        <f t="shared" si="28"/>
        <v>0.2</v>
      </c>
      <c r="AA207">
        <f t="shared" si="29"/>
        <v>4193.232</v>
      </c>
      <c r="AB207">
        <f t="shared" si="30"/>
        <v>863.23999999999978</v>
      </c>
      <c r="AC207" t="str">
        <f t="shared" si="31"/>
        <v>Clean</v>
      </c>
    </row>
    <row r="208" spans="1:29">
      <c r="A208" t="s">
        <v>667</v>
      </c>
      <c r="B208" s="4">
        <v>45795</v>
      </c>
      <c r="C208" s="4">
        <v>45797</v>
      </c>
      <c r="D208" t="s">
        <v>668</v>
      </c>
      <c r="E208" t="str">
        <f>PROPER(TRIM([1]raw_orders!E208))</f>
        <v>Diya Patel</v>
      </c>
      <c r="F208" t="str">
        <f>PROPER(TRIM([1]raw_orders!F208))</f>
        <v>Small Business</v>
      </c>
      <c r="G208" t="str">
        <f>IF('[1]Cleaned Text Field'!G208="","Unknown",'[1]Cleaned Text Field'!G208)</f>
        <v>North</v>
      </c>
      <c r="H208" t="str">
        <f>PROPER(TRIM([1]raw_orders!H208))</f>
        <v>Uttar Pradesh</v>
      </c>
      <c r="I208" t="str">
        <f>PROPER(TRIM([1]raw_orders!I208))</f>
        <v>Noida</v>
      </c>
      <c r="J208" t="str">
        <f>PROPER(TRIM([1]raw_orders!J208))</f>
        <v>Furniture</v>
      </c>
      <c r="K208" t="str">
        <f>PROPER(TRIM([1]raw_orders!K208))</f>
        <v>Furnishings</v>
      </c>
      <c r="L208" t="s">
        <v>669</v>
      </c>
      <c r="M208" t="str">
        <f>IF('[1]Cleaned Text Field'!M208="","Unknown",'[1]Cleaned Text Field'!M208)</f>
        <v>First Class</v>
      </c>
      <c r="N208">
        <f>IF('[1]Cleaned Text Field'!N208="",0,'[1]Cleaned Text Field'!N208)</f>
        <v>2</v>
      </c>
      <c r="O208">
        <v>215.13</v>
      </c>
      <c r="P208" s="5">
        <f>IF('[1]Cleaned Text Field'!P208="",0,'[1]Cleaned Text Field'!P208)</f>
        <v>0</v>
      </c>
      <c r="Q208">
        <v>430.26</v>
      </c>
      <c r="R208">
        <v>286.38</v>
      </c>
      <c r="S208">
        <v>143.88</v>
      </c>
      <c r="T208" t="str">
        <f>PROPER(TRIM([1]raw_orders!T208))</f>
        <v>Paid</v>
      </c>
      <c r="U208" t="str">
        <f>PROPER(TRIM([1]raw_orders!U208))</f>
        <v>Completed</v>
      </c>
      <c r="V208" s="6">
        <f t="shared" si="24"/>
        <v>0.33440245432994004</v>
      </c>
      <c r="W208" t="str">
        <f t="shared" si="25"/>
        <v>May</v>
      </c>
      <c r="X208">
        <f t="shared" si="26"/>
        <v>2025</v>
      </c>
      <c r="Y208">
        <f t="shared" si="27"/>
        <v>2</v>
      </c>
      <c r="Z208" s="7">
        <f t="shared" si="28"/>
        <v>0</v>
      </c>
      <c r="AA208">
        <f t="shared" si="29"/>
        <v>430.26</v>
      </c>
      <c r="AB208">
        <f t="shared" si="30"/>
        <v>143.88</v>
      </c>
      <c r="AC208" t="str">
        <f t="shared" si="31"/>
        <v>Clean</v>
      </c>
    </row>
    <row r="209" spans="1:29">
      <c r="A209" t="s">
        <v>670</v>
      </c>
      <c r="B209" s="4">
        <v>45483</v>
      </c>
      <c r="C209" s="4">
        <v>45489</v>
      </c>
      <c r="D209" t="s">
        <v>671</v>
      </c>
      <c r="E209" t="str">
        <f>PROPER(TRIM([1]raw_orders!E209))</f>
        <v>Aarav Sharma</v>
      </c>
      <c r="F209" t="str">
        <f>PROPER(TRIM([1]raw_orders!F209))</f>
        <v>Home Office</v>
      </c>
      <c r="G209" t="str">
        <f>IF('[1]Cleaned Text Field'!G209="","Unknown",'[1]Cleaned Text Field'!G209)</f>
        <v>West</v>
      </c>
      <c r="H209" t="str">
        <f>PROPER(TRIM([1]raw_orders!H209))</f>
        <v>Goa</v>
      </c>
      <c r="I209" t="str">
        <f>PROPER(TRIM([1]raw_orders!I209))</f>
        <v>Panaji</v>
      </c>
      <c r="J209" t="str">
        <f>PROPER(TRIM([1]raw_orders!J209))</f>
        <v>Furniture</v>
      </c>
      <c r="K209" t="str">
        <f>PROPER(TRIM([1]raw_orders!K209))</f>
        <v>Bookcases</v>
      </c>
      <c r="L209" t="s">
        <v>672</v>
      </c>
      <c r="M209" t="str">
        <f>IF('[1]Cleaned Text Field'!M209="","Unknown",'[1]Cleaned Text Field'!M209)</f>
        <v>Second Class</v>
      </c>
      <c r="N209">
        <f>IF('[1]Cleaned Text Field'!N209="",0,'[1]Cleaned Text Field'!N209)</f>
        <v>2</v>
      </c>
      <c r="O209">
        <v>1095.45</v>
      </c>
      <c r="P209" s="5">
        <f>IF('[1]Cleaned Text Field'!P209="",0,'[1]Cleaned Text Field'!P209)</f>
        <v>0.2</v>
      </c>
      <c r="Q209">
        <v>1752.72</v>
      </c>
      <c r="R209">
        <v>996.41</v>
      </c>
      <c r="S209">
        <v>756.31</v>
      </c>
      <c r="T209" t="str">
        <f>PROPER(TRIM([1]raw_orders!T209))</f>
        <v>Paid</v>
      </c>
      <c r="U209" t="str">
        <f>PROPER(TRIM([1]raw_orders!U209))</f>
        <v>Completed</v>
      </c>
      <c r="V209" s="6">
        <f t="shared" si="24"/>
        <v>0.43150645853302294</v>
      </c>
      <c r="W209" t="str">
        <f t="shared" si="25"/>
        <v>July</v>
      </c>
      <c r="X209">
        <f t="shared" si="26"/>
        <v>2024</v>
      </c>
      <c r="Y209">
        <f t="shared" si="27"/>
        <v>6</v>
      </c>
      <c r="Z209" s="7">
        <f t="shared" si="28"/>
        <v>0.2</v>
      </c>
      <c r="AA209">
        <f t="shared" si="29"/>
        <v>1752.7200000000003</v>
      </c>
      <c r="AB209">
        <f t="shared" si="30"/>
        <v>756.31000000000006</v>
      </c>
      <c r="AC209" t="str">
        <f t="shared" si="31"/>
        <v>Clean</v>
      </c>
    </row>
    <row r="210" spans="1:29">
      <c r="A210" t="s">
        <v>673</v>
      </c>
      <c r="B210" s="4">
        <v>45837</v>
      </c>
      <c r="C210" s="4">
        <v>45784</v>
      </c>
      <c r="D210" t="s">
        <v>674</v>
      </c>
      <c r="E210" t="str">
        <f>PROPER(TRIM([1]raw_orders!E210))</f>
        <v>Diya Patel</v>
      </c>
      <c r="F210" t="str">
        <f>PROPER(TRIM([1]raw_orders!F210))</f>
        <v>Consumer</v>
      </c>
      <c r="G210" t="str">
        <f>IF('[1]Cleaned Text Field'!G210="","Unknown",'[1]Cleaned Text Field'!G210)</f>
        <v>North</v>
      </c>
      <c r="H210" t="str">
        <f>PROPER(TRIM([1]raw_orders!H210))</f>
        <v>Punjab</v>
      </c>
      <c r="I210" t="str">
        <f>PROPER(TRIM([1]raw_orders!I210))</f>
        <v>Ludhiana</v>
      </c>
      <c r="J210" t="str">
        <f>PROPER(TRIM([1]raw_orders!J210))</f>
        <v>Furniture</v>
      </c>
      <c r="K210" t="str">
        <f>PROPER(TRIM([1]raw_orders!K210))</f>
        <v>Chairs</v>
      </c>
      <c r="L210" t="s">
        <v>675</v>
      </c>
      <c r="M210" t="str">
        <f>IF('[1]Cleaned Text Field'!M210="","Unknown",'[1]Cleaned Text Field'!M210)</f>
        <v>Same Day</v>
      </c>
      <c r="N210">
        <f>IF('[1]Cleaned Text Field'!N210="",0,'[1]Cleaned Text Field'!N210)</f>
        <v>1</v>
      </c>
      <c r="O210">
        <v>999.83</v>
      </c>
      <c r="P210" s="5">
        <f>IF('[1]Cleaned Text Field'!P210="",0,'[1]Cleaned Text Field'!P210)</f>
        <v>0</v>
      </c>
      <c r="Q210">
        <v>999.83</v>
      </c>
      <c r="R210">
        <v>634.91</v>
      </c>
      <c r="S210">
        <v>364.92</v>
      </c>
      <c r="T210" t="str">
        <f>PROPER(TRIM([1]raw_orders!T210))</f>
        <v>Paid</v>
      </c>
      <c r="U210" t="str">
        <f>PROPER(TRIM([1]raw_orders!U210))</f>
        <v>Completed</v>
      </c>
      <c r="V210" s="6">
        <f t="shared" si="24"/>
        <v>0.36498204694798114</v>
      </c>
      <c r="W210" t="str">
        <f t="shared" si="25"/>
        <v>June</v>
      </c>
      <c r="X210">
        <f t="shared" si="26"/>
        <v>2025</v>
      </c>
      <c r="Y210">
        <f t="shared" si="27"/>
        <v>-53</v>
      </c>
      <c r="Z210" s="7">
        <f t="shared" si="28"/>
        <v>0</v>
      </c>
      <c r="AA210">
        <f t="shared" si="29"/>
        <v>999.83</v>
      </c>
      <c r="AB210">
        <f t="shared" si="30"/>
        <v>364.92000000000007</v>
      </c>
      <c r="AC210" t="str">
        <f t="shared" si="31"/>
        <v>Warning</v>
      </c>
    </row>
    <row r="211" spans="1:29">
      <c r="A211" t="s">
        <v>676</v>
      </c>
      <c r="B211" s="4">
        <v>45882</v>
      </c>
      <c r="C211" s="4">
        <v>45883</v>
      </c>
      <c r="D211" t="s">
        <v>677</v>
      </c>
      <c r="E211" t="str">
        <f>PROPER(TRIM([1]raw_orders!E211))</f>
        <v>Rohan Mehta</v>
      </c>
      <c r="F211" t="str">
        <f>PROPER(TRIM([1]raw_orders!F211))</f>
        <v>Small Business</v>
      </c>
      <c r="G211" t="str">
        <f>IF('[1]Cleaned Text Field'!G211="","Unknown",'[1]Cleaned Text Field'!G211)</f>
        <v>South</v>
      </c>
      <c r="H211" t="str">
        <f>PROPER(TRIM([1]raw_orders!H211))</f>
        <v>Andhra Pradesh</v>
      </c>
      <c r="I211" t="str">
        <f>PROPER(TRIM([1]raw_orders!I211))</f>
        <v>Vijayawada</v>
      </c>
      <c r="J211" t="str">
        <f>PROPER(TRIM([1]raw_orders!J211))</f>
        <v>Office Supplies</v>
      </c>
      <c r="K211" t="str">
        <f>PROPER(TRIM([1]raw_orders!K211))</f>
        <v>Paper</v>
      </c>
      <c r="L211" t="s">
        <v>678</v>
      </c>
      <c r="M211" t="str">
        <f>IF('[1]Cleaned Text Field'!M211="","Unknown",'[1]Cleaned Text Field'!M211)</f>
        <v>First Class</v>
      </c>
      <c r="N211">
        <f>IF('[1]Cleaned Text Field'!N211="",0,'[1]Cleaned Text Field'!N211)</f>
        <v>9</v>
      </c>
      <c r="O211">
        <v>864.98</v>
      </c>
      <c r="P211" s="5">
        <f>IF('[1]Cleaned Text Field'!P211="",0,'[1]Cleaned Text Field'!P211)</f>
        <v>0.1</v>
      </c>
      <c r="Q211">
        <v>7006.34</v>
      </c>
      <c r="R211">
        <v>4640.88</v>
      </c>
      <c r="S211">
        <v>2365.46</v>
      </c>
      <c r="T211" t="str">
        <f>PROPER(TRIM([1]raw_orders!T211))</f>
        <v>Paid</v>
      </c>
      <c r="U211" t="str">
        <f>PROPER(TRIM([1]raw_orders!U211))</f>
        <v>Completed</v>
      </c>
      <c r="V211" s="6">
        <f t="shared" si="24"/>
        <v>0.33761707253715922</v>
      </c>
      <c r="W211" t="str">
        <f t="shared" si="25"/>
        <v>August</v>
      </c>
      <c r="X211">
        <f t="shared" si="26"/>
        <v>2025</v>
      </c>
      <c r="Y211">
        <f t="shared" si="27"/>
        <v>1</v>
      </c>
      <c r="Z211" s="7">
        <f t="shared" si="28"/>
        <v>0.1</v>
      </c>
      <c r="AA211">
        <f t="shared" si="29"/>
        <v>7006.3379999999997</v>
      </c>
      <c r="AB211">
        <f t="shared" si="30"/>
        <v>2365.46</v>
      </c>
      <c r="AC211" t="str">
        <f t="shared" si="31"/>
        <v>Clean</v>
      </c>
    </row>
    <row r="212" spans="1:29">
      <c r="A212" t="s">
        <v>679</v>
      </c>
      <c r="B212" s="4">
        <v>45366</v>
      </c>
      <c r="C212" s="4">
        <v>45369</v>
      </c>
      <c r="D212" t="s">
        <v>680</v>
      </c>
      <c r="E212" t="str">
        <f>PROPER(TRIM([1]raw_orders!E212))</f>
        <v>Kabir Singh</v>
      </c>
      <c r="F212" t="str">
        <f>PROPER(TRIM([1]raw_orders!F212))</f>
        <v>Home Office</v>
      </c>
      <c r="G212" t="str">
        <f>IF('[1]Cleaned Text Field'!G212="","Unknown",'[1]Cleaned Text Field'!G212)</f>
        <v>South</v>
      </c>
      <c r="H212" t="str">
        <f>PROPER(TRIM([1]raw_orders!H212))</f>
        <v>Karnataka</v>
      </c>
      <c r="I212" t="str">
        <f>PROPER(TRIM([1]raw_orders!I212))</f>
        <v>Bengaluru</v>
      </c>
      <c r="J212" t="str">
        <f>PROPER(TRIM([1]raw_orders!J212))</f>
        <v>Technology</v>
      </c>
      <c r="K212" t="str">
        <f>PROPER(TRIM([1]raw_orders!K212))</f>
        <v>Machines</v>
      </c>
      <c r="L212" t="s">
        <v>681</v>
      </c>
      <c r="M212" t="str">
        <f>IF('[1]Cleaned Text Field'!M212="","Unknown",'[1]Cleaned Text Field'!M212)</f>
        <v>Second Class</v>
      </c>
      <c r="N212">
        <f>IF('[1]Cleaned Text Field'!N212="",0,'[1]Cleaned Text Field'!N212)</f>
        <v>1</v>
      </c>
      <c r="O212">
        <v>4131.3599999999997</v>
      </c>
      <c r="P212" s="5">
        <f>IF('[1]Cleaned Text Field'!P212="",0,'[1]Cleaned Text Field'!P212)</f>
        <v>0</v>
      </c>
      <c r="Q212">
        <v>4131.3599999999997</v>
      </c>
      <c r="R212">
        <v>2937.07</v>
      </c>
      <c r="S212">
        <v>1194.29</v>
      </c>
      <c r="T212" t="str">
        <f>PROPER(TRIM([1]raw_orders!T212))</f>
        <v>Failed</v>
      </c>
      <c r="U212" t="str">
        <f>PROPER(TRIM([1]raw_orders!U212))</f>
        <v>Returned</v>
      </c>
      <c r="V212" s="6">
        <f t="shared" si="24"/>
        <v>0.28907914100925602</v>
      </c>
      <c r="W212" t="str">
        <f t="shared" si="25"/>
        <v>March</v>
      </c>
      <c r="X212">
        <f t="shared" si="26"/>
        <v>2024</v>
      </c>
      <c r="Y212">
        <f t="shared" si="27"/>
        <v>3</v>
      </c>
      <c r="Z212" s="7">
        <f t="shared" si="28"/>
        <v>0</v>
      </c>
      <c r="AA212">
        <f t="shared" si="29"/>
        <v>4131.3599999999997</v>
      </c>
      <c r="AB212">
        <f t="shared" si="30"/>
        <v>1194.2899999999995</v>
      </c>
      <c r="AC212" t="str">
        <f t="shared" si="31"/>
        <v>Clean</v>
      </c>
    </row>
    <row r="213" spans="1:29">
      <c r="A213" t="s">
        <v>682</v>
      </c>
      <c r="B213" s="4">
        <v>45428</v>
      </c>
      <c r="C213" s="4">
        <v>45429</v>
      </c>
      <c r="D213" t="s">
        <v>683</v>
      </c>
      <c r="E213" t="str">
        <f>PROPER(TRIM([1]raw_orders!E213))</f>
        <v>Rohan Mehta</v>
      </c>
      <c r="F213" t="str">
        <f>PROPER(TRIM([1]raw_orders!F213))</f>
        <v>Corporate</v>
      </c>
      <c r="G213" t="str">
        <f>IF('[1]Cleaned Text Field'!G213="","Unknown",'[1]Cleaned Text Field'!G213)</f>
        <v>East</v>
      </c>
      <c r="H213" t="str">
        <f>PROPER(TRIM([1]raw_orders!H213))</f>
        <v>West Bengal</v>
      </c>
      <c r="I213" t="str">
        <f>PROPER(TRIM([1]raw_orders!I213))</f>
        <v>Kolkata</v>
      </c>
      <c r="J213" t="str">
        <f>PROPER(TRIM([1]raw_orders!J213))</f>
        <v>Technology</v>
      </c>
      <c r="K213" t="str">
        <f>PROPER(TRIM([1]raw_orders!K213))</f>
        <v>Copiers</v>
      </c>
      <c r="L213" t="s">
        <v>684</v>
      </c>
      <c r="M213" t="str">
        <f>IF('[1]Cleaned Text Field'!M213="","Unknown",'[1]Cleaned Text Field'!M213)</f>
        <v>Second Class</v>
      </c>
      <c r="N213">
        <f>IF('[1]Cleaned Text Field'!N213="",0,'[1]Cleaned Text Field'!N213)</f>
        <v>8</v>
      </c>
      <c r="O213">
        <v>4221.95</v>
      </c>
      <c r="P213" s="5">
        <f>IF('[1]Cleaned Text Field'!P213="",0,'[1]Cleaned Text Field'!P213)</f>
        <v>0.2</v>
      </c>
      <c r="Q213">
        <v>27020.48</v>
      </c>
      <c r="R213">
        <v>22885.24</v>
      </c>
      <c r="S213">
        <v>4135.24</v>
      </c>
      <c r="T213" t="str">
        <f>PROPER(TRIM([1]raw_orders!T213))</f>
        <v>Paid</v>
      </c>
      <c r="U213" t="str">
        <f>PROPER(TRIM([1]raw_orders!U213))</f>
        <v>Completed</v>
      </c>
      <c r="V213" s="6">
        <f t="shared" si="24"/>
        <v>0.1530409526403676</v>
      </c>
      <c r="W213" t="str">
        <f t="shared" si="25"/>
        <v>May</v>
      </c>
      <c r="X213">
        <f t="shared" si="26"/>
        <v>2024</v>
      </c>
      <c r="Y213">
        <f t="shared" si="27"/>
        <v>1</v>
      </c>
      <c r="Z213" s="7">
        <f t="shared" si="28"/>
        <v>0.2</v>
      </c>
      <c r="AA213">
        <f t="shared" si="29"/>
        <v>27020.48</v>
      </c>
      <c r="AB213">
        <f t="shared" si="30"/>
        <v>4135.239999999998</v>
      </c>
      <c r="AC213" t="str">
        <f t="shared" si="31"/>
        <v>Clean</v>
      </c>
    </row>
    <row r="214" spans="1:29">
      <c r="A214" t="s">
        <v>685</v>
      </c>
      <c r="B214" s="4">
        <v>45556</v>
      </c>
      <c r="C214" s="4">
        <v>45556</v>
      </c>
      <c r="D214" t="s">
        <v>686</v>
      </c>
      <c r="E214" t="str">
        <f>PROPER(TRIM([1]raw_orders!E214))</f>
        <v>Ananya Rao</v>
      </c>
      <c r="F214" t="str">
        <f>PROPER(TRIM([1]raw_orders!F214))</f>
        <v>Small Business</v>
      </c>
      <c r="G214" t="str">
        <f>IF('[1]Cleaned Text Field'!G214="","Unknown",'[1]Cleaned Text Field'!G214)</f>
        <v>East</v>
      </c>
      <c r="H214" t="str">
        <f>PROPER(TRIM([1]raw_orders!H214))</f>
        <v>Odisha</v>
      </c>
      <c r="I214" t="str">
        <f>PROPER(TRIM([1]raw_orders!I214))</f>
        <v>Bhubaneswar</v>
      </c>
      <c r="J214" t="str">
        <f>PROPER(TRIM([1]raw_orders!J214))</f>
        <v>Technology</v>
      </c>
      <c r="K214" t="str">
        <f>PROPER(TRIM([1]raw_orders!K214))</f>
        <v>Phones</v>
      </c>
      <c r="L214" t="s">
        <v>687</v>
      </c>
      <c r="M214" t="str">
        <f>IF('[1]Cleaned Text Field'!M214="","Unknown",'[1]Cleaned Text Field'!M214)</f>
        <v>Same Day</v>
      </c>
      <c r="N214">
        <f>IF('[1]Cleaned Text Field'!N214="",0,'[1]Cleaned Text Field'!N214)</f>
        <v>2</v>
      </c>
      <c r="O214">
        <v>214.5</v>
      </c>
      <c r="P214" s="5">
        <f>IF('[1]Cleaned Text Field'!P214="",0,'[1]Cleaned Text Field'!P214)</f>
        <v>0.15</v>
      </c>
      <c r="Q214">
        <v>364.65</v>
      </c>
      <c r="R214">
        <v>280.74</v>
      </c>
      <c r="S214">
        <v>83.91</v>
      </c>
      <c r="T214" t="str">
        <f>PROPER(TRIM([1]raw_orders!T214))</f>
        <v>Paid</v>
      </c>
      <c r="U214" t="str">
        <f>PROPER(TRIM([1]raw_orders!U214))</f>
        <v>Completed</v>
      </c>
      <c r="V214" s="6">
        <f t="shared" si="24"/>
        <v>0.23011106540518306</v>
      </c>
      <c r="W214" t="str">
        <f t="shared" si="25"/>
        <v>September</v>
      </c>
      <c r="X214">
        <f t="shared" si="26"/>
        <v>2024</v>
      </c>
      <c r="Y214">
        <f t="shared" si="27"/>
        <v>0</v>
      </c>
      <c r="Z214" s="7">
        <f t="shared" si="28"/>
        <v>0.15</v>
      </c>
      <c r="AA214">
        <f t="shared" si="29"/>
        <v>364.65</v>
      </c>
      <c r="AB214">
        <f t="shared" si="30"/>
        <v>83.909999999999968</v>
      </c>
      <c r="AC214" t="str">
        <f t="shared" si="31"/>
        <v>Clean</v>
      </c>
    </row>
    <row r="215" spans="1:29">
      <c r="A215" t="s">
        <v>688</v>
      </c>
      <c r="B215" s="4">
        <v>45427</v>
      </c>
      <c r="C215" s="4">
        <v>45433</v>
      </c>
      <c r="D215" t="s">
        <v>689</v>
      </c>
      <c r="E215" t="str">
        <f>PROPER(TRIM([1]raw_orders!E215))</f>
        <v>Isha Nair</v>
      </c>
      <c r="F215" t="str">
        <f>PROPER(TRIM([1]raw_orders!F215))</f>
        <v>Small Business</v>
      </c>
      <c r="G215" t="str">
        <f>IF('[1]Cleaned Text Field'!G215="","Unknown",'[1]Cleaned Text Field'!G215)</f>
        <v>East</v>
      </c>
      <c r="H215" t="str">
        <f>PROPER(TRIM([1]raw_orders!H215))</f>
        <v>Bihar</v>
      </c>
      <c r="I215" t="str">
        <f>PROPER(TRIM([1]raw_orders!I215))</f>
        <v>Patna</v>
      </c>
      <c r="J215" t="str">
        <f>PROPER(TRIM([1]raw_orders!J215))</f>
        <v>Technology</v>
      </c>
      <c r="K215" t="str">
        <f>PROPER(TRIM([1]raw_orders!K215))</f>
        <v>Accessories</v>
      </c>
      <c r="L215" t="s">
        <v>690</v>
      </c>
      <c r="M215" t="str">
        <f>IF('[1]Cleaned Text Field'!M215="","Unknown",'[1]Cleaned Text Field'!M215)</f>
        <v>Second Class</v>
      </c>
      <c r="N215">
        <f>IF('[1]Cleaned Text Field'!N215="",0,'[1]Cleaned Text Field'!N215)</f>
        <v>4</v>
      </c>
      <c r="O215">
        <v>4332.7299999999996</v>
      </c>
      <c r="P215" s="5">
        <f>IF('[1]Cleaned Text Field'!P215="",0,'[1]Cleaned Text Field'!P215)</f>
        <v>0.2</v>
      </c>
      <c r="Q215">
        <v>13864.74</v>
      </c>
      <c r="R215">
        <v>11294.06</v>
      </c>
      <c r="S215">
        <v>2570.6799999999998</v>
      </c>
      <c r="T215" t="str">
        <f>PROPER(TRIM([1]raw_orders!T215))</f>
        <v>Paid</v>
      </c>
      <c r="U215" t="str">
        <f>PROPER(TRIM([1]raw_orders!U215))</f>
        <v>Completed</v>
      </c>
      <c r="V215" s="6">
        <f t="shared" si="24"/>
        <v>0.18541133840230686</v>
      </c>
      <c r="W215" t="str">
        <f t="shared" si="25"/>
        <v>May</v>
      </c>
      <c r="X215">
        <f t="shared" si="26"/>
        <v>2024</v>
      </c>
      <c r="Y215">
        <f t="shared" si="27"/>
        <v>6</v>
      </c>
      <c r="Z215" s="7">
        <f t="shared" si="28"/>
        <v>0.2</v>
      </c>
      <c r="AA215">
        <f t="shared" si="29"/>
        <v>13864.735999999999</v>
      </c>
      <c r="AB215">
        <f t="shared" si="30"/>
        <v>2570.6800000000003</v>
      </c>
      <c r="AC215" t="str">
        <f t="shared" si="31"/>
        <v>Clean</v>
      </c>
    </row>
    <row r="216" spans="1:29">
      <c r="A216" t="s">
        <v>691</v>
      </c>
      <c r="B216" s="4">
        <v>45368</v>
      </c>
      <c r="C216" s="4">
        <v>45374</v>
      </c>
      <c r="D216" t="s">
        <v>692</v>
      </c>
      <c r="E216" t="str">
        <f>PROPER(TRIM([1]raw_orders!E216))</f>
        <v>Rahul Verma</v>
      </c>
      <c r="F216" t="str">
        <f>PROPER(TRIM([1]raw_orders!F216))</f>
        <v>Consumer</v>
      </c>
      <c r="G216" t="str">
        <f>IF('[1]Cleaned Text Field'!G216="","Unknown",'[1]Cleaned Text Field'!G216)</f>
        <v>North</v>
      </c>
      <c r="H216" t="str">
        <f>PROPER(TRIM([1]raw_orders!H216))</f>
        <v>Haryana</v>
      </c>
      <c r="I216" t="str">
        <f>PROPER(TRIM([1]raw_orders!I216))</f>
        <v>Gurugram</v>
      </c>
      <c r="J216" t="str">
        <f>PROPER(TRIM([1]raw_orders!J216))</f>
        <v>Technology</v>
      </c>
      <c r="K216" t="str">
        <f>PROPER(TRIM([1]raw_orders!K216))</f>
        <v>Accessories</v>
      </c>
      <c r="L216" t="s">
        <v>693</v>
      </c>
      <c r="M216" t="str">
        <f>IF('[1]Cleaned Text Field'!M216="","Unknown",'[1]Cleaned Text Field'!M216)</f>
        <v>First Class</v>
      </c>
      <c r="N216">
        <f>IF('[1]Cleaned Text Field'!N216="",0,'[1]Cleaned Text Field'!N216)</f>
        <v>3</v>
      </c>
      <c r="O216">
        <v>248.18</v>
      </c>
      <c r="P216" s="5">
        <f>IF('[1]Cleaned Text Field'!P216="",0,'[1]Cleaned Text Field'!P216)</f>
        <v>0.05</v>
      </c>
      <c r="Q216">
        <v>707.31</v>
      </c>
      <c r="R216">
        <v>569</v>
      </c>
      <c r="S216">
        <v>138.31</v>
      </c>
      <c r="T216" t="str">
        <f>PROPER(TRIM([1]raw_orders!T216))</f>
        <v>Paid</v>
      </c>
      <c r="U216" t="str">
        <f>PROPER(TRIM([1]raw_orders!U216))</f>
        <v>Completed</v>
      </c>
      <c r="V216" s="6">
        <f t="shared" si="24"/>
        <v>0.19554367957472679</v>
      </c>
      <c r="W216" t="str">
        <f t="shared" si="25"/>
        <v>March</v>
      </c>
      <c r="X216">
        <f t="shared" si="26"/>
        <v>2024</v>
      </c>
      <c r="Y216">
        <f t="shared" si="27"/>
        <v>6</v>
      </c>
      <c r="Z216" s="7">
        <f t="shared" si="28"/>
        <v>0.05</v>
      </c>
      <c r="AA216">
        <f t="shared" si="29"/>
        <v>707.31299999999999</v>
      </c>
      <c r="AB216">
        <f t="shared" si="30"/>
        <v>138.30999999999995</v>
      </c>
      <c r="AC216" t="str">
        <f t="shared" si="31"/>
        <v>Clean</v>
      </c>
    </row>
    <row r="217" spans="1:29">
      <c r="A217" t="s">
        <v>694</v>
      </c>
      <c r="B217" s="4">
        <v>45294</v>
      </c>
      <c r="C217" s="4">
        <v>45355</v>
      </c>
      <c r="D217" t="s">
        <v>695</v>
      </c>
      <c r="E217" t="str">
        <f>PROPER(TRIM([1]raw_orders!E217))</f>
        <v>Mira Das</v>
      </c>
      <c r="F217" t="str">
        <f>PROPER(TRIM([1]raw_orders!F217))</f>
        <v>Consumer</v>
      </c>
      <c r="G217" t="str">
        <f>IF('[1]Cleaned Text Field'!G217="","Unknown",'[1]Cleaned Text Field'!G217)</f>
        <v>West</v>
      </c>
      <c r="H217" t="str">
        <f>PROPER(TRIM([1]raw_orders!H217))</f>
        <v>Madhya Pradesh</v>
      </c>
      <c r="I217" t="str">
        <f>PROPER(TRIM([1]raw_orders!I217))</f>
        <v>Indore</v>
      </c>
      <c r="J217" t="str">
        <f>PROPER(TRIM([1]raw_orders!J217))</f>
        <v>Office Supplies</v>
      </c>
      <c r="K217" t="str">
        <f>PROPER(TRIM([1]raw_orders!K217))</f>
        <v>Paper</v>
      </c>
      <c r="L217" t="s">
        <v>696</v>
      </c>
      <c r="M217" t="str">
        <f>IF('[1]Cleaned Text Field'!M217="","Unknown",'[1]Cleaned Text Field'!M217)</f>
        <v>First Class</v>
      </c>
      <c r="N217">
        <f>IF('[1]Cleaned Text Field'!N217="",0,'[1]Cleaned Text Field'!N217)</f>
        <v>8</v>
      </c>
      <c r="O217">
        <v>3202.4</v>
      </c>
      <c r="P217" s="5">
        <f>IF('[1]Cleaned Text Field'!P217="",0,'[1]Cleaned Text Field'!P217)</f>
        <v>0.25</v>
      </c>
      <c r="Q217">
        <v>19214.400000000001</v>
      </c>
      <c r="R217">
        <v>10916.01</v>
      </c>
      <c r="S217">
        <v>8298.39</v>
      </c>
      <c r="T217" t="str">
        <f>PROPER(TRIM([1]raw_orders!T217))</f>
        <v>Paid</v>
      </c>
      <c r="U217" t="str">
        <f>PROPER(TRIM([1]raw_orders!U217))</f>
        <v>Completed</v>
      </c>
      <c r="V217" s="6">
        <f t="shared" si="24"/>
        <v>0.43188389957531848</v>
      </c>
      <c r="W217" t="str">
        <f t="shared" si="25"/>
        <v>January</v>
      </c>
      <c r="X217">
        <f t="shared" si="26"/>
        <v>2024</v>
      </c>
      <c r="Y217">
        <f t="shared" si="27"/>
        <v>61</v>
      </c>
      <c r="Z217" s="7">
        <f t="shared" si="28"/>
        <v>0.25</v>
      </c>
      <c r="AA217">
        <f t="shared" si="29"/>
        <v>19214.400000000001</v>
      </c>
      <c r="AB217">
        <f t="shared" si="30"/>
        <v>8298.3900000000012</v>
      </c>
      <c r="AC217" t="str">
        <f t="shared" si="31"/>
        <v>Clean</v>
      </c>
    </row>
    <row r="218" spans="1:29">
      <c r="A218" t="s">
        <v>697</v>
      </c>
      <c r="B218" s="4">
        <v>45757</v>
      </c>
      <c r="C218" s="4">
        <v>45762</v>
      </c>
      <c r="D218" t="s">
        <v>698</v>
      </c>
      <c r="E218" t="str">
        <f>PROPER(TRIM([1]raw_orders!E218))</f>
        <v>Isha Nair</v>
      </c>
      <c r="F218" t="str">
        <f>PROPER(TRIM([1]raw_orders!F218))</f>
        <v>Consumer</v>
      </c>
      <c r="G218" t="str">
        <f>IF('[1]Cleaned Text Field'!G218="","Unknown",'[1]Cleaned Text Field'!G218)</f>
        <v>West</v>
      </c>
      <c r="H218" t="str">
        <f>PROPER(TRIM([1]raw_orders!H218))</f>
        <v>Gujarat</v>
      </c>
      <c r="I218" t="str">
        <f>PROPER(TRIM([1]raw_orders!I218))</f>
        <v>Ahmedabad</v>
      </c>
      <c r="J218" t="str">
        <f>PROPER(TRIM([1]raw_orders!J218))</f>
        <v>Furniture</v>
      </c>
      <c r="K218" t="str">
        <f>PROPER(TRIM([1]raw_orders!K218))</f>
        <v>Tables</v>
      </c>
      <c r="L218" t="s">
        <v>699</v>
      </c>
      <c r="M218" t="str">
        <f>IF('[1]Cleaned Text Field'!M218="","Unknown",'[1]Cleaned Text Field'!M218)</f>
        <v>Standard Class</v>
      </c>
      <c r="N218">
        <f>IF('[1]Cleaned Text Field'!N218="",0,'[1]Cleaned Text Field'!N218)</f>
        <v>8</v>
      </c>
      <c r="O218">
        <v>1839.87</v>
      </c>
      <c r="P218" s="5">
        <f>IF('[1]Cleaned Text Field'!P218="",0,'[1]Cleaned Text Field'!P218)</f>
        <v>0.25</v>
      </c>
      <c r="Q218">
        <v>11039.22</v>
      </c>
      <c r="R218">
        <v>7642.91</v>
      </c>
      <c r="S218">
        <v>3396.31</v>
      </c>
      <c r="T218" t="str">
        <f>PROPER(TRIM([1]raw_orders!T218))</f>
        <v>Failed</v>
      </c>
      <c r="U218" t="str">
        <f>PROPER(TRIM([1]raw_orders!U218))</f>
        <v>Returned</v>
      </c>
      <c r="V218" s="6">
        <f t="shared" si="24"/>
        <v>0.30765851210502193</v>
      </c>
      <c r="W218" t="str">
        <f t="shared" si="25"/>
        <v>April</v>
      </c>
      <c r="X218">
        <f t="shared" si="26"/>
        <v>2025</v>
      </c>
      <c r="Y218">
        <f t="shared" si="27"/>
        <v>5</v>
      </c>
      <c r="Z218" s="7">
        <f t="shared" si="28"/>
        <v>0.25</v>
      </c>
      <c r="AA218">
        <f t="shared" si="29"/>
        <v>11039.22</v>
      </c>
      <c r="AB218">
        <f t="shared" si="30"/>
        <v>3396.3099999999995</v>
      </c>
      <c r="AC218" t="str">
        <f t="shared" si="31"/>
        <v>Clean</v>
      </c>
    </row>
    <row r="219" spans="1:29">
      <c r="A219" t="s">
        <v>700</v>
      </c>
      <c r="B219" s="4">
        <v>45661</v>
      </c>
      <c r="C219" s="4">
        <v>45755</v>
      </c>
      <c r="D219" t="s">
        <v>701</v>
      </c>
      <c r="E219" t="str">
        <f>PROPER(TRIM([1]raw_orders!E219))</f>
        <v>Aditi Sen</v>
      </c>
      <c r="F219" t="str">
        <f>PROPER(TRIM([1]raw_orders!F219))</f>
        <v>Consumer</v>
      </c>
      <c r="G219" t="str">
        <f>IF('[1]Cleaned Text Field'!G219="","Unknown",'[1]Cleaned Text Field'!G219)</f>
        <v>East</v>
      </c>
      <c r="H219" t="str">
        <f>PROPER(TRIM([1]raw_orders!H219))</f>
        <v>Odisha</v>
      </c>
      <c r="I219" t="str">
        <f>PROPER(TRIM([1]raw_orders!I219))</f>
        <v>Bhubaneswar</v>
      </c>
      <c r="J219" t="str">
        <f>PROPER(TRIM([1]raw_orders!J219))</f>
        <v>Furniture</v>
      </c>
      <c r="K219" t="str">
        <f>PROPER(TRIM([1]raw_orders!K219))</f>
        <v>Bookcases</v>
      </c>
      <c r="L219" t="s">
        <v>702</v>
      </c>
      <c r="M219" t="str">
        <f>IF('[1]Cleaned Text Field'!M219="","Unknown",'[1]Cleaned Text Field'!M219)</f>
        <v>Second Class</v>
      </c>
      <c r="N219">
        <f>IF('[1]Cleaned Text Field'!N219="",0,'[1]Cleaned Text Field'!N219)</f>
        <v>5</v>
      </c>
      <c r="O219">
        <v>1021.28</v>
      </c>
      <c r="P219" s="5">
        <f>IF('[1]Cleaned Text Field'!P219="",0,'[1]Cleaned Text Field'!P219)</f>
        <v>0.1</v>
      </c>
      <c r="Q219">
        <v>4595.76</v>
      </c>
      <c r="R219">
        <v>3396.8</v>
      </c>
      <c r="S219">
        <v>1198.96</v>
      </c>
      <c r="T219" t="str">
        <f>PROPER(TRIM([1]raw_orders!T219))</f>
        <v>Refunded</v>
      </c>
      <c r="U219" t="str">
        <f>PROPER(TRIM([1]raw_orders!U219))</f>
        <v>Cancelled</v>
      </c>
      <c r="V219" s="6">
        <f t="shared" si="24"/>
        <v>0.26088394520166414</v>
      </c>
      <c r="W219" t="str">
        <f t="shared" si="25"/>
        <v>January</v>
      </c>
      <c r="X219">
        <f t="shared" si="26"/>
        <v>2025</v>
      </c>
      <c r="Y219">
        <f t="shared" si="27"/>
        <v>94</v>
      </c>
      <c r="Z219" s="7">
        <f t="shared" si="28"/>
        <v>0.1</v>
      </c>
      <c r="AA219">
        <f t="shared" si="29"/>
        <v>4595.76</v>
      </c>
      <c r="AB219">
        <f t="shared" si="30"/>
        <v>1198.96</v>
      </c>
      <c r="AC219" t="str">
        <f t="shared" si="31"/>
        <v>Clean</v>
      </c>
    </row>
    <row r="220" spans="1:29">
      <c r="A220" t="s">
        <v>703</v>
      </c>
      <c r="B220" s="4">
        <v>45714</v>
      </c>
      <c r="C220" s="4">
        <v>45715</v>
      </c>
      <c r="D220" t="s">
        <v>704</v>
      </c>
      <c r="E220" t="str">
        <f>PROPER(TRIM([1]raw_orders!E220))</f>
        <v>Priya Menon</v>
      </c>
      <c r="F220" t="str">
        <f>PROPER(TRIM([1]raw_orders!F220))</f>
        <v>Corporate</v>
      </c>
      <c r="G220" t="str">
        <f>IF('[1]Cleaned Text Field'!G220="","Unknown",'[1]Cleaned Text Field'!G220)</f>
        <v>West</v>
      </c>
      <c r="H220" t="str">
        <f>PROPER(TRIM([1]raw_orders!H220))</f>
        <v>Gujarat</v>
      </c>
      <c r="I220" t="str">
        <f>PROPER(TRIM([1]raw_orders!I220))</f>
        <v>Ahmedabad</v>
      </c>
      <c r="J220" t="str">
        <f>PROPER(TRIM([1]raw_orders!J220))</f>
        <v>Furniture</v>
      </c>
      <c r="K220" t="str">
        <f>PROPER(TRIM([1]raw_orders!K220))</f>
        <v>Bookcases</v>
      </c>
      <c r="L220" t="s">
        <v>705</v>
      </c>
      <c r="M220" t="str">
        <f>IF('[1]Cleaned Text Field'!M220="","Unknown",'[1]Cleaned Text Field'!M220)</f>
        <v>Standard Class</v>
      </c>
      <c r="N220">
        <f>IF('[1]Cleaned Text Field'!N220="",0,'[1]Cleaned Text Field'!N220)</f>
        <v>5</v>
      </c>
      <c r="O220">
        <v>258.27999999999997</v>
      </c>
      <c r="P220" s="5">
        <f>IF('[1]Cleaned Text Field'!P220="",0,'[1]Cleaned Text Field'!P220)</f>
        <v>0</v>
      </c>
      <c r="Q220">
        <v>1291.4000000000001</v>
      </c>
      <c r="R220">
        <v>756.93</v>
      </c>
      <c r="S220">
        <v>534.47</v>
      </c>
      <c r="T220" t="str">
        <f>PROPER(TRIM([1]raw_orders!T220))</f>
        <v>Paid</v>
      </c>
      <c r="U220" t="str">
        <f>PROPER(TRIM([1]raw_orders!U220))</f>
        <v>Completed</v>
      </c>
      <c r="V220" s="6">
        <f t="shared" si="24"/>
        <v>0.41386866966083319</v>
      </c>
      <c r="W220" t="str">
        <f t="shared" si="25"/>
        <v>February</v>
      </c>
      <c r="X220">
        <f t="shared" si="26"/>
        <v>2025</v>
      </c>
      <c r="Y220">
        <f t="shared" si="27"/>
        <v>1</v>
      </c>
      <c r="Z220" s="7">
        <f t="shared" si="28"/>
        <v>0</v>
      </c>
      <c r="AA220">
        <f t="shared" si="29"/>
        <v>1291.3999999999999</v>
      </c>
      <c r="AB220">
        <f t="shared" si="30"/>
        <v>534.47000000000014</v>
      </c>
      <c r="AC220" t="str">
        <f t="shared" si="31"/>
        <v>Clean</v>
      </c>
    </row>
    <row r="221" spans="1:29">
      <c r="A221" t="s">
        <v>706</v>
      </c>
      <c r="B221" s="4">
        <v>45461</v>
      </c>
      <c r="C221" s="4">
        <v>45462</v>
      </c>
      <c r="D221" t="s">
        <v>707</v>
      </c>
      <c r="E221" t="str">
        <f>PROPER(TRIM([1]raw_orders!E221))</f>
        <v>Rahul Verma</v>
      </c>
      <c r="F221" t="str">
        <f>PROPER(TRIM([1]raw_orders!F221))</f>
        <v>Consumer</v>
      </c>
      <c r="G221" t="str">
        <f>IF('[1]Cleaned Text Field'!G221="","Unknown",'[1]Cleaned Text Field'!G221)</f>
        <v>East</v>
      </c>
      <c r="H221" t="str">
        <f>PROPER(TRIM([1]raw_orders!H221))</f>
        <v>Bihar</v>
      </c>
      <c r="I221" t="str">
        <f>PROPER(TRIM([1]raw_orders!I221))</f>
        <v>Patna</v>
      </c>
      <c r="J221" t="str">
        <f>PROPER(TRIM([1]raw_orders!J221))</f>
        <v>Technology</v>
      </c>
      <c r="K221" t="str">
        <f>PROPER(TRIM([1]raw_orders!K221))</f>
        <v>Machines</v>
      </c>
      <c r="L221" t="s">
        <v>708</v>
      </c>
      <c r="M221" t="str">
        <f>IF('[1]Cleaned Text Field'!M221="","Unknown",'[1]Cleaned Text Field'!M221)</f>
        <v>First Class</v>
      </c>
      <c r="N221">
        <f>IF('[1]Cleaned Text Field'!N221="",0,'[1]Cleaned Text Field'!N221)</f>
        <v>2</v>
      </c>
      <c r="O221">
        <v>121.49</v>
      </c>
      <c r="P221" s="5" t="str">
        <f>IF('[1]Cleaned Text Field'!P221="",0,'[1]Cleaned Text Field'!P221)</f>
        <v>85%</v>
      </c>
      <c r="Q221">
        <v>242.98</v>
      </c>
      <c r="R221">
        <v>161.41999999999999</v>
      </c>
      <c r="S221">
        <v>81.56</v>
      </c>
      <c r="T221" t="str">
        <f>PROPER(TRIM([1]raw_orders!T221))</f>
        <v>Paid</v>
      </c>
      <c r="U221" t="str">
        <f>PROPER(TRIM([1]raw_orders!U221))</f>
        <v>Completed</v>
      </c>
      <c r="V221" s="6">
        <f t="shared" si="24"/>
        <v>0.33566548687134745</v>
      </c>
      <c r="W221" t="str">
        <f t="shared" si="25"/>
        <v>June</v>
      </c>
      <c r="X221">
        <f t="shared" si="26"/>
        <v>2024</v>
      </c>
      <c r="Y221">
        <f t="shared" si="27"/>
        <v>1</v>
      </c>
      <c r="Z221" s="7">
        <f>VALUE(SUBSTITUTE(P221,"%",""))/100</f>
        <v>0.85</v>
      </c>
      <c r="AA221">
        <f t="shared" si="29"/>
        <v>36.447000000000003</v>
      </c>
      <c r="AB221">
        <f t="shared" si="30"/>
        <v>81.56</v>
      </c>
      <c r="AC221" t="str">
        <f t="shared" si="31"/>
        <v>Clean</v>
      </c>
    </row>
    <row r="222" spans="1:29">
      <c r="A222" t="s">
        <v>709</v>
      </c>
      <c r="B222" s="4">
        <v>45538</v>
      </c>
      <c r="C222" s="4">
        <v>45538</v>
      </c>
      <c r="D222" t="s">
        <v>710</v>
      </c>
      <c r="E222" t="str">
        <f>PROPER(TRIM([1]raw_orders!E222))</f>
        <v>Sneha Kapoor</v>
      </c>
      <c r="F222" t="str">
        <f>PROPER(TRIM([1]raw_orders!F222))</f>
        <v>Consumer</v>
      </c>
      <c r="G222" t="str">
        <f>IF('[1]Cleaned Text Field'!G222="","Unknown",'[1]Cleaned Text Field'!G222)</f>
        <v>South</v>
      </c>
      <c r="H222" t="str">
        <f>PROPER(TRIM([1]raw_orders!H222))</f>
        <v>Kerala</v>
      </c>
      <c r="I222" t="str">
        <f>PROPER(TRIM([1]raw_orders!I222))</f>
        <v>Kochi</v>
      </c>
      <c r="J222" t="str">
        <f>PROPER(TRIM([1]raw_orders!J222))</f>
        <v>Office Supplies</v>
      </c>
      <c r="K222" t="str">
        <f>PROPER(TRIM([1]raw_orders!K222))</f>
        <v>Storage</v>
      </c>
      <c r="L222" t="s">
        <v>711</v>
      </c>
      <c r="M222" t="str">
        <f>IF('[1]Cleaned Text Field'!M222="","Unknown",'[1]Cleaned Text Field'!M222)</f>
        <v>First Class</v>
      </c>
      <c r="N222">
        <f>IF('[1]Cleaned Text Field'!N222="",0,'[1]Cleaned Text Field'!N222)</f>
        <v>4</v>
      </c>
      <c r="O222">
        <v>2810.17</v>
      </c>
      <c r="P222" s="5">
        <f>IF('[1]Cleaned Text Field'!P222="",0,'[1]Cleaned Text Field'!P222)</f>
        <v>0.15</v>
      </c>
      <c r="Q222">
        <v>9554.58</v>
      </c>
      <c r="R222">
        <v>6068.47</v>
      </c>
      <c r="S222">
        <v>3486.11</v>
      </c>
      <c r="T222" t="str">
        <f>PROPER(TRIM([1]raw_orders!T222))</f>
        <v>Refunded</v>
      </c>
      <c r="U222" t="str">
        <f>PROPER(TRIM([1]raw_orders!U222))</f>
        <v>Cancelled</v>
      </c>
      <c r="V222" s="6">
        <f t="shared" si="24"/>
        <v>0.36486271505393225</v>
      </c>
      <c r="W222" t="str">
        <f t="shared" si="25"/>
        <v>September</v>
      </c>
      <c r="X222">
        <f t="shared" si="26"/>
        <v>2024</v>
      </c>
      <c r="Y222">
        <f t="shared" si="27"/>
        <v>0</v>
      </c>
      <c r="Z222" s="7">
        <f t="shared" si="28"/>
        <v>0.15</v>
      </c>
      <c r="AA222">
        <f t="shared" si="29"/>
        <v>9554.5779999999995</v>
      </c>
      <c r="AB222">
        <f t="shared" si="30"/>
        <v>3486.1099999999997</v>
      </c>
      <c r="AC222" t="str">
        <f t="shared" si="31"/>
        <v>Clean</v>
      </c>
    </row>
    <row r="223" spans="1:29">
      <c r="A223" t="s">
        <v>712</v>
      </c>
      <c r="B223" s="4">
        <v>45992</v>
      </c>
      <c r="C223" s="4">
        <v>45672</v>
      </c>
      <c r="D223" t="s">
        <v>713</v>
      </c>
      <c r="E223" t="str">
        <f>PROPER(TRIM([1]raw_orders!E223))</f>
        <v>Mira Das</v>
      </c>
      <c r="F223" t="str">
        <f>PROPER(TRIM([1]raw_orders!F223))</f>
        <v>Corporate</v>
      </c>
      <c r="G223" t="str">
        <f>IF('[1]Cleaned Text Field'!G223="","Unknown",'[1]Cleaned Text Field'!G223)</f>
        <v>South</v>
      </c>
      <c r="H223" t="str">
        <f>PROPER(TRIM([1]raw_orders!H223))</f>
        <v>Karnataka</v>
      </c>
      <c r="I223" t="str">
        <f>PROPER(TRIM([1]raw_orders!I223))</f>
        <v>Bengaluru</v>
      </c>
      <c r="J223" t="str">
        <f>PROPER(TRIM([1]raw_orders!J223))</f>
        <v>Furniture</v>
      </c>
      <c r="K223" t="str">
        <f>PROPER(TRIM([1]raw_orders!K223))</f>
        <v>Chairs</v>
      </c>
      <c r="L223" t="s">
        <v>714</v>
      </c>
      <c r="M223" t="str">
        <f>IF('[1]Cleaned Text Field'!M223="","Unknown",'[1]Cleaned Text Field'!M223)</f>
        <v>Same Day</v>
      </c>
      <c r="N223">
        <f>IF('[1]Cleaned Text Field'!N223="",0,'[1]Cleaned Text Field'!N223)</f>
        <v>4</v>
      </c>
      <c r="O223">
        <v>1531.53</v>
      </c>
      <c r="P223" s="5">
        <f>IF('[1]Cleaned Text Field'!P223="",0,'[1]Cleaned Text Field'!P223)</f>
        <v>0.2</v>
      </c>
      <c r="Q223">
        <v>4900.8999999999996</v>
      </c>
      <c r="R223">
        <v>3552.69</v>
      </c>
      <c r="S223">
        <v>1348.21</v>
      </c>
      <c r="T223" t="str">
        <f>PROPER(TRIM([1]raw_orders!T223))</f>
        <v>Paid</v>
      </c>
      <c r="U223" t="str">
        <f>PROPER(TRIM([1]raw_orders!U223))</f>
        <v>Completed</v>
      </c>
      <c r="V223" s="6">
        <f t="shared" si="24"/>
        <v>0.27509437042175927</v>
      </c>
      <c r="W223" t="str">
        <f t="shared" si="25"/>
        <v>December</v>
      </c>
      <c r="X223">
        <f t="shared" si="26"/>
        <v>2025</v>
      </c>
      <c r="Y223">
        <f t="shared" si="27"/>
        <v>-320</v>
      </c>
      <c r="Z223" s="7">
        <f t="shared" si="28"/>
        <v>0.2</v>
      </c>
      <c r="AA223">
        <f t="shared" si="29"/>
        <v>4900.8959999999997</v>
      </c>
      <c r="AB223">
        <f t="shared" si="30"/>
        <v>1348.2099999999996</v>
      </c>
      <c r="AC223" t="str">
        <f t="shared" si="31"/>
        <v>Warning</v>
      </c>
    </row>
    <row r="224" spans="1:29">
      <c r="A224" t="s">
        <v>715</v>
      </c>
      <c r="B224" s="4">
        <v>45776</v>
      </c>
      <c r="C224" s="4">
        <v>45779</v>
      </c>
      <c r="D224" t="s">
        <v>716</v>
      </c>
      <c r="E224" t="str">
        <f>PROPER(TRIM([1]raw_orders!E224))</f>
        <v>Vikram Iyer</v>
      </c>
      <c r="F224" t="str">
        <f>PROPER(TRIM([1]raw_orders!F224))</f>
        <v>Small Business</v>
      </c>
      <c r="G224" t="str">
        <f>IF('[1]Cleaned Text Field'!G224="","Unknown",'[1]Cleaned Text Field'!G224)</f>
        <v>West</v>
      </c>
      <c r="H224" t="str">
        <f>PROPER(TRIM([1]raw_orders!H224))</f>
        <v>Goa</v>
      </c>
      <c r="I224" t="str">
        <f>PROPER(TRIM([1]raw_orders!I224))</f>
        <v>Panaji</v>
      </c>
      <c r="J224" t="str">
        <f>PROPER(TRIM([1]raw_orders!J224))</f>
        <v>Office Supplies</v>
      </c>
      <c r="K224" t="str">
        <f>PROPER(TRIM([1]raw_orders!K224))</f>
        <v>Storage</v>
      </c>
      <c r="L224" t="s">
        <v>717</v>
      </c>
      <c r="M224" t="str">
        <f>IF('[1]Cleaned Text Field'!M224="","Unknown",'[1]Cleaned Text Field'!M224)</f>
        <v>First Class</v>
      </c>
      <c r="N224">
        <f>IF('[1]Cleaned Text Field'!N224="",0,'[1]Cleaned Text Field'!N224)</f>
        <v>6</v>
      </c>
      <c r="O224">
        <v>4308.09</v>
      </c>
      <c r="P224" s="5">
        <f>IF('[1]Cleaned Text Field'!P224="",0,'[1]Cleaned Text Field'!P224)</f>
        <v>0</v>
      </c>
      <c r="Q224">
        <v>25848.54</v>
      </c>
      <c r="R224">
        <v>17729.09</v>
      </c>
      <c r="S224">
        <v>8119.45</v>
      </c>
      <c r="T224" t="str">
        <f>PROPER(TRIM([1]raw_orders!T224))</f>
        <v>Paid</v>
      </c>
      <c r="U224" t="str">
        <f>PROPER(TRIM([1]raw_orders!U224))</f>
        <v>Completed</v>
      </c>
      <c r="V224" s="6">
        <f t="shared" si="24"/>
        <v>0.31411638723115504</v>
      </c>
      <c r="W224" t="str">
        <f t="shared" si="25"/>
        <v>April</v>
      </c>
      <c r="X224">
        <f t="shared" si="26"/>
        <v>2025</v>
      </c>
      <c r="Y224">
        <f t="shared" si="27"/>
        <v>3</v>
      </c>
      <c r="Z224" s="7">
        <f t="shared" si="28"/>
        <v>0</v>
      </c>
      <c r="AA224">
        <f t="shared" si="29"/>
        <v>25848.54</v>
      </c>
      <c r="AB224">
        <f t="shared" si="30"/>
        <v>8119.4500000000007</v>
      </c>
      <c r="AC224" t="str">
        <f t="shared" si="31"/>
        <v>Clean</v>
      </c>
    </row>
    <row r="225" spans="1:29">
      <c r="A225" t="s">
        <v>718</v>
      </c>
      <c r="B225" s="4">
        <v>45707</v>
      </c>
      <c r="C225" s="4">
        <v>45714</v>
      </c>
      <c r="D225" t="s">
        <v>719</v>
      </c>
      <c r="E225" t="str">
        <f>PROPER(TRIM([1]raw_orders!E225))</f>
        <v>Mira Das</v>
      </c>
      <c r="F225" t="str">
        <f>PROPER(TRIM([1]raw_orders!F225))</f>
        <v>Corporate</v>
      </c>
      <c r="G225" t="str">
        <f>IF('[1]Cleaned Text Field'!G225="","Unknown",'[1]Cleaned Text Field'!G225)</f>
        <v>West</v>
      </c>
      <c r="H225" t="str">
        <f>PROPER(TRIM([1]raw_orders!H225))</f>
        <v>Maharashtra</v>
      </c>
      <c r="I225" t="str">
        <f>PROPER(TRIM([1]raw_orders!I225))</f>
        <v>Mumbai</v>
      </c>
      <c r="J225" t="str">
        <f>PROPER(TRIM([1]raw_orders!J225))</f>
        <v>Furniture</v>
      </c>
      <c r="K225" t="str">
        <f>PROPER(TRIM([1]raw_orders!K225))</f>
        <v>Furnishings</v>
      </c>
      <c r="L225" t="s">
        <v>720</v>
      </c>
      <c r="M225" t="str">
        <f>IF('[1]Cleaned Text Field'!M225="","Unknown",'[1]Cleaned Text Field'!M225)</f>
        <v>First Class</v>
      </c>
      <c r="N225">
        <f>IF('[1]Cleaned Text Field'!N225="",0,'[1]Cleaned Text Field'!N225)</f>
        <v>3</v>
      </c>
      <c r="O225">
        <v>490.3</v>
      </c>
      <c r="P225" s="5">
        <f>IF('[1]Cleaned Text Field'!P225="",0,'[1]Cleaned Text Field'!P225)</f>
        <v>0.2</v>
      </c>
      <c r="Q225">
        <v>1176.72</v>
      </c>
      <c r="R225">
        <v>654.33000000000004</v>
      </c>
      <c r="S225">
        <v>522.39</v>
      </c>
      <c r="T225" t="str">
        <f>PROPER(TRIM([1]raw_orders!T225))</f>
        <v>Pending</v>
      </c>
      <c r="U225" t="str">
        <f>PROPER(TRIM([1]raw_orders!U225))</f>
        <v>Returned</v>
      </c>
      <c r="V225" s="6">
        <f t="shared" si="24"/>
        <v>0.44393738527432181</v>
      </c>
      <c r="W225" t="str">
        <f t="shared" si="25"/>
        <v>February</v>
      </c>
      <c r="X225">
        <f t="shared" si="26"/>
        <v>2025</v>
      </c>
      <c r="Y225">
        <f t="shared" si="27"/>
        <v>7</v>
      </c>
      <c r="Z225" s="7">
        <f t="shared" si="28"/>
        <v>0.2</v>
      </c>
      <c r="AA225">
        <f t="shared" si="29"/>
        <v>1176.72</v>
      </c>
      <c r="AB225">
        <f t="shared" si="30"/>
        <v>522.39</v>
      </c>
      <c r="AC225" t="str">
        <f t="shared" si="31"/>
        <v>Clean</v>
      </c>
    </row>
    <row r="226" spans="1:29">
      <c r="A226" t="s">
        <v>721</v>
      </c>
      <c r="B226" s="4">
        <v>45932</v>
      </c>
      <c r="C226" s="4">
        <v>45938</v>
      </c>
      <c r="D226" t="s">
        <v>722</v>
      </c>
      <c r="E226" t="str">
        <f>PROPER(TRIM([1]raw_orders!E226))</f>
        <v>Isha Nair</v>
      </c>
      <c r="F226" t="str">
        <f>PROPER(TRIM([1]raw_orders!F226))</f>
        <v>Small Business</v>
      </c>
      <c r="G226" t="str">
        <f>IF('[1]Cleaned Text Field'!G226="","Unknown",'[1]Cleaned Text Field'!G226)</f>
        <v>North</v>
      </c>
      <c r="H226" t="str">
        <f>PROPER(TRIM([1]raw_orders!H226))</f>
        <v>Punjab</v>
      </c>
      <c r="I226" t="str">
        <f>PROPER(TRIM([1]raw_orders!I226))</f>
        <v>Ludhiana</v>
      </c>
      <c r="J226" t="str">
        <f>PROPER(TRIM([1]raw_orders!J226))</f>
        <v>Furniture</v>
      </c>
      <c r="K226" t="str">
        <f>PROPER(TRIM([1]raw_orders!K226))</f>
        <v>Furnishings</v>
      </c>
      <c r="L226" t="s">
        <v>723</v>
      </c>
      <c r="M226" t="str">
        <f>IF('[1]Cleaned Text Field'!M226="","Unknown",'[1]Cleaned Text Field'!M226)</f>
        <v>Standard Class</v>
      </c>
      <c r="N226">
        <f>IF('[1]Cleaned Text Field'!N226="",0,'[1]Cleaned Text Field'!N226)</f>
        <v>4</v>
      </c>
      <c r="O226">
        <v>3944.64</v>
      </c>
      <c r="P226" s="5">
        <f>IF('[1]Cleaned Text Field'!P226="",0,'[1]Cleaned Text Field'!P226)</f>
        <v>0.25</v>
      </c>
      <c r="Q226">
        <v>11833.92</v>
      </c>
      <c r="R226">
        <v>6682.92</v>
      </c>
      <c r="S226">
        <v>5151</v>
      </c>
      <c r="T226" t="str">
        <f>PROPER(TRIM([1]raw_orders!T226))</f>
        <v>Paid</v>
      </c>
      <c r="U226" t="str">
        <f>PROPER(TRIM([1]raw_orders!U226))</f>
        <v>Cancelled</v>
      </c>
      <c r="V226" s="6">
        <f t="shared" si="24"/>
        <v>0.43527419485681834</v>
      </c>
      <c r="W226" t="str">
        <f t="shared" si="25"/>
        <v>October</v>
      </c>
      <c r="X226">
        <f t="shared" si="26"/>
        <v>2025</v>
      </c>
      <c r="Y226">
        <f t="shared" si="27"/>
        <v>6</v>
      </c>
      <c r="Z226" s="7">
        <f t="shared" si="28"/>
        <v>0.25</v>
      </c>
      <c r="AA226">
        <f t="shared" si="29"/>
        <v>11833.92</v>
      </c>
      <c r="AB226">
        <f t="shared" si="30"/>
        <v>5151</v>
      </c>
      <c r="AC226" t="str">
        <f t="shared" si="31"/>
        <v>Clean</v>
      </c>
    </row>
    <row r="227" spans="1:29">
      <c r="A227" t="s">
        <v>724</v>
      </c>
      <c r="B227" s="4">
        <v>45537</v>
      </c>
      <c r="C227" s="4">
        <v>45545</v>
      </c>
      <c r="D227" t="s">
        <v>725</v>
      </c>
      <c r="E227" t="str">
        <f>PROPER(TRIM([1]raw_orders!E227))</f>
        <v>Mira Das</v>
      </c>
      <c r="F227" t="str">
        <f>PROPER(TRIM([1]raw_orders!F227))</f>
        <v>Corporate</v>
      </c>
      <c r="G227" t="str">
        <f>IF('[1]Cleaned Text Field'!G227="","Unknown",'[1]Cleaned Text Field'!G227)</f>
        <v>West</v>
      </c>
      <c r="H227" t="str">
        <f>PROPER(TRIM([1]raw_orders!H227))</f>
        <v>Goa</v>
      </c>
      <c r="I227" t="str">
        <f>PROPER(TRIM([1]raw_orders!I227))</f>
        <v>Panaji</v>
      </c>
      <c r="J227" t="str">
        <f>PROPER(TRIM([1]raw_orders!J227))</f>
        <v>Technology</v>
      </c>
      <c r="K227" t="str">
        <f>PROPER(TRIM([1]raw_orders!K227))</f>
        <v>Phones</v>
      </c>
      <c r="L227" t="s">
        <v>726</v>
      </c>
      <c r="M227" t="str">
        <f>IF('[1]Cleaned Text Field'!M227="","Unknown",'[1]Cleaned Text Field'!M227)</f>
        <v>Standard Class</v>
      </c>
      <c r="N227">
        <f>IF('[1]Cleaned Text Field'!N227="",0,'[1]Cleaned Text Field'!N227)</f>
        <v>6</v>
      </c>
      <c r="O227">
        <v>1032.47</v>
      </c>
      <c r="P227" s="5">
        <f>IF('[1]Cleaned Text Field'!P227="",0,'[1]Cleaned Text Field'!P227)</f>
        <v>0.15</v>
      </c>
      <c r="Q227">
        <v>5265.6</v>
      </c>
      <c r="R227">
        <v>4293.1099999999997</v>
      </c>
      <c r="S227">
        <v>787.57</v>
      </c>
      <c r="T227" t="str">
        <f>PROPER(TRIM([1]raw_orders!T227))</f>
        <v>Paid</v>
      </c>
      <c r="U227" t="str">
        <f>PROPER(TRIM([1]raw_orders!U227))</f>
        <v>Completed</v>
      </c>
      <c r="V227" s="6">
        <f t="shared" si="24"/>
        <v>0.14956890003038589</v>
      </c>
      <c r="W227" t="str">
        <f t="shared" si="25"/>
        <v>September</v>
      </c>
      <c r="X227">
        <f t="shared" si="26"/>
        <v>2024</v>
      </c>
      <c r="Y227">
        <f t="shared" si="27"/>
        <v>8</v>
      </c>
      <c r="Z227" s="7">
        <f t="shared" si="28"/>
        <v>0.15</v>
      </c>
      <c r="AA227">
        <f t="shared" si="29"/>
        <v>5265.5969999999998</v>
      </c>
      <c r="AB227">
        <f t="shared" si="30"/>
        <v>972.49000000000069</v>
      </c>
      <c r="AC227" t="str">
        <f t="shared" si="31"/>
        <v>Clean</v>
      </c>
    </row>
    <row r="228" spans="1:29">
      <c r="A228" t="s">
        <v>727</v>
      </c>
      <c r="B228" s="4">
        <v>45934</v>
      </c>
      <c r="C228" s="4">
        <v>45762</v>
      </c>
      <c r="D228" t="s">
        <v>728</v>
      </c>
      <c r="E228" t="str">
        <f>PROPER(TRIM([1]raw_orders!E228))</f>
        <v>Diya Patel</v>
      </c>
      <c r="F228" t="str">
        <f>PROPER(TRIM([1]raw_orders!F228))</f>
        <v>Home Office</v>
      </c>
      <c r="G228" t="str">
        <f>IF('[1]Cleaned Text Field'!G228="","Unknown",'[1]Cleaned Text Field'!G228)</f>
        <v>Unknown</v>
      </c>
      <c r="H228" t="str">
        <f>PROPER(TRIM([1]raw_orders!H228))</f>
        <v>Kerala</v>
      </c>
      <c r="I228" t="str">
        <f>PROPER(TRIM([1]raw_orders!I228))</f>
        <v>Kochi</v>
      </c>
      <c r="J228" t="str">
        <f>PROPER(TRIM([1]raw_orders!J228))</f>
        <v>Technology</v>
      </c>
      <c r="K228" t="str">
        <f>PROPER(TRIM([1]raw_orders!K228))</f>
        <v>Copiers</v>
      </c>
      <c r="L228" t="s">
        <v>729</v>
      </c>
      <c r="M228" t="str">
        <f>IF('[1]Cleaned Text Field'!M228="","Unknown",'[1]Cleaned Text Field'!M228)</f>
        <v>Same Day</v>
      </c>
      <c r="N228">
        <f>IF('[1]Cleaned Text Field'!N228="",0,'[1]Cleaned Text Field'!N228)</f>
        <v>1</v>
      </c>
      <c r="O228">
        <v>2208.27</v>
      </c>
      <c r="P228" s="5">
        <f>IF('[1]Cleaned Text Field'!P228="",0,'[1]Cleaned Text Field'!P228)</f>
        <v>0.1</v>
      </c>
      <c r="Q228">
        <v>1987.44</v>
      </c>
      <c r="R228">
        <v>1110.23</v>
      </c>
      <c r="S228">
        <v>877.21</v>
      </c>
      <c r="T228" t="str">
        <f>PROPER(TRIM([1]raw_orders!T228))</f>
        <v>Paid</v>
      </c>
      <c r="U228" t="str">
        <f>PROPER(TRIM([1]raw_orders!U228))</f>
        <v>Completed</v>
      </c>
      <c r="V228" s="6">
        <f t="shared" si="24"/>
        <v>0.44137684659662685</v>
      </c>
      <c r="W228" t="str">
        <f t="shared" si="25"/>
        <v>October</v>
      </c>
      <c r="X228">
        <f t="shared" si="26"/>
        <v>2025</v>
      </c>
      <c r="Y228">
        <f t="shared" si="27"/>
        <v>-172</v>
      </c>
      <c r="Z228" s="7">
        <f t="shared" si="28"/>
        <v>0.1</v>
      </c>
      <c r="AA228">
        <f t="shared" si="29"/>
        <v>1987.443</v>
      </c>
      <c r="AB228">
        <f t="shared" si="30"/>
        <v>877.21</v>
      </c>
      <c r="AC228" t="str">
        <f t="shared" si="31"/>
        <v>Warning</v>
      </c>
    </row>
    <row r="229" spans="1:29">
      <c r="A229" t="s">
        <v>730</v>
      </c>
      <c r="B229" s="4">
        <v>45478</v>
      </c>
      <c r="C229" s="4">
        <v>45485</v>
      </c>
      <c r="D229" t="s">
        <v>731</v>
      </c>
      <c r="E229" t="str">
        <f>PROPER(TRIM([1]raw_orders!E229))</f>
        <v>Ananya Rao</v>
      </c>
      <c r="F229" t="str">
        <f>PROPER(TRIM([1]raw_orders!F229))</f>
        <v>Small Business</v>
      </c>
      <c r="G229" t="str">
        <f>IF('[1]Cleaned Text Field'!G229="","Unknown",'[1]Cleaned Text Field'!G229)</f>
        <v>West</v>
      </c>
      <c r="H229" t="str">
        <f>PROPER(TRIM([1]raw_orders!H229))</f>
        <v>Goa</v>
      </c>
      <c r="I229" t="str">
        <f>PROPER(TRIM([1]raw_orders!I229))</f>
        <v>Panaji</v>
      </c>
      <c r="J229" t="str">
        <f>PROPER(TRIM([1]raw_orders!J229))</f>
        <v>Office Supplies</v>
      </c>
      <c r="K229" t="str">
        <f>PROPER(TRIM([1]raw_orders!K229))</f>
        <v>Binders</v>
      </c>
      <c r="L229" t="s">
        <v>732</v>
      </c>
      <c r="M229" t="str">
        <f>IF('[1]Cleaned Text Field'!M229="","Unknown",'[1]Cleaned Text Field'!M229)</f>
        <v>First Class</v>
      </c>
      <c r="N229">
        <f>IF('[1]Cleaned Text Field'!N229="",0,'[1]Cleaned Text Field'!N229)</f>
        <v>3</v>
      </c>
      <c r="O229">
        <v>577.75</v>
      </c>
      <c r="P229" s="5">
        <f>IF('[1]Cleaned Text Field'!P229="",0,'[1]Cleaned Text Field'!P229)</f>
        <v>0.15</v>
      </c>
      <c r="Q229">
        <v>1473.26</v>
      </c>
      <c r="R229">
        <v>899.86</v>
      </c>
      <c r="S229">
        <v>573.4</v>
      </c>
      <c r="T229" t="str">
        <f>PROPER(TRIM([1]raw_orders!T229))</f>
        <v>Paid</v>
      </c>
      <c r="U229" t="str">
        <f>PROPER(TRIM([1]raw_orders!U229))</f>
        <v>Completed</v>
      </c>
      <c r="V229" s="6">
        <f t="shared" si="24"/>
        <v>0.38920489255121293</v>
      </c>
      <c r="W229" t="str">
        <f t="shared" si="25"/>
        <v>July</v>
      </c>
      <c r="X229">
        <f t="shared" si="26"/>
        <v>2024</v>
      </c>
      <c r="Y229">
        <f t="shared" si="27"/>
        <v>7</v>
      </c>
      <c r="Z229" s="7">
        <f t="shared" si="28"/>
        <v>0.15</v>
      </c>
      <c r="AA229">
        <f t="shared" si="29"/>
        <v>1473.2625</v>
      </c>
      <c r="AB229">
        <f t="shared" si="30"/>
        <v>573.4</v>
      </c>
      <c r="AC229" t="str">
        <f t="shared" si="31"/>
        <v>Clean</v>
      </c>
    </row>
    <row r="230" spans="1:29">
      <c r="A230" t="s">
        <v>733</v>
      </c>
      <c r="B230" s="4">
        <v>45406</v>
      </c>
      <c r="C230" s="4">
        <v>45410</v>
      </c>
      <c r="D230" t="s">
        <v>734</v>
      </c>
      <c r="E230" t="str">
        <f>PROPER(TRIM([1]raw_orders!E230))</f>
        <v>Karan Malhotra</v>
      </c>
      <c r="F230" t="str">
        <f>PROPER(TRIM([1]raw_orders!F230))</f>
        <v>Small Business</v>
      </c>
      <c r="G230" t="str">
        <f>IF('[1]Cleaned Text Field'!G230="","Unknown",'[1]Cleaned Text Field'!G230)</f>
        <v>South</v>
      </c>
      <c r="H230" t="str">
        <f>PROPER(TRIM([1]raw_orders!H230))</f>
        <v>Telangana</v>
      </c>
      <c r="I230" t="str">
        <f>PROPER(TRIM([1]raw_orders!I230))</f>
        <v>Hyderabad</v>
      </c>
      <c r="J230" t="str">
        <f>PROPER(TRIM([1]raw_orders!J230))</f>
        <v>Office Supplies</v>
      </c>
      <c r="K230" t="str">
        <f>PROPER(TRIM([1]raw_orders!K230))</f>
        <v>Labels</v>
      </c>
      <c r="L230" t="s">
        <v>735</v>
      </c>
      <c r="M230" t="str">
        <f>IF('[1]Cleaned Text Field'!M230="","Unknown",'[1]Cleaned Text Field'!M230)</f>
        <v>Second Class</v>
      </c>
      <c r="N230">
        <f>IF('[1]Cleaned Text Field'!N230="",0,'[1]Cleaned Text Field'!N230)</f>
        <v>1</v>
      </c>
      <c r="O230">
        <v>3194.37</v>
      </c>
      <c r="P230" s="5">
        <f>IF('[1]Cleaned Text Field'!P230="",0,'[1]Cleaned Text Field'!P230)</f>
        <v>0.15</v>
      </c>
      <c r="Q230">
        <v>2715.21</v>
      </c>
      <c r="R230">
        <v>1551.55</v>
      </c>
      <c r="S230">
        <v>1163.6600000000001</v>
      </c>
      <c r="T230" t="str">
        <f>PROPER(TRIM([1]raw_orders!T230))</f>
        <v>Paid</v>
      </c>
      <c r="U230" t="str">
        <f>PROPER(TRIM([1]raw_orders!U230))</f>
        <v>Completed</v>
      </c>
      <c r="V230" s="6">
        <f t="shared" si="24"/>
        <v>0.4285709024348025</v>
      </c>
      <c r="W230" t="str">
        <f t="shared" si="25"/>
        <v>April</v>
      </c>
      <c r="X230">
        <f t="shared" si="26"/>
        <v>2024</v>
      </c>
      <c r="Y230">
        <f t="shared" si="27"/>
        <v>4</v>
      </c>
      <c r="Z230" s="7">
        <f t="shared" si="28"/>
        <v>0.15</v>
      </c>
      <c r="AA230">
        <f t="shared" si="29"/>
        <v>2715.2145</v>
      </c>
      <c r="AB230">
        <f t="shared" si="30"/>
        <v>1163.6600000000001</v>
      </c>
      <c r="AC230" t="str">
        <f t="shared" si="31"/>
        <v>Clean</v>
      </c>
    </row>
    <row r="231" spans="1:29">
      <c r="A231" t="s">
        <v>736</v>
      </c>
      <c r="B231" s="4">
        <v>45836</v>
      </c>
      <c r="C231" s="4">
        <v>45842</v>
      </c>
      <c r="D231" t="s">
        <v>737</v>
      </c>
      <c r="E231" t="str">
        <f>PROPER(TRIM([1]raw_orders!E231))</f>
        <v>Rohan Mehta</v>
      </c>
      <c r="F231" t="str">
        <f>PROPER(TRIM([1]raw_orders!F231))</f>
        <v>Consumer</v>
      </c>
      <c r="G231" t="str">
        <f>IF('[1]Cleaned Text Field'!G231="","Unknown",'[1]Cleaned Text Field'!G231)</f>
        <v>South</v>
      </c>
      <c r="H231" t="str">
        <f>PROPER(TRIM([1]raw_orders!H231))</f>
        <v>Telangana</v>
      </c>
      <c r="I231" t="str">
        <f>PROPER(TRIM([1]raw_orders!I231))</f>
        <v>Hyderabad</v>
      </c>
      <c r="J231" t="str">
        <f>PROPER(TRIM([1]raw_orders!J231))</f>
        <v>Furniture</v>
      </c>
      <c r="K231" t="str">
        <f>PROPER(TRIM([1]raw_orders!K231))</f>
        <v>Bookcases</v>
      </c>
      <c r="L231" t="s">
        <v>738</v>
      </c>
      <c r="M231" t="str">
        <f>IF('[1]Cleaned Text Field'!M231="","Unknown",'[1]Cleaned Text Field'!M231)</f>
        <v>First Class</v>
      </c>
      <c r="N231">
        <f>IF('[1]Cleaned Text Field'!N231="",0,'[1]Cleaned Text Field'!N231)</f>
        <v>3</v>
      </c>
      <c r="O231">
        <v>2886.23</v>
      </c>
      <c r="P231" s="5">
        <f>IF('[1]Cleaned Text Field'!P231="",0,'[1]Cleaned Text Field'!P231)</f>
        <v>0</v>
      </c>
      <c r="Q231">
        <v>8658.69</v>
      </c>
      <c r="R231">
        <v>5535.94</v>
      </c>
      <c r="S231">
        <v>3122.75</v>
      </c>
      <c r="T231" t="str">
        <f>PROPER(TRIM([1]raw_orders!T231))</f>
        <v>Refunded</v>
      </c>
      <c r="U231" t="str">
        <f>PROPER(TRIM([1]raw_orders!U231))</f>
        <v>Returned</v>
      </c>
      <c r="V231" s="6">
        <f t="shared" si="24"/>
        <v>0.36064924370776641</v>
      </c>
      <c r="W231" t="str">
        <f t="shared" si="25"/>
        <v>June</v>
      </c>
      <c r="X231">
        <f t="shared" si="26"/>
        <v>2025</v>
      </c>
      <c r="Y231">
        <f t="shared" si="27"/>
        <v>6</v>
      </c>
      <c r="Z231" s="7">
        <f t="shared" si="28"/>
        <v>0</v>
      </c>
      <c r="AA231">
        <f t="shared" si="29"/>
        <v>8658.69</v>
      </c>
      <c r="AB231">
        <f t="shared" si="30"/>
        <v>3122.7500000000009</v>
      </c>
      <c r="AC231" t="str">
        <f t="shared" si="31"/>
        <v>Clean</v>
      </c>
    </row>
    <row r="232" spans="1:29">
      <c r="A232" t="s">
        <v>739</v>
      </c>
      <c r="B232" s="4">
        <v>45440</v>
      </c>
      <c r="C232" s="4">
        <v>45357</v>
      </c>
      <c r="D232" t="s">
        <v>740</v>
      </c>
      <c r="E232" t="str">
        <f>PROPER(TRIM([1]raw_orders!E232))</f>
        <v>Neha Gupta</v>
      </c>
      <c r="F232" t="str">
        <f>PROPER(TRIM([1]raw_orders!F232))</f>
        <v>Small Business</v>
      </c>
      <c r="G232" t="str">
        <f>IF('[1]Cleaned Text Field'!G232="","Unknown",'[1]Cleaned Text Field'!G232)</f>
        <v>North</v>
      </c>
      <c r="H232" t="str">
        <f>PROPER(TRIM([1]raw_orders!H232))</f>
        <v>Rajasthan</v>
      </c>
      <c r="I232" t="str">
        <f>PROPER(TRIM([1]raw_orders!I232))</f>
        <v>Jaipur</v>
      </c>
      <c r="J232" t="str">
        <f>PROPER(TRIM([1]raw_orders!J232))</f>
        <v>Office Supplies</v>
      </c>
      <c r="K232" t="str">
        <f>PROPER(TRIM([1]raw_orders!K232))</f>
        <v>Paper</v>
      </c>
      <c r="L232" t="s">
        <v>741</v>
      </c>
      <c r="M232" t="str">
        <f>IF('[1]Cleaned Text Field'!M232="","Unknown",'[1]Cleaned Text Field'!M232)</f>
        <v>Standard Class</v>
      </c>
      <c r="N232">
        <f>IF('[1]Cleaned Text Field'!N232="",0,'[1]Cleaned Text Field'!N232)</f>
        <v>8</v>
      </c>
      <c r="O232">
        <v>1540.33</v>
      </c>
      <c r="P232" s="5">
        <f>IF('[1]Cleaned Text Field'!P232="",0,'[1]Cleaned Text Field'!P232)</f>
        <v>0.1</v>
      </c>
      <c r="Q232">
        <v>11090.38</v>
      </c>
      <c r="R232">
        <v>8840.9500000000007</v>
      </c>
      <c r="S232">
        <v>2249.4299999999998</v>
      </c>
      <c r="T232" t="str">
        <f>PROPER(TRIM([1]raw_orders!T232))</f>
        <v>Paid</v>
      </c>
      <c r="U232" t="str">
        <f>PROPER(TRIM([1]raw_orders!U232))</f>
        <v>Completed</v>
      </c>
      <c r="V232" s="6">
        <f t="shared" si="24"/>
        <v>0.20282713486823717</v>
      </c>
      <c r="W232" t="str">
        <f t="shared" si="25"/>
        <v>May</v>
      </c>
      <c r="X232">
        <f t="shared" si="26"/>
        <v>2024</v>
      </c>
      <c r="Y232">
        <f t="shared" si="27"/>
        <v>-83</v>
      </c>
      <c r="Z232" s="7">
        <f t="shared" si="28"/>
        <v>0.1</v>
      </c>
      <c r="AA232">
        <f t="shared" si="29"/>
        <v>11090.376</v>
      </c>
      <c r="AB232">
        <f t="shared" si="30"/>
        <v>2249.4299999999985</v>
      </c>
      <c r="AC232" t="str">
        <f t="shared" si="31"/>
        <v>Warning</v>
      </c>
    </row>
    <row r="233" spans="1:29">
      <c r="A233" t="s">
        <v>742</v>
      </c>
      <c r="B233" s="4">
        <v>45414</v>
      </c>
      <c r="C233" s="4">
        <v>45414</v>
      </c>
      <c r="D233" t="s">
        <v>743</v>
      </c>
      <c r="E233" t="str">
        <f>PROPER(TRIM([1]raw_orders!E233))</f>
        <v>Ananya Rao</v>
      </c>
      <c r="F233" t="str">
        <f>PROPER(TRIM([1]raw_orders!F233))</f>
        <v>Corporate</v>
      </c>
      <c r="G233" t="str">
        <f>IF('[1]Cleaned Text Field'!G233="","Unknown",'[1]Cleaned Text Field'!G233)</f>
        <v>North</v>
      </c>
      <c r="H233" t="str">
        <f>PROPER(TRIM([1]raw_orders!H233))</f>
        <v>Rajasthan</v>
      </c>
      <c r="I233" t="str">
        <f>PROPER(TRIM([1]raw_orders!I233))</f>
        <v>Jaipur</v>
      </c>
      <c r="J233" t="str">
        <f>PROPER(TRIM([1]raw_orders!J233))</f>
        <v>Office Supplies</v>
      </c>
      <c r="K233" t="str">
        <f>PROPER(TRIM([1]raw_orders!K233))</f>
        <v>Labels</v>
      </c>
      <c r="L233" t="s">
        <v>744</v>
      </c>
      <c r="M233" t="str">
        <f>IF('[1]Cleaned Text Field'!M233="","Unknown",'[1]Cleaned Text Field'!M233)</f>
        <v>First Class</v>
      </c>
      <c r="N233">
        <f>IF('[1]Cleaned Text Field'!N233="",0,'[1]Cleaned Text Field'!N233)</f>
        <v>7</v>
      </c>
      <c r="O233">
        <v>2183.38</v>
      </c>
      <c r="P233" s="5">
        <f>IF('[1]Cleaned Text Field'!P233="",0,'[1]Cleaned Text Field'!P233)</f>
        <v>0.25</v>
      </c>
      <c r="Q233">
        <v>11462.74</v>
      </c>
      <c r="R233">
        <v>7163.54</v>
      </c>
      <c r="S233">
        <v>4299.2</v>
      </c>
      <c r="T233" t="str">
        <f>PROPER(TRIM([1]raw_orders!T233))</f>
        <v>Refunded</v>
      </c>
      <c r="U233" t="str">
        <f>PROPER(TRIM([1]raw_orders!U233))</f>
        <v>Cancelled</v>
      </c>
      <c r="V233" s="6">
        <f t="shared" si="24"/>
        <v>0.37505866834631163</v>
      </c>
      <c r="W233" t="str">
        <f t="shared" si="25"/>
        <v>May</v>
      </c>
      <c r="X233">
        <f t="shared" si="26"/>
        <v>2024</v>
      </c>
      <c r="Y233">
        <f t="shared" si="27"/>
        <v>0</v>
      </c>
      <c r="Z233" s="7">
        <f t="shared" si="28"/>
        <v>0.25</v>
      </c>
      <c r="AA233">
        <f t="shared" si="29"/>
        <v>11462.744999999999</v>
      </c>
      <c r="AB233">
        <f t="shared" si="30"/>
        <v>4299.2</v>
      </c>
      <c r="AC233" t="str">
        <f t="shared" si="31"/>
        <v>Clean</v>
      </c>
    </row>
    <row r="234" spans="1:29">
      <c r="A234" t="s">
        <v>745</v>
      </c>
      <c r="B234" s="4">
        <v>45812</v>
      </c>
      <c r="C234" s="4">
        <v>45818</v>
      </c>
      <c r="D234" t="s">
        <v>746</v>
      </c>
      <c r="E234" t="str">
        <f>PROPER(TRIM([1]raw_orders!E234))</f>
        <v>Rahul Verma</v>
      </c>
      <c r="F234" t="str">
        <f>PROPER(TRIM([1]raw_orders!F234))</f>
        <v>Consumer</v>
      </c>
      <c r="G234" t="str">
        <f>IF('[1]Cleaned Text Field'!G234="","Unknown",'[1]Cleaned Text Field'!G234)</f>
        <v>South</v>
      </c>
      <c r="H234" t="str">
        <f>PROPER(TRIM([1]raw_orders!H234))</f>
        <v>Andhra Pradesh</v>
      </c>
      <c r="I234" t="str">
        <f>PROPER(TRIM([1]raw_orders!I234))</f>
        <v>Vijayawada</v>
      </c>
      <c r="J234" t="str">
        <f>PROPER(TRIM([1]raw_orders!J234))</f>
        <v>Technology</v>
      </c>
      <c r="K234" t="str">
        <f>PROPER(TRIM([1]raw_orders!K234))</f>
        <v>Phones</v>
      </c>
      <c r="L234" t="s">
        <v>747</v>
      </c>
      <c r="M234" t="str">
        <f>IF('[1]Cleaned Text Field'!M234="","Unknown",'[1]Cleaned Text Field'!M234)</f>
        <v>Standard Class</v>
      </c>
      <c r="N234">
        <f>IF('[1]Cleaned Text Field'!N234="",0,'[1]Cleaned Text Field'!N234)</f>
        <v>4</v>
      </c>
      <c r="O234">
        <v>223.37</v>
      </c>
      <c r="P234" s="5">
        <f>IF('[1]Cleaned Text Field'!P234="",0,'[1]Cleaned Text Field'!P234)</f>
        <v>0.25</v>
      </c>
      <c r="Q234">
        <v>670.11</v>
      </c>
      <c r="R234">
        <v>559.57000000000005</v>
      </c>
      <c r="S234">
        <v>110.54</v>
      </c>
      <c r="T234" t="str">
        <f>PROPER(TRIM([1]raw_orders!T234))</f>
        <v>Paid</v>
      </c>
      <c r="U234" t="str">
        <f>PROPER(TRIM([1]raw_orders!U234))</f>
        <v>Completed</v>
      </c>
      <c r="V234" s="6">
        <f t="shared" si="24"/>
        <v>0.16495799197146738</v>
      </c>
      <c r="W234" t="str">
        <f t="shared" si="25"/>
        <v>June</v>
      </c>
      <c r="X234">
        <f t="shared" si="26"/>
        <v>2025</v>
      </c>
      <c r="Y234">
        <f t="shared" si="27"/>
        <v>6</v>
      </c>
      <c r="Z234" s="7">
        <f t="shared" si="28"/>
        <v>0.25</v>
      </c>
      <c r="AA234">
        <f t="shared" si="29"/>
        <v>670.11</v>
      </c>
      <c r="AB234">
        <f t="shared" si="30"/>
        <v>110.53999999999996</v>
      </c>
      <c r="AC234" t="str">
        <f t="shared" si="31"/>
        <v>Clean</v>
      </c>
    </row>
    <row r="235" spans="1:29">
      <c r="A235" t="s">
        <v>748</v>
      </c>
      <c r="B235" s="4">
        <v>45579</v>
      </c>
      <c r="C235" s="4">
        <v>45579</v>
      </c>
      <c r="D235" t="s">
        <v>749</v>
      </c>
      <c r="E235" t="str">
        <f>PROPER(TRIM([1]raw_orders!E235))</f>
        <v>Vikram Iyer</v>
      </c>
      <c r="F235" t="str">
        <f>PROPER(TRIM([1]raw_orders!F235))</f>
        <v>Corporate</v>
      </c>
      <c r="G235" t="str">
        <f>IF('[1]Cleaned Text Field'!G235="","Unknown",'[1]Cleaned Text Field'!G235)</f>
        <v>South</v>
      </c>
      <c r="H235" t="str">
        <f>PROPER(TRIM([1]raw_orders!H235))</f>
        <v>Karnataka</v>
      </c>
      <c r="I235" t="str">
        <f>PROPER(TRIM([1]raw_orders!I235))</f>
        <v>Bengaluru</v>
      </c>
      <c r="J235" t="str">
        <f>PROPER(TRIM([1]raw_orders!J235))</f>
        <v>Furniture</v>
      </c>
      <c r="K235" t="str">
        <f>PROPER(TRIM([1]raw_orders!K235))</f>
        <v>Bookcases</v>
      </c>
      <c r="L235" t="s">
        <v>750</v>
      </c>
      <c r="M235" t="str">
        <f>IF('[1]Cleaned Text Field'!M235="","Unknown",'[1]Cleaned Text Field'!M235)</f>
        <v>Unknown</v>
      </c>
      <c r="N235">
        <f>IF('[1]Cleaned Text Field'!N235="",0,'[1]Cleaned Text Field'!N235)</f>
        <v>8</v>
      </c>
      <c r="O235">
        <v>3904.59</v>
      </c>
      <c r="P235" s="5">
        <f>IF('[1]Cleaned Text Field'!P235="",0,'[1]Cleaned Text Field'!P235)</f>
        <v>0</v>
      </c>
      <c r="Q235">
        <v>31236.720000000001</v>
      </c>
      <c r="R235">
        <v>26377.7</v>
      </c>
      <c r="S235">
        <v>4859.0200000000004</v>
      </c>
      <c r="T235" t="str">
        <f>PROPER(TRIM([1]raw_orders!T235))</f>
        <v>Paid</v>
      </c>
      <c r="U235" t="str">
        <f>PROPER(TRIM([1]raw_orders!U235))</f>
        <v>Completed</v>
      </c>
      <c r="V235" s="6">
        <f t="shared" si="24"/>
        <v>0.15555474454424154</v>
      </c>
      <c r="W235" t="str">
        <f t="shared" si="25"/>
        <v>October</v>
      </c>
      <c r="X235">
        <f t="shared" si="26"/>
        <v>2024</v>
      </c>
      <c r="Y235">
        <f t="shared" si="27"/>
        <v>0</v>
      </c>
      <c r="Z235" s="7">
        <f t="shared" si="28"/>
        <v>0</v>
      </c>
      <c r="AA235">
        <f t="shared" si="29"/>
        <v>31236.720000000001</v>
      </c>
      <c r="AB235">
        <f t="shared" si="30"/>
        <v>4859.0200000000004</v>
      </c>
      <c r="AC235" t="str">
        <f t="shared" si="31"/>
        <v>Clean</v>
      </c>
    </row>
    <row r="236" spans="1:29">
      <c r="A236" t="s">
        <v>751</v>
      </c>
      <c r="B236" s="4">
        <v>45537</v>
      </c>
      <c r="C236" s="4">
        <v>45538</v>
      </c>
      <c r="D236" t="s">
        <v>752</v>
      </c>
      <c r="E236" t="str">
        <f>PROPER(TRIM([1]raw_orders!E236))</f>
        <v>Kabir Singh</v>
      </c>
      <c r="F236" t="str">
        <f>PROPER(TRIM([1]raw_orders!F236))</f>
        <v>Home Office</v>
      </c>
      <c r="G236" t="str">
        <f>IF('[1]Cleaned Text Field'!G236="","Unknown",'[1]Cleaned Text Field'!G236)</f>
        <v>North</v>
      </c>
      <c r="H236" t="str">
        <f>PROPER(TRIM([1]raw_orders!H236))</f>
        <v>Delhi</v>
      </c>
      <c r="I236" t="str">
        <f>PROPER(TRIM([1]raw_orders!I236))</f>
        <v>New Delhi</v>
      </c>
      <c r="J236" t="str">
        <f>PROPER(TRIM([1]raw_orders!J236))</f>
        <v>Furniture</v>
      </c>
      <c r="K236" t="str">
        <f>PROPER(TRIM([1]raw_orders!K236))</f>
        <v>Furnishings</v>
      </c>
      <c r="L236" t="s">
        <v>753</v>
      </c>
      <c r="M236" t="str">
        <f>IF('[1]Cleaned Text Field'!M236="","Unknown",'[1]Cleaned Text Field'!M236)</f>
        <v>First Class</v>
      </c>
      <c r="N236">
        <f>IF('[1]Cleaned Text Field'!N236="",0,'[1]Cleaned Text Field'!N236)</f>
        <v>9</v>
      </c>
      <c r="O236">
        <v>1353.61</v>
      </c>
      <c r="P236" s="5">
        <f>IF('[1]Cleaned Text Field'!P236="",0,'[1]Cleaned Text Field'!P236)</f>
        <v>0.1</v>
      </c>
      <c r="Q236">
        <v>10964.24</v>
      </c>
      <c r="R236">
        <v>9262.4699999999993</v>
      </c>
      <c r="S236">
        <v>1701.77</v>
      </c>
      <c r="T236" t="str">
        <f>PROPER(TRIM([1]raw_orders!T236))</f>
        <v>Paid</v>
      </c>
      <c r="U236" t="str">
        <f>PROPER(TRIM([1]raw_orders!U236))</f>
        <v>Completed</v>
      </c>
      <c r="V236" s="6">
        <f t="shared" si="24"/>
        <v>0.15521094029317126</v>
      </c>
      <c r="W236" t="str">
        <f t="shared" si="25"/>
        <v>September</v>
      </c>
      <c r="X236">
        <f t="shared" si="26"/>
        <v>2024</v>
      </c>
      <c r="Y236">
        <f t="shared" si="27"/>
        <v>1</v>
      </c>
      <c r="Z236" s="7">
        <f t="shared" si="28"/>
        <v>0.1</v>
      </c>
      <c r="AA236">
        <f t="shared" si="29"/>
        <v>10964.241</v>
      </c>
      <c r="AB236">
        <f t="shared" si="30"/>
        <v>1701.7700000000004</v>
      </c>
      <c r="AC236" t="str">
        <f t="shared" si="31"/>
        <v>Clean</v>
      </c>
    </row>
    <row r="237" spans="1:29">
      <c r="A237" t="s">
        <v>754</v>
      </c>
      <c r="B237" s="4">
        <v>45598</v>
      </c>
      <c r="C237" s="4">
        <v>45599</v>
      </c>
      <c r="D237" t="s">
        <v>755</v>
      </c>
      <c r="E237" t="str">
        <f>PROPER(TRIM([1]raw_orders!E237))</f>
        <v>Rahul Verma</v>
      </c>
      <c r="F237" t="str">
        <f>PROPER(TRIM([1]raw_orders!F237))</f>
        <v>Small Business</v>
      </c>
      <c r="G237" t="str">
        <f>IF('[1]Cleaned Text Field'!G237="","Unknown",'[1]Cleaned Text Field'!G237)</f>
        <v>West</v>
      </c>
      <c r="H237" t="str">
        <f>PROPER(TRIM([1]raw_orders!H237))</f>
        <v>Rajasthan</v>
      </c>
      <c r="I237" t="str">
        <f>PROPER(TRIM([1]raw_orders!I237))</f>
        <v>Udaipur</v>
      </c>
      <c r="J237" t="str">
        <f>PROPER(TRIM([1]raw_orders!J237))</f>
        <v>Office Supplies</v>
      </c>
      <c r="K237" t="str">
        <f>PROPER(TRIM([1]raw_orders!K237))</f>
        <v>Storage</v>
      </c>
      <c r="L237" t="s">
        <v>756</v>
      </c>
      <c r="M237" t="str">
        <f>IF('[1]Cleaned Text Field'!M237="","Unknown",'[1]Cleaned Text Field'!M237)</f>
        <v>Standard Class</v>
      </c>
      <c r="N237">
        <f>IF('[1]Cleaned Text Field'!N237="",0,'[1]Cleaned Text Field'!N237)</f>
        <v>6</v>
      </c>
      <c r="O237">
        <v>2671.29</v>
      </c>
      <c r="P237" s="5">
        <f>IF('[1]Cleaned Text Field'!P237="",0,'[1]Cleaned Text Field'!P237)</f>
        <v>0.05</v>
      </c>
      <c r="Q237">
        <v>15226.35</v>
      </c>
      <c r="R237">
        <v>11145.28</v>
      </c>
      <c r="S237">
        <v>4081.07</v>
      </c>
      <c r="T237" t="str">
        <f>PROPER(TRIM([1]raw_orders!T237))</f>
        <v>Paid</v>
      </c>
      <c r="U237" t="str">
        <f>PROPER(TRIM([1]raw_orders!U237))</f>
        <v>Completed</v>
      </c>
      <c r="V237" s="6">
        <f t="shared" si="24"/>
        <v>0.26802680878871166</v>
      </c>
      <c r="W237" t="str">
        <f t="shared" si="25"/>
        <v>November</v>
      </c>
      <c r="X237">
        <f t="shared" si="26"/>
        <v>2024</v>
      </c>
      <c r="Y237">
        <f t="shared" si="27"/>
        <v>1</v>
      </c>
      <c r="Z237" s="7">
        <f t="shared" si="28"/>
        <v>0.05</v>
      </c>
      <c r="AA237">
        <f t="shared" si="29"/>
        <v>15226.352999999999</v>
      </c>
      <c r="AB237">
        <f t="shared" si="30"/>
        <v>4081.0699999999997</v>
      </c>
      <c r="AC237" t="str">
        <f t="shared" si="31"/>
        <v>Clean</v>
      </c>
    </row>
    <row r="238" spans="1:29">
      <c r="A238" t="s">
        <v>757</v>
      </c>
      <c r="B238" s="4">
        <v>45579</v>
      </c>
      <c r="C238" s="4">
        <v>45586</v>
      </c>
      <c r="D238" t="s">
        <v>758</v>
      </c>
      <c r="E238" t="str">
        <f>PROPER(TRIM([1]raw_orders!E238))</f>
        <v>Priya Menon</v>
      </c>
      <c r="F238" t="str">
        <f>PROPER(TRIM([1]raw_orders!F238))</f>
        <v>Corporate</v>
      </c>
      <c r="G238" t="str">
        <f>IF('[1]Cleaned Text Field'!G238="","Unknown",'[1]Cleaned Text Field'!G238)</f>
        <v>North</v>
      </c>
      <c r="H238" t="str">
        <f>PROPER(TRIM([1]raw_orders!H238))</f>
        <v>Uttar Pradesh</v>
      </c>
      <c r="I238" t="str">
        <f>PROPER(TRIM([1]raw_orders!I238))</f>
        <v>Noida</v>
      </c>
      <c r="J238" t="str">
        <f>PROPER(TRIM([1]raw_orders!J238))</f>
        <v>Furniture</v>
      </c>
      <c r="K238" t="str">
        <f>PROPER(TRIM([1]raw_orders!K238))</f>
        <v>Bookcases</v>
      </c>
      <c r="L238" t="s">
        <v>759</v>
      </c>
      <c r="M238" t="str">
        <f>IF('[1]Cleaned Text Field'!M238="","Unknown",'[1]Cleaned Text Field'!M238)</f>
        <v>First Class</v>
      </c>
      <c r="N238">
        <f>IF('[1]Cleaned Text Field'!N238="",0,'[1]Cleaned Text Field'!N238)</f>
        <v>6</v>
      </c>
      <c r="O238">
        <v>4062.78</v>
      </c>
      <c r="P238" s="5">
        <f>IF('[1]Cleaned Text Field'!P238="",0,'[1]Cleaned Text Field'!P238)</f>
        <v>0</v>
      </c>
      <c r="Q238">
        <v>24376.68</v>
      </c>
      <c r="R238">
        <v>18533.39</v>
      </c>
      <c r="S238">
        <v>5843.29</v>
      </c>
      <c r="T238" t="str">
        <f>PROPER(TRIM([1]raw_orders!T238))</f>
        <v>Paid</v>
      </c>
      <c r="U238" t="str">
        <f>PROPER(TRIM([1]raw_orders!U238))</f>
        <v>Completed</v>
      </c>
      <c r="V238" s="6">
        <f t="shared" si="24"/>
        <v>0.23970819652224995</v>
      </c>
      <c r="W238" t="str">
        <f t="shared" si="25"/>
        <v>October</v>
      </c>
      <c r="X238">
        <f t="shared" si="26"/>
        <v>2024</v>
      </c>
      <c r="Y238">
        <f t="shared" si="27"/>
        <v>7</v>
      </c>
      <c r="Z238" s="7">
        <f t="shared" si="28"/>
        <v>0</v>
      </c>
      <c r="AA238">
        <f t="shared" si="29"/>
        <v>24376.68</v>
      </c>
      <c r="AB238">
        <f t="shared" si="30"/>
        <v>5843.2900000000009</v>
      </c>
      <c r="AC238" t="str">
        <f t="shared" si="31"/>
        <v>Clean</v>
      </c>
    </row>
    <row r="239" spans="1:29">
      <c r="A239" t="s">
        <v>760</v>
      </c>
      <c r="B239" s="4">
        <v>45531</v>
      </c>
      <c r="C239" s="4">
        <v>45531</v>
      </c>
      <c r="D239" t="s">
        <v>761</v>
      </c>
      <c r="E239" t="str">
        <f>PROPER(TRIM([1]raw_orders!E239))</f>
        <v>Mira Das</v>
      </c>
      <c r="F239" t="str">
        <f>PROPER(TRIM([1]raw_orders!F239))</f>
        <v>Consumer</v>
      </c>
      <c r="G239" t="str">
        <f>IF('[1]Cleaned Text Field'!G239="","Unknown",'[1]Cleaned Text Field'!G239)</f>
        <v>North</v>
      </c>
      <c r="H239" t="str">
        <f>PROPER(TRIM([1]raw_orders!H239))</f>
        <v>Haryana</v>
      </c>
      <c r="I239" t="str">
        <f>PROPER(TRIM([1]raw_orders!I239))</f>
        <v>Gurugram</v>
      </c>
      <c r="J239" t="str">
        <f>PROPER(TRIM([1]raw_orders!J239))</f>
        <v>Technology</v>
      </c>
      <c r="K239" t="str">
        <f>PROPER(TRIM([1]raw_orders!K239))</f>
        <v>Copiers</v>
      </c>
      <c r="L239" t="s">
        <v>762</v>
      </c>
      <c r="M239" t="str">
        <f>IF('[1]Cleaned Text Field'!M239="","Unknown",'[1]Cleaned Text Field'!M239)</f>
        <v>Standard Class</v>
      </c>
      <c r="N239">
        <f>IF('[1]Cleaned Text Field'!N239="",0,'[1]Cleaned Text Field'!N239)</f>
        <v>9</v>
      </c>
      <c r="O239">
        <v>2330.3000000000002</v>
      </c>
      <c r="P239" s="5">
        <f>IF('[1]Cleaned Text Field'!P239="",0,'[1]Cleaned Text Field'!P239)</f>
        <v>0</v>
      </c>
      <c r="Q239">
        <v>20972.7</v>
      </c>
      <c r="R239">
        <v>13504.88</v>
      </c>
      <c r="S239">
        <v>7467.82</v>
      </c>
      <c r="T239" t="str">
        <f>PROPER(TRIM([1]raw_orders!T239))</f>
        <v>Paid</v>
      </c>
      <c r="U239" t="str">
        <f>PROPER(TRIM([1]raw_orders!U239))</f>
        <v>Completed</v>
      </c>
      <c r="V239" s="6">
        <f t="shared" si="24"/>
        <v>0.35607337157352176</v>
      </c>
      <c r="W239" t="str">
        <f t="shared" si="25"/>
        <v>August</v>
      </c>
      <c r="X239">
        <f t="shared" si="26"/>
        <v>2024</v>
      </c>
      <c r="Y239">
        <f t="shared" si="27"/>
        <v>0</v>
      </c>
      <c r="Z239" s="7">
        <f t="shared" si="28"/>
        <v>0</v>
      </c>
      <c r="AA239">
        <f t="shared" si="29"/>
        <v>20972.7</v>
      </c>
      <c r="AB239">
        <f t="shared" si="30"/>
        <v>7467.8200000000015</v>
      </c>
      <c r="AC239" t="str">
        <f t="shared" si="31"/>
        <v>Clean</v>
      </c>
    </row>
    <row r="240" spans="1:29">
      <c r="A240" t="s">
        <v>763</v>
      </c>
      <c r="B240" s="4">
        <v>45303</v>
      </c>
      <c r="C240" s="4">
        <v>45308</v>
      </c>
      <c r="D240" t="s">
        <v>764</v>
      </c>
      <c r="E240" t="str">
        <f>PROPER(TRIM([1]raw_orders!E240))</f>
        <v>Arjun Bose</v>
      </c>
      <c r="F240" t="str">
        <f>PROPER(TRIM([1]raw_orders!F240))</f>
        <v>Consumer</v>
      </c>
      <c r="G240" t="str">
        <f>IF('[1]Cleaned Text Field'!G240="","Unknown",'[1]Cleaned Text Field'!G240)</f>
        <v>South</v>
      </c>
      <c r="H240" t="str">
        <f>PROPER(TRIM([1]raw_orders!H240))</f>
        <v>Andhra Pradesh</v>
      </c>
      <c r="I240" t="str">
        <f>PROPER(TRIM([1]raw_orders!I240))</f>
        <v>Vijayawada</v>
      </c>
      <c r="J240" t="str">
        <f>PROPER(TRIM([1]raw_orders!J240))</f>
        <v>Office Supplies</v>
      </c>
      <c r="K240" t="str">
        <f>PROPER(TRIM([1]raw_orders!K240))</f>
        <v>Storage</v>
      </c>
      <c r="L240" t="s">
        <v>765</v>
      </c>
      <c r="M240" t="str">
        <f>IF('[1]Cleaned Text Field'!M240="","Unknown",'[1]Cleaned Text Field'!M240)</f>
        <v>First Class</v>
      </c>
      <c r="N240">
        <f>IF('[1]Cleaned Text Field'!N240="",0,'[1]Cleaned Text Field'!N240)</f>
        <v>7</v>
      </c>
      <c r="O240">
        <v>4005.05</v>
      </c>
      <c r="P240" s="5">
        <f>IF('[1]Cleaned Text Field'!P240="",0,'[1]Cleaned Text Field'!P240)</f>
        <v>0.55000000000000004</v>
      </c>
      <c r="Q240">
        <v>26633.58</v>
      </c>
      <c r="R240">
        <v>18838.75</v>
      </c>
      <c r="S240">
        <v>7794.83</v>
      </c>
      <c r="T240" t="str">
        <f>PROPER(TRIM([1]raw_orders!T240))</f>
        <v>Paid</v>
      </c>
      <c r="U240" t="str">
        <f>PROPER(TRIM([1]raw_orders!U240))</f>
        <v>Completed</v>
      </c>
      <c r="V240" s="6">
        <f t="shared" si="24"/>
        <v>0.29266925437736868</v>
      </c>
      <c r="W240" t="str">
        <f t="shared" si="25"/>
        <v>January</v>
      </c>
      <c r="X240">
        <f t="shared" si="26"/>
        <v>2024</v>
      </c>
      <c r="Y240">
        <f t="shared" si="27"/>
        <v>5</v>
      </c>
      <c r="Z240" s="7">
        <f t="shared" si="28"/>
        <v>0.55000000000000004</v>
      </c>
      <c r="AA240">
        <f t="shared" si="29"/>
        <v>12615.907499999999</v>
      </c>
      <c r="AB240">
        <f t="shared" si="30"/>
        <v>7794.8300000000017</v>
      </c>
      <c r="AC240" t="str">
        <f t="shared" si="31"/>
        <v>Clean</v>
      </c>
    </row>
    <row r="241" spans="1:29">
      <c r="A241" t="s">
        <v>766</v>
      </c>
      <c r="B241" s="4">
        <v>45556</v>
      </c>
      <c r="C241" s="4">
        <v>45556</v>
      </c>
      <c r="D241" t="s">
        <v>767</v>
      </c>
      <c r="E241" t="str">
        <f>PROPER(TRIM([1]raw_orders!E241))</f>
        <v>Kabir Singh</v>
      </c>
      <c r="F241" t="str">
        <f>PROPER(TRIM([1]raw_orders!F241))</f>
        <v>Corporate</v>
      </c>
      <c r="G241" t="str">
        <f>IF('[1]Cleaned Text Field'!G241="","Unknown",'[1]Cleaned Text Field'!G241)</f>
        <v>South</v>
      </c>
      <c r="H241" t="str">
        <f>PROPER(TRIM([1]raw_orders!H241))</f>
        <v>Karnataka</v>
      </c>
      <c r="I241" t="str">
        <f>PROPER(TRIM([1]raw_orders!I241))</f>
        <v>Bengaluru</v>
      </c>
      <c r="J241" t="str">
        <f>PROPER(TRIM([1]raw_orders!J241))</f>
        <v>Technology</v>
      </c>
      <c r="K241" t="str">
        <f>PROPER(TRIM([1]raw_orders!K241))</f>
        <v>Machines</v>
      </c>
      <c r="L241" t="s">
        <v>768</v>
      </c>
      <c r="M241" t="str">
        <f>IF('[1]Cleaned Text Field'!M241="","Unknown",'[1]Cleaned Text Field'!M241)</f>
        <v>First Class</v>
      </c>
      <c r="N241">
        <f>IF('[1]Cleaned Text Field'!N241="",0,'[1]Cleaned Text Field'!N241)</f>
        <v>2</v>
      </c>
      <c r="O241">
        <v>1960.06</v>
      </c>
      <c r="P241" s="5">
        <f>IF('[1]Cleaned Text Field'!P241="",0,'[1]Cleaned Text Field'!P241)</f>
        <v>0.2</v>
      </c>
      <c r="Q241">
        <v>3136.1</v>
      </c>
      <c r="R241">
        <v>2279.4899999999998</v>
      </c>
      <c r="S241">
        <v>856.61</v>
      </c>
      <c r="T241" t="str">
        <f>PROPER(TRIM([1]raw_orders!T241))</f>
        <v>Paid</v>
      </c>
      <c r="U241" t="str">
        <f>PROPER(TRIM([1]raw_orders!U241))</f>
        <v>Completed</v>
      </c>
      <c r="V241" s="6">
        <f t="shared" si="24"/>
        <v>0.2731449889990753</v>
      </c>
      <c r="W241" t="str">
        <f t="shared" si="25"/>
        <v>September</v>
      </c>
      <c r="X241">
        <f t="shared" si="26"/>
        <v>2024</v>
      </c>
      <c r="Y241">
        <f t="shared" si="27"/>
        <v>0</v>
      </c>
      <c r="Z241" s="7">
        <f t="shared" si="28"/>
        <v>0.2</v>
      </c>
      <c r="AA241">
        <f t="shared" si="29"/>
        <v>3136.096</v>
      </c>
      <c r="AB241">
        <f t="shared" si="30"/>
        <v>856.61000000000013</v>
      </c>
      <c r="AC241" t="str">
        <f t="shared" si="31"/>
        <v>Clean</v>
      </c>
    </row>
    <row r="242" spans="1:29">
      <c r="A242" t="s">
        <v>769</v>
      </c>
      <c r="B242" s="4">
        <v>45643</v>
      </c>
      <c r="C242" s="4">
        <v>45649</v>
      </c>
      <c r="D242" t="s">
        <v>770</v>
      </c>
      <c r="E242" t="str">
        <f>PROPER(TRIM([1]raw_orders!E242))</f>
        <v>Aarav Sharma</v>
      </c>
      <c r="F242" t="str">
        <f>PROPER(TRIM([1]raw_orders!F242))</f>
        <v>Corporate</v>
      </c>
      <c r="G242" t="str">
        <f>IF('[1]Cleaned Text Field'!G242="","Unknown",'[1]Cleaned Text Field'!G242)</f>
        <v>South</v>
      </c>
      <c r="H242" t="str">
        <f>PROPER(TRIM([1]raw_orders!H242))</f>
        <v>Telangana</v>
      </c>
      <c r="I242" t="str">
        <f>PROPER(TRIM([1]raw_orders!I242))</f>
        <v>Hyderabad</v>
      </c>
      <c r="J242" t="str">
        <f>PROPER(TRIM([1]raw_orders!J242))</f>
        <v>Office Supplies</v>
      </c>
      <c r="K242" t="str">
        <f>PROPER(TRIM([1]raw_orders!K242))</f>
        <v>Binders</v>
      </c>
      <c r="L242" t="s">
        <v>771</v>
      </c>
      <c r="M242" t="str">
        <f>IF('[1]Cleaned Text Field'!M242="","Unknown",'[1]Cleaned Text Field'!M242)</f>
        <v>First Class</v>
      </c>
      <c r="N242">
        <f>IF('[1]Cleaned Text Field'!N242="",0,'[1]Cleaned Text Field'!N242)</f>
        <v>9</v>
      </c>
      <c r="O242">
        <v>2315.1</v>
      </c>
      <c r="P242" s="5">
        <f>IF('[1]Cleaned Text Field'!P242="",0,'[1]Cleaned Text Field'!P242)</f>
        <v>0</v>
      </c>
      <c r="Q242">
        <v>20835.900000000001</v>
      </c>
      <c r="R242">
        <v>13928.19</v>
      </c>
      <c r="S242">
        <v>6907.71</v>
      </c>
      <c r="T242" t="str">
        <f>PROPER(TRIM([1]raw_orders!T242))</f>
        <v>Paid</v>
      </c>
      <c r="U242" t="str">
        <f>PROPER(TRIM([1]raw_orders!U242))</f>
        <v>Completed</v>
      </c>
      <c r="V242" s="6">
        <f t="shared" si="24"/>
        <v>0.33152923559817427</v>
      </c>
      <c r="W242" t="str">
        <f t="shared" si="25"/>
        <v>December</v>
      </c>
      <c r="X242">
        <f t="shared" si="26"/>
        <v>2024</v>
      </c>
      <c r="Y242">
        <f t="shared" si="27"/>
        <v>6</v>
      </c>
      <c r="Z242" s="7">
        <f t="shared" si="28"/>
        <v>0</v>
      </c>
      <c r="AA242">
        <f t="shared" si="29"/>
        <v>20835.899999999998</v>
      </c>
      <c r="AB242">
        <f t="shared" si="30"/>
        <v>6907.7100000000009</v>
      </c>
      <c r="AC242" t="str">
        <f t="shared" si="31"/>
        <v>Clean</v>
      </c>
    </row>
    <row r="243" spans="1:29">
      <c r="A243" t="s">
        <v>772</v>
      </c>
      <c r="B243" s="4">
        <v>45844</v>
      </c>
      <c r="C243" s="4">
        <v>45815</v>
      </c>
      <c r="D243" t="s">
        <v>773</v>
      </c>
      <c r="E243" t="str">
        <f>PROPER(TRIM([1]raw_orders!E243))</f>
        <v>Sneha Kapoor</v>
      </c>
      <c r="F243" t="str">
        <f>PROPER(TRIM([1]raw_orders!F243))</f>
        <v>Corporate</v>
      </c>
      <c r="G243" t="str">
        <f>IF('[1]Cleaned Text Field'!G243="","Unknown",'[1]Cleaned Text Field'!G243)</f>
        <v>North</v>
      </c>
      <c r="H243" t="str">
        <f>PROPER(TRIM([1]raw_orders!H243))</f>
        <v>Haryana</v>
      </c>
      <c r="I243" t="str">
        <f>PROPER(TRIM([1]raw_orders!I243))</f>
        <v>Gurugram</v>
      </c>
      <c r="J243" t="str">
        <f>PROPER(TRIM([1]raw_orders!J243))</f>
        <v>Office Supplies</v>
      </c>
      <c r="K243" t="str">
        <f>PROPER(TRIM([1]raw_orders!K243))</f>
        <v>Storage</v>
      </c>
      <c r="L243" t="s">
        <v>774</v>
      </c>
      <c r="M243" t="str">
        <f>IF('[1]Cleaned Text Field'!M243="","Unknown",'[1]Cleaned Text Field'!M243)</f>
        <v>Standard Class</v>
      </c>
      <c r="N243">
        <f>IF('[1]Cleaned Text Field'!N243="",0,'[1]Cleaned Text Field'!N243)</f>
        <v>1</v>
      </c>
      <c r="O243">
        <v>1617.2</v>
      </c>
      <c r="P243" s="5">
        <f>IF('[1]Cleaned Text Field'!P243="",0,'[1]Cleaned Text Field'!P243)</f>
        <v>0.25</v>
      </c>
      <c r="Q243">
        <v>1212.9000000000001</v>
      </c>
      <c r="R243">
        <v>690.52</v>
      </c>
      <c r="S243">
        <v>522.38</v>
      </c>
      <c r="T243" t="str">
        <f>PROPER(TRIM([1]raw_orders!T243))</f>
        <v>Pending</v>
      </c>
      <c r="U243" t="str">
        <f>PROPER(TRIM([1]raw_orders!U243))</f>
        <v>Returned</v>
      </c>
      <c r="V243" s="6">
        <f t="shared" si="24"/>
        <v>0.43068678374144609</v>
      </c>
      <c r="W243" t="str">
        <f t="shared" si="25"/>
        <v>July</v>
      </c>
      <c r="X243">
        <f t="shared" si="26"/>
        <v>2025</v>
      </c>
      <c r="Y243">
        <f t="shared" si="27"/>
        <v>-29</v>
      </c>
      <c r="Z243" s="7">
        <f t="shared" si="28"/>
        <v>0.25</v>
      </c>
      <c r="AA243">
        <f t="shared" si="29"/>
        <v>1212.9000000000001</v>
      </c>
      <c r="AB243">
        <f t="shared" si="30"/>
        <v>522.38000000000011</v>
      </c>
      <c r="AC243" t="str">
        <f t="shared" si="31"/>
        <v>Warning</v>
      </c>
    </row>
    <row r="244" spans="1:29">
      <c r="A244" t="s">
        <v>775</v>
      </c>
      <c r="B244" s="4">
        <v>45695</v>
      </c>
      <c r="C244" s="4">
        <v>45695</v>
      </c>
      <c r="D244" t="s">
        <v>776</v>
      </c>
      <c r="E244" t="str">
        <f>PROPER(TRIM([1]raw_orders!E244))</f>
        <v>Arjun Bose</v>
      </c>
      <c r="F244" t="str">
        <f>PROPER(TRIM([1]raw_orders!F244))</f>
        <v>Consumer</v>
      </c>
      <c r="G244" t="str">
        <f>IF('[1]Cleaned Text Field'!G244="","Unknown",'[1]Cleaned Text Field'!G244)</f>
        <v>North</v>
      </c>
      <c r="H244" t="str">
        <f>PROPER(TRIM([1]raw_orders!H244))</f>
        <v>Uttar Pradesh</v>
      </c>
      <c r="I244" t="str">
        <f>PROPER(TRIM([1]raw_orders!I244))</f>
        <v>Noida</v>
      </c>
      <c r="J244" t="str">
        <f>PROPER(TRIM([1]raw_orders!J244))</f>
        <v>Office Supplies</v>
      </c>
      <c r="K244" t="str">
        <f>PROPER(TRIM([1]raw_orders!K244))</f>
        <v>Art</v>
      </c>
      <c r="L244" t="s">
        <v>777</v>
      </c>
      <c r="M244" t="str">
        <f>IF('[1]Cleaned Text Field'!M244="","Unknown",'[1]Cleaned Text Field'!M244)</f>
        <v>Second Class</v>
      </c>
      <c r="N244">
        <f>IF('[1]Cleaned Text Field'!N244="",0,'[1]Cleaned Text Field'!N244)</f>
        <v>3</v>
      </c>
      <c r="O244">
        <v>1999.24</v>
      </c>
      <c r="P244" s="5">
        <f>IF('[1]Cleaned Text Field'!P244="",0,'[1]Cleaned Text Field'!P244)</f>
        <v>0.05</v>
      </c>
      <c r="Q244">
        <v>5697.83</v>
      </c>
      <c r="R244">
        <v>4251.5</v>
      </c>
      <c r="S244">
        <v>1446.33</v>
      </c>
      <c r="T244" t="str">
        <f>PROPER(TRIM([1]raw_orders!T244))</f>
        <v>Paid</v>
      </c>
      <c r="U244" t="str">
        <f>PROPER(TRIM([1]raw_orders!U244))</f>
        <v>Completed</v>
      </c>
      <c r="V244" s="6">
        <f t="shared" si="24"/>
        <v>0.2538387421176132</v>
      </c>
      <c r="W244" t="str">
        <f t="shared" si="25"/>
        <v>February</v>
      </c>
      <c r="X244">
        <f t="shared" si="26"/>
        <v>2025</v>
      </c>
      <c r="Y244">
        <f t="shared" si="27"/>
        <v>0</v>
      </c>
      <c r="Z244" s="7">
        <f t="shared" si="28"/>
        <v>0.05</v>
      </c>
      <c r="AA244">
        <f t="shared" si="29"/>
        <v>5697.8339999999998</v>
      </c>
      <c r="AB244">
        <f t="shared" si="30"/>
        <v>1446.33</v>
      </c>
      <c r="AC244" t="str">
        <f t="shared" si="31"/>
        <v>Clean</v>
      </c>
    </row>
    <row r="245" spans="1:29">
      <c r="A245" t="s">
        <v>778</v>
      </c>
      <c r="B245" s="4">
        <v>45867</v>
      </c>
      <c r="C245" s="4">
        <v>45871</v>
      </c>
      <c r="D245" t="s">
        <v>779</v>
      </c>
      <c r="E245" t="str">
        <f>PROPER(TRIM([1]raw_orders!E245))</f>
        <v>Sneha Kapoor</v>
      </c>
      <c r="F245" t="str">
        <f>PROPER(TRIM([1]raw_orders!F245))</f>
        <v>Small Business</v>
      </c>
      <c r="G245" t="str">
        <f>IF('[1]Cleaned Text Field'!G245="","Unknown",'[1]Cleaned Text Field'!G245)</f>
        <v>Unknown</v>
      </c>
      <c r="H245" t="str">
        <f>PROPER(TRIM([1]raw_orders!H245))</f>
        <v>Madhya Pradesh</v>
      </c>
      <c r="I245" t="str">
        <f>PROPER(TRIM([1]raw_orders!I245))</f>
        <v>Indore</v>
      </c>
      <c r="J245" t="str">
        <f>PROPER(TRIM([1]raw_orders!J245))</f>
        <v>Technology</v>
      </c>
      <c r="K245" t="str">
        <f>PROPER(TRIM([1]raw_orders!K245))</f>
        <v>Accessories</v>
      </c>
      <c r="L245" t="s">
        <v>780</v>
      </c>
      <c r="M245" t="str">
        <f>IF('[1]Cleaned Text Field'!M245="","Unknown",'[1]Cleaned Text Field'!M245)</f>
        <v>First Class</v>
      </c>
      <c r="N245">
        <f>IF('[1]Cleaned Text Field'!N245="",0,'[1]Cleaned Text Field'!N245)</f>
        <v>1</v>
      </c>
      <c r="O245">
        <v>4499.46</v>
      </c>
      <c r="P245" s="5">
        <f>IF('[1]Cleaned Text Field'!P245="",0,'[1]Cleaned Text Field'!P245)</f>
        <v>0.1</v>
      </c>
      <c r="Q245">
        <v>4049.51</v>
      </c>
      <c r="R245">
        <v>2509.1999999999998</v>
      </c>
      <c r="S245">
        <v>1540.31</v>
      </c>
      <c r="T245" t="str">
        <f>PROPER(TRIM([1]raw_orders!T245))</f>
        <v>Paid</v>
      </c>
      <c r="U245" t="str">
        <f>PROPER(TRIM([1]raw_orders!U245))</f>
        <v>Completed</v>
      </c>
      <c r="V245" s="6">
        <f t="shared" si="24"/>
        <v>0.38036947680089689</v>
      </c>
      <c r="W245" t="str">
        <f t="shared" si="25"/>
        <v>July</v>
      </c>
      <c r="X245">
        <f t="shared" si="26"/>
        <v>2025</v>
      </c>
      <c r="Y245">
        <f t="shared" si="27"/>
        <v>4</v>
      </c>
      <c r="Z245" s="7">
        <f t="shared" si="28"/>
        <v>0.1</v>
      </c>
      <c r="AA245">
        <f t="shared" si="29"/>
        <v>4049.5140000000001</v>
      </c>
      <c r="AB245">
        <f t="shared" si="30"/>
        <v>1540.3100000000004</v>
      </c>
      <c r="AC245" t="str">
        <f t="shared" si="31"/>
        <v>Clean</v>
      </c>
    </row>
    <row r="246" spans="1:29">
      <c r="A246" t="s">
        <v>781</v>
      </c>
      <c r="B246" s="4">
        <v>45527</v>
      </c>
      <c r="C246" s="4">
        <v>45528</v>
      </c>
      <c r="D246" t="s">
        <v>782</v>
      </c>
      <c r="E246" t="str">
        <f>PROPER(TRIM([1]raw_orders!E246))</f>
        <v>Neha Gupta</v>
      </c>
      <c r="F246" t="str">
        <f>PROPER(TRIM([1]raw_orders!F246))</f>
        <v>Consumer</v>
      </c>
      <c r="G246" t="str">
        <f>IF('[1]Cleaned Text Field'!G246="","Unknown",'[1]Cleaned Text Field'!G246)</f>
        <v>South</v>
      </c>
      <c r="H246" t="str">
        <f>PROPER(TRIM([1]raw_orders!H246))</f>
        <v>Telangana</v>
      </c>
      <c r="I246" t="str">
        <f>PROPER(TRIM([1]raw_orders!I246))</f>
        <v>Hyderabad</v>
      </c>
      <c r="J246" t="str">
        <f>PROPER(TRIM([1]raw_orders!J246))</f>
        <v>Furniture</v>
      </c>
      <c r="K246" t="str">
        <f>PROPER(TRIM([1]raw_orders!K246))</f>
        <v>Bookcases</v>
      </c>
      <c r="L246" t="s">
        <v>783</v>
      </c>
      <c r="M246" t="str">
        <f>IF('[1]Cleaned Text Field'!M246="","Unknown",'[1]Cleaned Text Field'!M246)</f>
        <v>Same Day</v>
      </c>
      <c r="N246">
        <f>IF('[1]Cleaned Text Field'!N246="",0,'[1]Cleaned Text Field'!N246)</f>
        <v>6</v>
      </c>
      <c r="O246">
        <v>1021.89</v>
      </c>
      <c r="P246" s="5">
        <f>IF('[1]Cleaned Text Field'!P246="",0,'[1]Cleaned Text Field'!P246)</f>
        <v>0</v>
      </c>
      <c r="Q246">
        <v>6131.34</v>
      </c>
      <c r="R246">
        <v>4060.88</v>
      </c>
      <c r="S246">
        <v>2070.46</v>
      </c>
      <c r="T246" t="str">
        <f>PROPER(TRIM([1]raw_orders!T246))</f>
        <v>Paid</v>
      </c>
      <c r="U246" t="str">
        <f>PROPER(TRIM([1]raw_orders!U246))</f>
        <v>Completed</v>
      </c>
      <c r="V246" s="6">
        <f t="shared" si="24"/>
        <v>0.33768474754295147</v>
      </c>
      <c r="W246" t="str">
        <f t="shared" si="25"/>
        <v>August</v>
      </c>
      <c r="X246">
        <f t="shared" si="26"/>
        <v>2024</v>
      </c>
      <c r="Y246">
        <f t="shared" si="27"/>
        <v>1</v>
      </c>
      <c r="Z246" s="7">
        <f t="shared" si="28"/>
        <v>0</v>
      </c>
      <c r="AA246">
        <f t="shared" si="29"/>
        <v>6131.34</v>
      </c>
      <c r="AB246">
        <f t="shared" si="30"/>
        <v>2070.46</v>
      </c>
      <c r="AC246" t="str">
        <f t="shared" si="31"/>
        <v>Clean</v>
      </c>
    </row>
    <row r="247" spans="1:29">
      <c r="A247" t="s">
        <v>784</v>
      </c>
      <c r="B247" s="4">
        <v>45583</v>
      </c>
      <c r="C247" s="4">
        <v>45589</v>
      </c>
      <c r="D247" t="s">
        <v>785</v>
      </c>
      <c r="E247" t="str">
        <f>PROPER(TRIM([1]raw_orders!E247))</f>
        <v>Neha Gupta</v>
      </c>
      <c r="F247" t="str">
        <f>PROPER(TRIM([1]raw_orders!F247))</f>
        <v>Home Office</v>
      </c>
      <c r="G247" t="str">
        <f>IF('[1]Cleaned Text Field'!G247="","Unknown",'[1]Cleaned Text Field'!G247)</f>
        <v>South</v>
      </c>
      <c r="H247" t="str">
        <f>PROPER(TRIM([1]raw_orders!H247))</f>
        <v>Kerala</v>
      </c>
      <c r="I247" t="str">
        <f>PROPER(TRIM([1]raw_orders!I247))</f>
        <v>Kochi</v>
      </c>
      <c r="J247" t="str">
        <f>PROPER(TRIM([1]raw_orders!J247))</f>
        <v>Furniture</v>
      </c>
      <c r="K247" t="str">
        <f>PROPER(TRIM([1]raw_orders!K247))</f>
        <v>Chairs</v>
      </c>
      <c r="L247" t="s">
        <v>786</v>
      </c>
      <c r="M247" t="str">
        <f>IF('[1]Cleaned Text Field'!M247="","Unknown",'[1]Cleaned Text Field'!M247)</f>
        <v>Second Class</v>
      </c>
      <c r="N247">
        <f>IF('[1]Cleaned Text Field'!N247="",0,'[1]Cleaned Text Field'!N247)</f>
        <v>3</v>
      </c>
      <c r="O247">
        <v>3275.93</v>
      </c>
      <c r="P247" s="5">
        <f>IF('[1]Cleaned Text Field'!P247="",0,'[1]Cleaned Text Field'!P247)</f>
        <v>0</v>
      </c>
      <c r="Q247">
        <v>9827.7900000000009</v>
      </c>
      <c r="R247">
        <v>5478.28</v>
      </c>
      <c r="S247">
        <v>4349.51</v>
      </c>
      <c r="T247" t="str">
        <f>PROPER(TRIM([1]raw_orders!T247))</f>
        <v>Paid</v>
      </c>
      <c r="U247" t="str">
        <f>PROPER(TRIM([1]raw_orders!U247))</f>
        <v>Completed</v>
      </c>
      <c r="V247" s="6">
        <f t="shared" si="24"/>
        <v>0.44257254174132737</v>
      </c>
      <c r="W247" t="str">
        <f t="shared" si="25"/>
        <v>October</v>
      </c>
      <c r="X247">
        <f t="shared" si="26"/>
        <v>2024</v>
      </c>
      <c r="Y247">
        <f t="shared" si="27"/>
        <v>6</v>
      </c>
      <c r="Z247" s="7">
        <f t="shared" si="28"/>
        <v>0</v>
      </c>
      <c r="AA247">
        <f t="shared" si="29"/>
        <v>9827.7899999999991</v>
      </c>
      <c r="AB247">
        <f t="shared" si="30"/>
        <v>4349.5100000000011</v>
      </c>
      <c r="AC247" t="str">
        <f t="shared" si="31"/>
        <v>Clean</v>
      </c>
    </row>
    <row r="248" spans="1:29">
      <c r="A248" t="s">
        <v>787</v>
      </c>
      <c r="B248" s="4">
        <v>45416</v>
      </c>
      <c r="C248" s="4">
        <v>45421</v>
      </c>
      <c r="D248" t="s">
        <v>788</v>
      </c>
      <c r="E248" t="str">
        <f>PROPER(TRIM([1]raw_orders!E248))</f>
        <v>Ananya Rao</v>
      </c>
      <c r="F248" t="str">
        <f>PROPER(TRIM([1]raw_orders!F248))</f>
        <v>Corporate</v>
      </c>
      <c r="G248" t="str">
        <f>IF('[1]Cleaned Text Field'!G248="","Unknown",'[1]Cleaned Text Field'!G248)</f>
        <v>North</v>
      </c>
      <c r="H248" t="str">
        <f>PROPER(TRIM([1]raw_orders!H248))</f>
        <v>Punjab</v>
      </c>
      <c r="I248" t="str">
        <f>PROPER(TRIM([1]raw_orders!I248))</f>
        <v>Ludhiana</v>
      </c>
      <c r="J248" t="str">
        <f>PROPER(TRIM([1]raw_orders!J248))</f>
        <v>Technology</v>
      </c>
      <c r="K248" t="str">
        <f>PROPER(TRIM([1]raw_orders!K248))</f>
        <v>Machines</v>
      </c>
      <c r="L248" t="s">
        <v>789</v>
      </c>
      <c r="M248" t="str">
        <f>IF('[1]Cleaned Text Field'!M248="","Unknown",'[1]Cleaned Text Field'!M248)</f>
        <v>Same Day</v>
      </c>
      <c r="N248">
        <f>IF('[1]Cleaned Text Field'!N248="",0,'[1]Cleaned Text Field'!N248)</f>
        <v>3</v>
      </c>
      <c r="O248">
        <v>231.95</v>
      </c>
      <c r="P248" s="5">
        <f>IF('[1]Cleaned Text Field'!P248="",0,'[1]Cleaned Text Field'!P248)</f>
        <v>0.25</v>
      </c>
      <c r="Q248">
        <v>521.89</v>
      </c>
      <c r="R248">
        <v>444.52</v>
      </c>
      <c r="S248">
        <v>77.37</v>
      </c>
      <c r="T248" t="str">
        <f>PROPER(TRIM([1]raw_orders!T248))</f>
        <v>Refunded</v>
      </c>
      <c r="U248" t="str">
        <f>PROPER(TRIM([1]raw_orders!U248))</f>
        <v>Cancelled</v>
      </c>
      <c r="V248" s="6">
        <f t="shared" si="24"/>
        <v>0.14824963114832629</v>
      </c>
      <c r="W248" t="str">
        <f t="shared" si="25"/>
        <v>May</v>
      </c>
      <c r="X248">
        <f t="shared" si="26"/>
        <v>2024</v>
      </c>
      <c r="Y248">
        <f t="shared" si="27"/>
        <v>5</v>
      </c>
      <c r="Z248" s="7">
        <f t="shared" si="28"/>
        <v>0.25</v>
      </c>
      <c r="AA248">
        <f t="shared" si="29"/>
        <v>521.88749999999993</v>
      </c>
      <c r="AB248">
        <f t="shared" si="30"/>
        <v>77.37</v>
      </c>
      <c r="AC248" t="str">
        <f t="shared" si="31"/>
        <v>Clean</v>
      </c>
    </row>
    <row r="249" spans="1:29">
      <c r="A249" t="s">
        <v>790</v>
      </c>
      <c r="B249" s="4">
        <v>45498</v>
      </c>
      <c r="C249" s="4">
        <v>45505</v>
      </c>
      <c r="D249" t="s">
        <v>791</v>
      </c>
      <c r="E249" t="str">
        <f>PROPER(TRIM([1]raw_orders!E249))</f>
        <v>Rahul Verma</v>
      </c>
      <c r="F249" t="str">
        <f>PROPER(TRIM([1]raw_orders!F249))</f>
        <v>Corporate</v>
      </c>
      <c r="G249" t="str">
        <f>IF('[1]Cleaned Text Field'!G249="","Unknown",'[1]Cleaned Text Field'!G249)</f>
        <v>North</v>
      </c>
      <c r="H249" t="str">
        <f>PROPER(TRIM([1]raw_orders!H249))</f>
        <v>Rajasthan</v>
      </c>
      <c r="I249" t="str">
        <f>PROPER(TRIM([1]raw_orders!I249))</f>
        <v>Jaipur</v>
      </c>
      <c r="J249" t="str">
        <f>PROPER(TRIM([1]raw_orders!J249))</f>
        <v>Technology</v>
      </c>
      <c r="K249" t="str">
        <f>PROPER(TRIM([1]raw_orders!K249))</f>
        <v>Accessories</v>
      </c>
      <c r="L249" t="s">
        <v>792</v>
      </c>
      <c r="M249" t="str">
        <f>IF('[1]Cleaned Text Field'!M249="","Unknown",'[1]Cleaned Text Field'!M249)</f>
        <v>Second Class</v>
      </c>
      <c r="N249">
        <f>IF('[1]Cleaned Text Field'!N249="",0,'[1]Cleaned Text Field'!N249)</f>
        <v>8</v>
      </c>
      <c r="O249">
        <v>2493.4</v>
      </c>
      <c r="P249" s="5">
        <f>IF('[1]Cleaned Text Field'!P249="",0,'[1]Cleaned Text Field'!P249)</f>
        <v>0.25</v>
      </c>
      <c r="Q249">
        <v>14960.4</v>
      </c>
      <c r="R249">
        <v>12500.84</v>
      </c>
      <c r="S249">
        <v>2459.56</v>
      </c>
      <c r="T249" t="str">
        <f>PROPER(TRIM([1]raw_orders!T249))</f>
        <v>Paid</v>
      </c>
      <c r="U249" t="str">
        <f>PROPER(TRIM([1]raw_orders!U249))</f>
        <v>Completed</v>
      </c>
      <c r="V249" s="6">
        <f t="shared" si="24"/>
        <v>0.16440469506162936</v>
      </c>
      <c r="W249" t="str">
        <f t="shared" si="25"/>
        <v>July</v>
      </c>
      <c r="X249">
        <f t="shared" si="26"/>
        <v>2024</v>
      </c>
      <c r="Y249">
        <f t="shared" si="27"/>
        <v>7</v>
      </c>
      <c r="Z249" s="7">
        <f t="shared" si="28"/>
        <v>0.25</v>
      </c>
      <c r="AA249">
        <f t="shared" si="29"/>
        <v>14960.400000000001</v>
      </c>
      <c r="AB249">
        <f t="shared" si="30"/>
        <v>2459.5599999999995</v>
      </c>
      <c r="AC249" t="str">
        <f t="shared" si="31"/>
        <v>Clean</v>
      </c>
    </row>
    <row r="250" spans="1:29">
      <c r="A250" t="s">
        <v>793</v>
      </c>
      <c r="B250" s="4">
        <v>45445</v>
      </c>
      <c r="C250" s="4">
        <v>45479</v>
      </c>
      <c r="D250" t="s">
        <v>794</v>
      </c>
      <c r="E250" t="str">
        <f>PROPER(TRIM([1]raw_orders!E250))</f>
        <v>Rohan Mehta</v>
      </c>
      <c r="F250" t="str">
        <f>PROPER(TRIM([1]raw_orders!F250))</f>
        <v>Home Office</v>
      </c>
      <c r="G250" t="str">
        <f>IF('[1]Cleaned Text Field'!G250="","Unknown",'[1]Cleaned Text Field'!G250)</f>
        <v>East</v>
      </c>
      <c r="H250" t="str">
        <f>PROPER(TRIM([1]raw_orders!H250))</f>
        <v>Odisha</v>
      </c>
      <c r="I250" t="str">
        <f>PROPER(TRIM([1]raw_orders!I250))</f>
        <v>Bhubaneswar</v>
      </c>
      <c r="J250" t="str">
        <f>PROPER(TRIM([1]raw_orders!J250))</f>
        <v>Office Supplies</v>
      </c>
      <c r="K250" t="str">
        <f>PROPER(TRIM([1]raw_orders!K250))</f>
        <v>Labels</v>
      </c>
      <c r="L250" t="s">
        <v>795</v>
      </c>
      <c r="M250" t="str">
        <f>IF('[1]Cleaned Text Field'!M250="","Unknown",'[1]Cleaned Text Field'!M250)</f>
        <v>Second Class</v>
      </c>
      <c r="N250">
        <f>IF('[1]Cleaned Text Field'!N250="",0,'[1]Cleaned Text Field'!N250)</f>
        <v>9</v>
      </c>
      <c r="O250">
        <v>787.91</v>
      </c>
      <c r="P250" s="5">
        <f>IF('[1]Cleaned Text Field'!P250="",0,'[1]Cleaned Text Field'!P250)</f>
        <v>0.15</v>
      </c>
      <c r="Q250">
        <v>6027.51</v>
      </c>
      <c r="R250">
        <v>4883.82</v>
      </c>
      <c r="S250">
        <v>1143.69</v>
      </c>
      <c r="T250" t="str">
        <f>PROPER(TRIM([1]raw_orders!T250))</f>
        <v>Paid</v>
      </c>
      <c r="U250" t="str">
        <f>PROPER(TRIM([1]raw_orders!U250))</f>
        <v>Completed</v>
      </c>
      <c r="V250" s="6">
        <f t="shared" si="24"/>
        <v>0.1897450190874839</v>
      </c>
      <c r="W250" t="str">
        <f t="shared" si="25"/>
        <v>June</v>
      </c>
      <c r="X250">
        <f t="shared" si="26"/>
        <v>2024</v>
      </c>
      <c r="Y250">
        <f t="shared" si="27"/>
        <v>34</v>
      </c>
      <c r="Z250" s="7">
        <f t="shared" si="28"/>
        <v>0.15</v>
      </c>
      <c r="AA250">
        <f t="shared" si="29"/>
        <v>6027.5114999999996</v>
      </c>
      <c r="AB250">
        <f t="shared" si="30"/>
        <v>1143.6900000000005</v>
      </c>
      <c r="AC250" t="str">
        <f t="shared" si="31"/>
        <v>Clean</v>
      </c>
    </row>
    <row r="251" spans="1:29">
      <c r="A251" t="s">
        <v>796</v>
      </c>
      <c r="B251" s="4">
        <v>45870</v>
      </c>
      <c r="C251" s="4">
        <v>45871</v>
      </c>
      <c r="D251" t="s">
        <v>797</v>
      </c>
      <c r="E251" t="str">
        <f>PROPER(TRIM([1]raw_orders!E251))</f>
        <v>Mira Das</v>
      </c>
      <c r="F251" t="str">
        <f>PROPER(TRIM([1]raw_orders!F251))</f>
        <v>Corporate</v>
      </c>
      <c r="G251" t="str">
        <f>IF('[1]Cleaned Text Field'!G251="","Unknown",'[1]Cleaned Text Field'!G251)</f>
        <v>North</v>
      </c>
      <c r="H251" t="str">
        <f>PROPER(TRIM([1]raw_orders!H251))</f>
        <v>Rajasthan</v>
      </c>
      <c r="I251" t="str">
        <f>PROPER(TRIM([1]raw_orders!I251))</f>
        <v>Jaipur</v>
      </c>
      <c r="J251" t="str">
        <f>PROPER(TRIM([1]raw_orders!J251))</f>
        <v>Furniture</v>
      </c>
      <c r="K251" t="str">
        <f>PROPER(TRIM([1]raw_orders!K251))</f>
        <v>Furnishings</v>
      </c>
      <c r="L251" t="s">
        <v>798</v>
      </c>
      <c r="M251" t="str">
        <f>IF('[1]Cleaned Text Field'!M251="","Unknown",'[1]Cleaned Text Field'!M251)</f>
        <v>First Class</v>
      </c>
      <c r="N251">
        <f>IF('[1]Cleaned Text Field'!N251="",0,'[1]Cleaned Text Field'!N251)</f>
        <v>4</v>
      </c>
      <c r="O251">
        <v>2790.29</v>
      </c>
      <c r="P251" s="5">
        <f>IF('[1]Cleaned Text Field'!P251="",0,'[1]Cleaned Text Field'!P251)</f>
        <v>0.2</v>
      </c>
      <c r="Q251">
        <v>8928.93</v>
      </c>
      <c r="R251">
        <v>5634.38</v>
      </c>
      <c r="S251">
        <v>3294.55</v>
      </c>
      <c r="T251" t="str">
        <f>PROPER(TRIM([1]raw_orders!T251))</f>
        <v>Paid</v>
      </c>
      <c r="U251" t="str">
        <f>PROPER(TRIM([1]raw_orders!U251))</f>
        <v>Completed</v>
      </c>
      <c r="V251" s="6">
        <f t="shared" si="24"/>
        <v>0.36897478197275596</v>
      </c>
      <c r="W251" t="str">
        <f t="shared" si="25"/>
        <v>August</v>
      </c>
      <c r="X251">
        <f t="shared" si="26"/>
        <v>2025</v>
      </c>
      <c r="Y251">
        <f t="shared" si="27"/>
        <v>1</v>
      </c>
      <c r="Z251" s="7">
        <f t="shared" si="28"/>
        <v>0.2</v>
      </c>
      <c r="AA251">
        <f t="shared" si="29"/>
        <v>8928.9279999999999</v>
      </c>
      <c r="AB251">
        <f t="shared" si="30"/>
        <v>3294.55</v>
      </c>
      <c r="AC251" t="str">
        <f t="shared" si="31"/>
        <v>Clean</v>
      </c>
    </row>
    <row r="252" spans="1:29">
      <c r="A252" t="s">
        <v>799</v>
      </c>
      <c r="B252" s="4">
        <v>45343</v>
      </c>
      <c r="C252" s="4">
        <v>45349</v>
      </c>
      <c r="D252" t="s">
        <v>800</v>
      </c>
      <c r="E252" t="str">
        <f>PROPER(TRIM([1]raw_orders!E252))</f>
        <v>Arjun Bose</v>
      </c>
      <c r="F252" t="str">
        <f>PROPER(TRIM([1]raw_orders!F252))</f>
        <v>Small Business</v>
      </c>
      <c r="G252" t="str">
        <f>IF('[1]Cleaned Text Field'!G252="","Unknown",'[1]Cleaned Text Field'!G252)</f>
        <v>East</v>
      </c>
      <c r="H252" t="str">
        <f>PROPER(TRIM([1]raw_orders!H252))</f>
        <v>West Bengal</v>
      </c>
      <c r="I252" t="str">
        <f>PROPER(TRIM([1]raw_orders!I252))</f>
        <v>Kolkata</v>
      </c>
      <c r="J252" t="str">
        <f>PROPER(TRIM([1]raw_orders!J252))</f>
        <v>Furniture</v>
      </c>
      <c r="K252" t="str">
        <f>PROPER(TRIM([1]raw_orders!K252))</f>
        <v>Furnishings</v>
      </c>
      <c r="L252" t="s">
        <v>801</v>
      </c>
      <c r="M252" t="str">
        <f>IF('[1]Cleaned Text Field'!M252="","Unknown",'[1]Cleaned Text Field'!M252)</f>
        <v>Standard Class</v>
      </c>
      <c r="N252">
        <f>IF('[1]Cleaned Text Field'!N252="",0,'[1]Cleaned Text Field'!N252)</f>
        <v>5</v>
      </c>
      <c r="O252">
        <v>3373.86</v>
      </c>
      <c r="P252" s="5">
        <f>IF('[1]Cleaned Text Field'!P252="",0,'[1]Cleaned Text Field'!P252)</f>
        <v>0.15</v>
      </c>
      <c r="Q252">
        <v>14338.9</v>
      </c>
      <c r="R252">
        <v>11897.65</v>
      </c>
      <c r="S252">
        <v>2441.25</v>
      </c>
      <c r="T252" t="str">
        <f>PROPER(TRIM([1]raw_orders!T252))</f>
        <v>Pending</v>
      </c>
      <c r="U252" t="str">
        <f>PROPER(TRIM([1]raw_orders!U252))</f>
        <v>Returned</v>
      </c>
      <c r="V252" s="6">
        <f t="shared" si="24"/>
        <v>0.17025364567714399</v>
      </c>
      <c r="W252" t="str">
        <f t="shared" si="25"/>
        <v>February</v>
      </c>
      <c r="X252">
        <f t="shared" si="26"/>
        <v>2024</v>
      </c>
      <c r="Y252">
        <f t="shared" si="27"/>
        <v>6</v>
      </c>
      <c r="Z252" s="7">
        <f t="shared" si="28"/>
        <v>0.15</v>
      </c>
      <c r="AA252">
        <f t="shared" si="29"/>
        <v>14338.904999999999</v>
      </c>
      <c r="AB252">
        <f t="shared" si="30"/>
        <v>2441.25</v>
      </c>
      <c r="AC252" t="str">
        <f t="shared" si="31"/>
        <v>Clean</v>
      </c>
    </row>
    <row r="253" spans="1:29">
      <c r="A253" t="s">
        <v>802</v>
      </c>
      <c r="B253" s="4">
        <v>45753</v>
      </c>
      <c r="C253" s="4">
        <v>45757</v>
      </c>
      <c r="D253" t="s">
        <v>803</v>
      </c>
      <c r="E253" t="str">
        <f>PROPER(TRIM([1]raw_orders!E253))</f>
        <v>Ananya Rao</v>
      </c>
      <c r="F253" t="str">
        <f>PROPER(TRIM([1]raw_orders!F253))</f>
        <v>Corporate</v>
      </c>
      <c r="G253" t="str">
        <f>IF('[1]Cleaned Text Field'!G253="","Unknown",'[1]Cleaned Text Field'!G253)</f>
        <v>West</v>
      </c>
      <c r="H253" t="str">
        <f>PROPER(TRIM([1]raw_orders!H253))</f>
        <v>Gujarat</v>
      </c>
      <c r="I253" t="str">
        <f>PROPER(TRIM([1]raw_orders!I253))</f>
        <v>Ahmedabad</v>
      </c>
      <c r="J253" t="str">
        <f>PROPER(TRIM([1]raw_orders!J253))</f>
        <v>Furniture</v>
      </c>
      <c r="K253" t="str">
        <f>PROPER(TRIM([1]raw_orders!K253))</f>
        <v>Tables</v>
      </c>
      <c r="L253" t="s">
        <v>804</v>
      </c>
      <c r="M253" t="str">
        <f>IF('[1]Cleaned Text Field'!M253="","Unknown",'[1]Cleaned Text Field'!M253)</f>
        <v>Second Class</v>
      </c>
      <c r="N253">
        <f>IF('[1]Cleaned Text Field'!N253="",0,'[1]Cleaned Text Field'!N253)</f>
        <v>6</v>
      </c>
      <c r="O253">
        <v>1022.16</v>
      </c>
      <c r="P253" s="5">
        <f>IF('[1]Cleaned Text Field'!P253="",0,'[1]Cleaned Text Field'!P253)</f>
        <v>0</v>
      </c>
      <c r="Q253">
        <v>6132.96</v>
      </c>
      <c r="R253">
        <v>4881.1000000000004</v>
      </c>
      <c r="S253">
        <v>1251.8599999999999</v>
      </c>
      <c r="T253" t="str">
        <f>PROPER(TRIM([1]raw_orders!T253))</f>
        <v>Paid</v>
      </c>
      <c r="U253" t="str">
        <f>PROPER(TRIM([1]raw_orders!U253))</f>
        <v>Completed</v>
      </c>
      <c r="V253" s="6">
        <f t="shared" si="24"/>
        <v>0.20412003339333698</v>
      </c>
      <c r="W253" t="str">
        <f t="shared" si="25"/>
        <v>April</v>
      </c>
      <c r="X253">
        <f t="shared" si="26"/>
        <v>2025</v>
      </c>
      <c r="Y253">
        <f t="shared" si="27"/>
        <v>4</v>
      </c>
      <c r="Z253" s="7">
        <f t="shared" si="28"/>
        <v>0</v>
      </c>
      <c r="AA253">
        <f t="shared" si="29"/>
        <v>6132.96</v>
      </c>
      <c r="AB253">
        <f t="shared" si="30"/>
        <v>1251.8599999999997</v>
      </c>
      <c r="AC253" t="str">
        <f t="shared" si="31"/>
        <v>Clean</v>
      </c>
    </row>
    <row r="254" spans="1:29">
      <c r="A254" t="s">
        <v>805</v>
      </c>
      <c r="B254" s="4">
        <v>45833</v>
      </c>
      <c r="C254" s="4">
        <v>45836</v>
      </c>
      <c r="D254" t="s">
        <v>806</v>
      </c>
      <c r="E254" t="str">
        <f>PROPER(TRIM([1]raw_orders!E254))</f>
        <v>Arjun Bose</v>
      </c>
      <c r="F254" t="str">
        <f>PROPER(TRIM([1]raw_orders!F254))</f>
        <v>Corporate</v>
      </c>
      <c r="G254" t="str">
        <f>IF('[1]Cleaned Text Field'!G254="","Unknown",'[1]Cleaned Text Field'!G254)</f>
        <v>North</v>
      </c>
      <c r="H254" t="str">
        <f>PROPER(TRIM([1]raw_orders!H254))</f>
        <v>Haryana</v>
      </c>
      <c r="I254" t="str">
        <f>PROPER(TRIM([1]raw_orders!I254))</f>
        <v>Gurugram</v>
      </c>
      <c r="J254" t="str">
        <f>PROPER(TRIM([1]raw_orders!J254))</f>
        <v>Office Supplies</v>
      </c>
      <c r="K254" t="str">
        <f>PROPER(TRIM([1]raw_orders!K254))</f>
        <v>Storage</v>
      </c>
      <c r="L254" t="s">
        <v>807</v>
      </c>
      <c r="M254" t="str">
        <f>IF('[1]Cleaned Text Field'!M254="","Unknown",'[1]Cleaned Text Field'!M254)</f>
        <v>First Class</v>
      </c>
      <c r="N254">
        <f>IF('[1]Cleaned Text Field'!N254="",0,'[1]Cleaned Text Field'!N254)</f>
        <v>2</v>
      </c>
      <c r="O254">
        <v>1455.92</v>
      </c>
      <c r="P254" s="5">
        <f>IF('[1]Cleaned Text Field'!P254="",0,'[1]Cleaned Text Field'!P254)</f>
        <v>0.2</v>
      </c>
      <c r="Q254">
        <v>2329.4699999999998</v>
      </c>
      <c r="R254">
        <v>1603.62</v>
      </c>
      <c r="S254">
        <v>725.85</v>
      </c>
      <c r="T254" t="str">
        <f>PROPER(TRIM([1]raw_orders!T254))</f>
        <v>Pending</v>
      </c>
      <c r="U254" t="str">
        <f>PROPER(TRIM([1]raw_orders!U254))</f>
        <v>Returned</v>
      </c>
      <c r="V254" s="6">
        <f t="shared" si="24"/>
        <v>0.31159448286520114</v>
      </c>
      <c r="W254" t="str">
        <f t="shared" si="25"/>
        <v>June</v>
      </c>
      <c r="X254">
        <f t="shared" si="26"/>
        <v>2025</v>
      </c>
      <c r="Y254">
        <f t="shared" si="27"/>
        <v>3</v>
      </c>
      <c r="Z254" s="7">
        <f t="shared" si="28"/>
        <v>0.2</v>
      </c>
      <c r="AA254">
        <f t="shared" si="29"/>
        <v>2329.4720000000002</v>
      </c>
      <c r="AB254">
        <f t="shared" si="30"/>
        <v>725.84999999999991</v>
      </c>
      <c r="AC254" t="str">
        <f t="shared" si="31"/>
        <v>Clean</v>
      </c>
    </row>
    <row r="255" spans="1:29">
      <c r="A255" t="s">
        <v>808</v>
      </c>
      <c r="B255" s="4">
        <v>45547</v>
      </c>
      <c r="C255" s="4">
        <v>45548</v>
      </c>
      <c r="D255" t="s">
        <v>809</v>
      </c>
      <c r="E255" t="str">
        <f>PROPER(TRIM([1]raw_orders!E255))</f>
        <v>Priya Menon</v>
      </c>
      <c r="F255" t="str">
        <f>PROPER(TRIM([1]raw_orders!F255))</f>
        <v>Small Business</v>
      </c>
      <c r="G255" t="str">
        <f>IF('[1]Cleaned Text Field'!G255="","Unknown",'[1]Cleaned Text Field'!G255)</f>
        <v>North</v>
      </c>
      <c r="H255" t="str">
        <f>PROPER(TRIM([1]raw_orders!H255))</f>
        <v>Rajasthan</v>
      </c>
      <c r="I255" t="str">
        <f>PROPER(TRIM([1]raw_orders!I255))</f>
        <v>Jaipur</v>
      </c>
      <c r="J255" t="str">
        <f>PROPER(TRIM([1]raw_orders!J255))</f>
        <v>Technology</v>
      </c>
      <c r="K255" t="str">
        <f>PROPER(TRIM([1]raw_orders!K255))</f>
        <v>Phones</v>
      </c>
      <c r="L255" t="s">
        <v>810</v>
      </c>
      <c r="M255" t="str">
        <f>IF('[1]Cleaned Text Field'!M255="","Unknown",'[1]Cleaned Text Field'!M255)</f>
        <v>Same Day</v>
      </c>
      <c r="N255">
        <f>IF('[1]Cleaned Text Field'!N255="",0,'[1]Cleaned Text Field'!N255)</f>
        <v>6</v>
      </c>
      <c r="O255">
        <v>832.79</v>
      </c>
      <c r="P255" s="5">
        <f>IF('[1]Cleaned Text Field'!P255="",0,'[1]Cleaned Text Field'!P255)</f>
        <v>0.05</v>
      </c>
      <c r="Q255">
        <v>4746.8999999999996</v>
      </c>
      <c r="R255">
        <v>2825.38</v>
      </c>
      <c r="S255">
        <v>1472.89</v>
      </c>
      <c r="T255" t="str">
        <f>PROPER(TRIM([1]raw_orders!T255))</f>
        <v>Refunded</v>
      </c>
      <c r="U255" t="str">
        <f>PROPER(TRIM([1]raw_orders!U255))</f>
        <v>Cancelled</v>
      </c>
      <c r="V255" s="6">
        <f t="shared" si="24"/>
        <v>0.31028460679601427</v>
      </c>
      <c r="W255" t="str">
        <f t="shared" si="25"/>
        <v>September</v>
      </c>
      <c r="X255">
        <f t="shared" si="26"/>
        <v>2024</v>
      </c>
      <c r="Y255">
        <f t="shared" si="27"/>
        <v>1</v>
      </c>
      <c r="Z255" s="7">
        <f t="shared" si="28"/>
        <v>0.05</v>
      </c>
      <c r="AA255">
        <f t="shared" si="29"/>
        <v>4746.9029999999993</v>
      </c>
      <c r="AB255">
        <f t="shared" si="30"/>
        <v>1921.5199999999995</v>
      </c>
      <c r="AC255" t="str">
        <f t="shared" si="31"/>
        <v>Clean</v>
      </c>
    </row>
    <row r="256" spans="1:29">
      <c r="A256" t="s">
        <v>811</v>
      </c>
      <c r="B256" s="4">
        <v>45658</v>
      </c>
      <c r="C256" s="4">
        <v>45717</v>
      </c>
      <c r="D256" t="s">
        <v>812</v>
      </c>
      <c r="E256" t="str">
        <f>PROPER(TRIM([1]raw_orders!E256))</f>
        <v>Ananya Rao</v>
      </c>
      <c r="F256" t="str">
        <f>PROPER(TRIM([1]raw_orders!F256))</f>
        <v>Consumer</v>
      </c>
      <c r="G256" t="str">
        <f>IF('[1]Cleaned Text Field'!G256="","Unknown",'[1]Cleaned Text Field'!G256)</f>
        <v>West</v>
      </c>
      <c r="H256" t="str">
        <f>PROPER(TRIM([1]raw_orders!H256))</f>
        <v>Madhya Pradesh</v>
      </c>
      <c r="I256" t="str">
        <f>PROPER(TRIM([1]raw_orders!I256))</f>
        <v>Indore</v>
      </c>
      <c r="J256" t="str">
        <f>PROPER(TRIM([1]raw_orders!J256))</f>
        <v>Technology</v>
      </c>
      <c r="K256" t="str">
        <f>PROPER(TRIM([1]raw_orders!K256))</f>
        <v>Accessories</v>
      </c>
      <c r="L256" t="s">
        <v>813</v>
      </c>
      <c r="M256" t="str">
        <f>IF('[1]Cleaned Text Field'!M256="","Unknown",'[1]Cleaned Text Field'!M256)</f>
        <v>Same Day</v>
      </c>
      <c r="N256">
        <f>IF('[1]Cleaned Text Field'!N256="",0,'[1]Cleaned Text Field'!N256)</f>
        <v>7</v>
      </c>
      <c r="O256">
        <v>1000.55</v>
      </c>
      <c r="P256" s="5">
        <f>IF('[1]Cleaned Text Field'!P256="",0,'[1]Cleaned Text Field'!P256)</f>
        <v>0.2</v>
      </c>
      <c r="Q256">
        <v>5603.08</v>
      </c>
      <c r="R256">
        <v>3132.52</v>
      </c>
      <c r="S256">
        <v>2470.56</v>
      </c>
      <c r="T256" t="str">
        <f>PROPER(TRIM([1]raw_orders!T256))</f>
        <v>Paid</v>
      </c>
      <c r="U256" t="str">
        <f>PROPER(TRIM([1]raw_orders!U256))</f>
        <v>Returned</v>
      </c>
      <c r="V256" s="6">
        <f t="shared" si="24"/>
        <v>0.44092891766671188</v>
      </c>
      <c r="W256" t="str">
        <f t="shared" si="25"/>
        <v>January</v>
      </c>
      <c r="X256">
        <f t="shared" si="26"/>
        <v>2025</v>
      </c>
      <c r="Y256">
        <f t="shared" si="27"/>
        <v>59</v>
      </c>
      <c r="Z256" s="7">
        <f t="shared" si="28"/>
        <v>0.2</v>
      </c>
      <c r="AA256">
        <f t="shared" si="29"/>
        <v>5603.08</v>
      </c>
      <c r="AB256">
        <f t="shared" si="30"/>
        <v>2470.56</v>
      </c>
      <c r="AC256" t="str">
        <f t="shared" si="31"/>
        <v>Clean</v>
      </c>
    </row>
    <row r="257" spans="1:29">
      <c r="A257" t="s">
        <v>814</v>
      </c>
      <c r="B257" s="4">
        <v>45692</v>
      </c>
      <c r="C257" s="4">
        <v>45698</v>
      </c>
      <c r="D257" t="s">
        <v>815</v>
      </c>
      <c r="E257" t="str">
        <f>PROPER(TRIM([1]raw_orders!E257))</f>
        <v>Isha Nair</v>
      </c>
      <c r="F257" t="str">
        <f>PROPER(TRIM([1]raw_orders!F257))</f>
        <v>Corporate</v>
      </c>
      <c r="G257" t="str">
        <f>IF('[1]Cleaned Text Field'!G257="","Unknown",'[1]Cleaned Text Field'!G257)</f>
        <v>West</v>
      </c>
      <c r="H257" t="str">
        <f>PROPER(TRIM([1]raw_orders!H257))</f>
        <v>Maharashtra</v>
      </c>
      <c r="I257" t="str">
        <f>PROPER(TRIM([1]raw_orders!I257))</f>
        <v>Mumbai</v>
      </c>
      <c r="J257" t="str">
        <f>PROPER(TRIM([1]raw_orders!J257))</f>
        <v>Technology</v>
      </c>
      <c r="K257" t="str">
        <f>PROPER(TRIM([1]raw_orders!K257))</f>
        <v>Phones</v>
      </c>
      <c r="L257" t="s">
        <v>816</v>
      </c>
      <c r="M257" t="str">
        <f>IF('[1]Cleaned Text Field'!M257="","Unknown",'[1]Cleaned Text Field'!M257)</f>
        <v>First Class</v>
      </c>
      <c r="N257">
        <f>IF('[1]Cleaned Text Field'!N257="",0,'[1]Cleaned Text Field'!N257)</f>
        <v>7</v>
      </c>
      <c r="O257">
        <v>1830</v>
      </c>
      <c r="P257" s="5">
        <f>IF('[1]Cleaned Text Field'!P257="",0,'[1]Cleaned Text Field'!P257)</f>
        <v>0</v>
      </c>
      <c r="Q257">
        <v>12810</v>
      </c>
      <c r="R257">
        <v>9334.1200000000008</v>
      </c>
      <c r="S257">
        <v>3475.88</v>
      </c>
      <c r="T257" t="str">
        <f>PROPER(TRIM([1]raw_orders!T257))</f>
        <v>Paid</v>
      </c>
      <c r="U257" t="str">
        <f>PROPER(TRIM([1]raw_orders!U257))</f>
        <v>Completed</v>
      </c>
      <c r="V257" s="6">
        <f t="shared" si="24"/>
        <v>0.27134113973458235</v>
      </c>
      <c r="W257" t="str">
        <f t="shared" si="25"/>
        <v>February</v>
      </c>
      <c r="X257">
        <f t="shared" si="26"/>
        <v>2025</v>
      </c>
      <c r="Y257">
        <f t="shared" si="27"/>
        <v>6</v>
      </c>
      <c r="Z257" s="7">
        <f t="shared" si="28"/>
        <v>0</v>
      </c>
      <c r="AA257">
        <f t="shared" si="29"/>
        <v>12810</v>
      </c>
      <c r="AB257">
        <f t="shared" si="30"/>
        <v>3475.8799999999992</v>
      </c>
      <c r="AC257" t="str">
        <f t="shared" si="31"/>
        <v>Clean</v>
      </c>
    </row>
    <row r="258" spans="1:29">
      <c r="A258" t="s">
        <v>817</v>
      </c>
      <c r="B258" s="4">
        <v>45601</v>
      </c>
      <c r="C258" s="4">
        <v>45599</v>
      </c>
      <c r="D258" t="s">
        <v>818</v>
      </c>
      <c r="E258" t="str">
        <f>PROPER(TRIM([1]raw_orders!E258))</f>
        <v>Ananya Rao</v>
      </c>
      <c r="F258" t="str">
        <f>PROPER(TRIM([1]raw_orders!F258))</f>
        <v>Consumer</v>
      </c>
      <c r="G258" t="str">
        <f>IF('[1]Cleaned Text Field'!G258="","Unknown",'[1]Cleaned Text Field'!G258)</f>
        <v>East</v>
      </c>
      <c r="H258" t="str">
        <f>PROPER(TRIM([1]raw_orders!H258))</f>
        <v>West Bengal</v>
      </c>
      <c r="I258" t="str">
        <f>PROPER(TRIM([1]raw_orders!I258))</f>
        <v>Kolkata</v>
      </c>
      <c r="J258" t="str">
        <f>PROPER(TRIM([1]raw_orders!J258))</f>
        <v>Furniture</v>
      </c>
      <c r="K258" t="str">
        <f>PROPER(TRIM([1]raw_orders!K258))</f>
        <v>Tables</v>
      </c>
      <c r="L258" t="s">
        <v>819</v>
      </c>
      <c r="M258" t="str">
        <f>IF('[1]Cleaned Text Field'!M258="","Unknown",'[1]Cleaned Text Field'!M258)</f>
        <v>First Class</v>
      </c>
      <c r="N258">
        <f>IF('[1]Cleaned Text Field'!N258="",0,'[1]Cleaned Text Field'!N258)</f>
        <v>9</v>
      </c>
      <c r="O258">
        <v>2260.61</v>
      </c>
      <c r="P258" s="5">
        <f>IF('[1]Cleaned Text Field'!P258="",0,'[1]Cleaned Text Field'!P258)</f>
        <v>0.05</v>
      </c>
      <c r="Q258">
        <v>19328.22</v>
      </c>
      <c r="R258">
        <v>12039.5</v>
      </c>
      <c r="S258">
        <v>7288.72</v>
      </c>
      <c r="T258" t="str">
        <f>PROPER(TRIM([1]raw_orders!T258))</f>
        <v>Paid</v>
      </c>
      <c r="U258" t="str">
        <f>PROPER(TRIM([1]raw_orders!U258))</f>
        <v>Completed</v>
      </c>
      <c r="V258" s="6">
        <f t="shared" si="24"/>
        <v>0.37710249572904281</v>
      </c>
      <c r="W258" t="str">
        <f t="shared" si="25"/>
        <v>November</v>
      </c>
      <c r="X258">
        <f t="shared" si="26"/>
        <v>2024</v>
      </c>
      <c r="Y258">
        <f t="shared" si="27"/>
        <v>-2</v>
      </c>
      <c r="Z258" s="7">
        <f t="shared" si="28"/>
        <v>0.05</v>
      </c>
      <c r="AA258">
        <f t="shared" si="29"/>
        <v>19328.215500000002</v>
      </c>
      <c r="AB258">
        <f t="shared" si="30"/>
        <v>7288.7200000000012</v>
      </c>
      <c r="AC258" t="str">
        <f t="shared" si="31"/>
        <v>Warning</v>
      </c>
    </row>
    <row r="259" spans="1:29">
      <c r="A259" t="s">
        <v>820</v>
      </c>
      <c r="B259" s="4">
        <v>45878</v>
      </c>
      <c r="C259" s="4">
        <v>45881</v>
      </c>
      <c r="D259" t="s">
        <v>821</v>
      </c>
      <c r="E259" t="str">
        <f>PROPER(TRIM([1]raw_orders!E259))</f>
        <v>Diya Patel</v>
      </c>
      <c r="F259" t="str">
        <f>PROPER(TRIM([1]raw_orders!F259))</f>
        <v>Corporate</v>
      </c>
      <c r="G259" t="str">
        <f>IF('[1]Cleaned Text Field'!G259="","Unknown",'[1]Cleaned Text Field'!G259)</f>
        <v>South</v>
      </c>
      <c r="H259" t="str">
        <f>PROPER(TRIM([1]raw_orders!H259))</f>
        <v>Karnataka</v>
      </c>
      <c r="I259" t="str">
        <f>PROPER(TRIM([1]raw_orders!I259))</f>
        <v>Bengaluru</v>
      </c>
      <c r="J259" t="str">
        <f>PROPER(TRIM([1]raw_orders!J259))</f>
        <v>Technology</v>
      </c>
      <c r="K259" t="str">
        <f>PROPER(TRIM([1]raw_orders!K259))</f>
        <v>Accessories</v>
      </c>
      <c r="L259" t="s">
        <v>822</v>
      </c>
      <c r="M259" t="str">
        <f>IF('[1]Cleaned Text Field'!M259="","Unknown",'[1]Cleaned Text Field'!M259)</f>
        <v>Second Class</v>
      </c>
      <c r="N259">
        <f>IF('[1]Cleaned Text Field'!N259="",0,'[1]Cleaned Text Field'!N259)</f>
        <v>2</v>
      </c>
      <c r="O259">
        <v>3237.27</v>
      </c>
      <c r="P259" s="5">
        <f>IF('[1]Cleaned Text Field'!P259="",0,'[1]Cleaned Text Field'!P259)</f>
        <v>0</v>
      </c>
      <c r="Q259">
        <v>6474.54</v>
      </c>
      <c r="R259">
        <v>5095.91</v>
      </c>
      <c r="S259">
        <v>1378.63</v>
      </c>
      <c r="T259" t="str">
        <f>PROPER(TRIM([1]raw_orders!T259))</f>
        <v>Paid</v>
      </c>
      <c r="U259" t="str">
        <f>PROPER(TRIM([1]raw_orders!U259))</f>
        <v>Cancelled</v>
      </c>
      <c r="V259" s="6">
        <f t="shared" ref="V259:V322" si="32">IF(Q259=0,0,S259/Q259)</f>
        <v>0.21293095725719513</v>
      </c>
      <c r="W259" t="str">
        <f t="shared" ref="W259:W322" si="33">TEXT(B259,"mmmm")</f>
        <v>August</v>
      </c>
      <c r="X259">
        <f t="shared" ref="X259:X322" si="34">YEAR(B259)</f>
        <v>2025</v>
      </c>
      <c r="Y259">
        <f t="shared" ref="Y259:Y322" si="35">C259-B259</f>
        <v>3</v>
      </c>
      <c r="Z259" s="7">
        <f t="shared" ref="Z259:Z321" si="36">P259</f>
        <v>0</v>
      </c>
      <c r="AA259">
        <f t="shared" ref="AA259:AA322" si="37">N259*O259*(1-P259)</f>
        <v>6474.54</v>
      </c>
      <c r="AB259">
        <f t="shared" ref="AB259:AB322" si="38">Q259-R259</f>
        <v>1378.63</v>
      </c>
      <c r="AC259" t="str">
        <f t="shared" ref="AC259:AC322" si="39">IF(OR(B259="",C259="",AA259&lt;=0),"Invalid",IF(Y259&lt;0,"Warning",IF(Z259&gt;100%,"Warning","Clean")))</f>
        <v>Clean</v>
      </c>
    </row>
    <row r="260" spans="1:29">
      <c r="A260" t="s">
        <v>823</v>
      </c>
      <c r="B260" s="4">
        <v>45656</v>
      </c>
      <c r="C260" s="4">
        <v>45661</v>
      </c>
      <c r="D260" t="s">
        <v>824</v>
      </c>
      <c r="E260" t="str">
        <f>PROPER(TRIM([1]raw_orders!E260))</f>
        <v>Sneha Kapoor</v>
      </c>
      <c r="F260" t="str">
        <f>PROPER(TRIM([1]raw_orders!F260))</f>
        <v>Corporate</v>
      </c>
      <c r="G260" t="str">
        <f>IF('[1]Cleaned Text Field'!G260="","Unknown",'[1]Cleaned Text Field'!G260)</f>
        <v>South</v>
      </c>
      <c r="H260" t="str">
        <f>PROPER(TRIM([1]raw_orders!H260))</f>
        <v>Tamil Nadu</v>
      </c>
      <c r="I260" t="str">
        <f>PROPER(TRIM([1]raw_orders!I260))</f>
        <v>Chennai</v>
      </c>
      <c r="J260" t="str">
        <f>PROPER(TRIM([1]raw_orders!J260))</f>
        <v>Furniture</v>
      </c>
      <c r="K260" t="str">
        <f>PROPER(TRIM([1]raw_orders!K260))</f>
        <v>Tables</v>
      </c>
      <c r="L260" t="s">
        <v>825</v>
      </c>
      <c r="M260" t="str">
        <f>IF('[1]Cleaned Text Field'!M260="","Unknown",'[1]Cleaned Text Field'!M260)</f>
        <v>Same Day</v>
      </c>
      <c r="N260">
        <f>IF('[1]Cleaned Text Field'!N260="",0,'[1]Cleaned Text Field'!N260)</f>
        <v>2</v>
      </c>
      <c r="O260">
        <v>3720.07</v>
      </c>
      <c r="P260" s="5">
        <f>IF('[1]Cleaned Text Field'!P260="",0,'[1]Cleaned Text Field'!P260)</f>
        <v>0.25</v>
      </c>
      <c r="Q260">
        <v>5580.11</v>
      </c>
      <c r="R260">
        <v>4307.01</v>
      </c>
      <c r="S260">
        <v>1273.0999999999999</v>
      </c>
      <c r="T260" t="str">
        <f>PROPER(TRIM([1]raw_orders!T260))</f>
        <v>Paid</v>
      </c>
      <c r="U260" t="str">
        <f>PROPER(TRIM([1]raw_orders!U260))</f>
        <v>Completed</v>
      </c>
      <c r="V260" s="6">
        <f t="shared" si="32"/>
        <v>0.22814962429056057</v>
      </c>
      <c r="W260" t="str">
        <f t="shared" si="33"/>
        <v>December</v>
      </c>
      <c r="X260">
        <f t="shared" si="34"/>
        <v>2024</v>
      </c>
      <c r="Y260">
        <f t="shared" si="35"/>
        <v>5</v>
      </c>
      <c r="Z260" s="7">
        <f t="shared" si="36"/>
        <v>0.25</v>
      </c>
      <c r="AA260">
        <f t="shared" si="37"/>
        <v>5580.1050000000005</v>
      </c>
      <c r="AB260">
        <f t="shared" si="38"/>
        <v>1273.0999999999995</v>
      </c>
      <c r="AC260" t="str">
        <f t="shared" si="39"/>
        <v>Clean</v>
      </c>
    </row>
    <row r="261" spans="1:29">
      <c r="A261" t="s">
        <v>826</v>
      </c>
      <c r="B261" s="4">
        <v>45464</v>
      </c>
      <c r="C261" s="4">
        <v>45472</v>
      </c>
      <c r="D261" t="s">
        <v>827</v>
      </c>
      <c r="E261" t="str">
        <f>PROPER(TRIM([1]raw_orders!E261))</f>
        <v>Neha Gupta</v>
      </c>
      <c r="F261" t="str">
        <f>PROPER(TRIM([1]raw_orders!F261))</f>
        <v>Consumer</v>
      </c>
      <c r="G261" t="str">
        <f>IF('[1]Cleaned Text Field'!G261="","Unknown",'[1]Cleaned Text Field'!G261)</f>
        <v>South</v>
      </c>
      <c r="H261" t="str">
        <f>PROPER(TRIM([1]raw_orders!H261))</f>
        <v>Tamil Nadu</v>
      </c>
      <c r="I261" t="str">
        <f>PROPER(TRIM([1]raw_orders!I261))</f>
        <v>Chennai</v>
      </c>
      <c r="J261" t="str">
        <f>PROPER(TRIM([1]raw_orders!J261))</f>
        <v>Technology</v>
      </c>
      <c r="K261" t="str">
        <f>PROPER(TRIM([1]raw_orders!K261))</f>
        <v>Machines</v>
      </c>
      <c r="L261" t="s">
        <v>828</v>
      </c>
      <c r="M261" t="str">
        <f>IF('[1]Cleaned Text Field'!M261="","Unknown",'[1]Cleaned Text Field'!M261)</f>
        <v>Standard Class</v>
      </c>
      <c r="N261">
        <f>IF('[1]Cleaned Text Field'!N261="",0,'[1]Cleaned Text Field'!N261)</f>
        <v>8</v>
      </c>
      <c r="O261">
        <v>2853.92</v>
      </c>
      <c r="P261" s="5">
        <f>IF('[1]Cleaned Text Field'!P261="",0,'[1]Cleaned Text Field'!P261)</f>
        <v>0.2</v>
      </c>
      <c r="Q261">
        <v>18265.09</v>
      </c>
      <c r="R261">
        <v>10437.14</v>
      </c>
      <c r="S261">
        <v>7827.95</v>
      </c>
      <c r="T261" t="str">
        <f>PROPER(TRIM([1]raw_orders!T261))</f>
        <v>Paid</v>
      </c>
      <c r="U261" t="str">
        <f>PROPER(TRIM([1]raw_orders!U261))</f>
        <v>Completed</v>
      </c>
      <c r="V261" s="6">
        <f t="shared" si="32"/>
        <v>0.42857440067363478</v>
      </c>
      <c r="W261" t="str">
        <f t="shared" si="33"/>
        <v>June</v>
      </c>
      <c r="X261">
        <f t="shared" si="34"/>
        <v>2024</v>
      </c>
      <c r="Y261">
        <f t="shared" si="35"/>
        <v>8</v>
      </c>
      <c r="Z261" s="7">
        <f t="shared" si="36"/>
        <v>0.2</v>
      </c>
      <c r="AA261">
        <f t="shared" si="37"/>
        <v>18265.088</v>
      </c>
      <c r="AB261">
        <f t="shared" si="38"/>
        <v>7827.9500000000007</v>
      </c>
      <c r="AC261" t="str">
        <f t="shared" si="39"/>
        <v>Clean</v>
      </c>
    </row>
    <row r="262" spans="1:29">
      <c r="A262" t="s">
        <v>829</v>
      </c>
      <c r="B262" s="4">
        <v>45923</v>
      </c>
      <c r="C262" s="4">
        <v>45927</v>
      </c>
      <c r="D262" t="s">
        <v>830</v>
      </c>
      <c r="E262" t="str">
        <f>PROPER(TRIM([1]raw_orders!E262))</f>
        <v>Aditi Sen</v>
      </c>
      <c r="F262" t="str">
        <f>PROPER(TRIM([1]raw_orders!F262))</f>
        <v>Corporate</v>
      </c>
      <c r="G262" t="str">
        <f>IF('[1]Cleaned Text Field'!G262="","Unknown",'[1]Cleaned Text Field'!G262)</f>
        <v>East</v>
      </c>
      <c r="H262" t="str">
        <f>PROPER(TRIM([1]raw_orders!H262))</f>
        <v>West Bengal</v>
      </c>
      <c r="I262" t="str">
        <f>PROPER(TRIM([1]raw_orders!I262))</f>
        <v>Kolkata</v>
      </c>
      <c r="J262" t="str">
        <f>PROPER(TRIM([1]raw_orders!J262))</f>
        <v>Office Supplies</v>
      </c>
      <c r="K262" t="str">
        <f>PROPER(TRIM([1]raw_orders!K262))</f>
        <v>Binders</v>
      </c>
      <c r="L262" t="s">
        <v>831</v>
      </c>
      <c r="M262" t="str">
        <f>IF('[1]Cleaned Text Field'!M262="","Unknown",'[1]Cleaned Text Field'!M262)</f>
        <v>Same Day</v>
      </c>
      <c r="N262">
        <f>IF('[1]Cleaned Text Field'!N262="",0,'[1]Cleaned Text Field'!N262)</f>
        <v>7</v>
      </c>
      <c r="O262">
        <v>2897.12</v>
      </c>
      <c r="P262" s="5">
        <f>IF('[1]Cleaned Text Field'!P262="",0,'[1]Cleaned Text Field'!P262)</f>
        <v>0.25</v>
      </c>
      <c r="Q262">
        <v>15209.88</v>
      </c>
      <c r="R262">
        <v>10891.15</v>
      </c>
      <c r="S262">
        <v>4318.7299999999996</v>
      </c>
      <c r="T262" t="str">
        <f>PROPER(TRIM([1]raw_orders!T262))</f>
        <v>Failed</v>
      </c>
      <c r="U262" t="str">
        <f>PROPER(TRIM([1]raw_orders!U262))</f>
        <v>Returned</v>
      </c>
      <c r="V262" s="6">
        <f t="shared" si="32"/>
        <v>0.28394241111698448</v>
      </c>
      <c r="W262" t="str">
        <f t="shared" si="33"/>
        <v>September</v>
      </c>
      <c r="X262">
        <f t="shared" si="34"/>
        <v>2025</v>
      </c>
      <c r="Y262">
        <f t="shared" si="35"/>
        <v>4</v>
      </c>
      <c r="Z262" s="7">
        <f t="shared" si="36"/>
        <v>0.25</v>
      </c>
      <c r="AA262">
        <f t="shared" si="37"/>
        <v>15209.880000000001</v>
      </c>
      <c r="AB262">
        <f t="shared" si="38"/>
        <v>4318.7299999999996</v>
      </c>
      <c r="AC262" t="str">
        <f t="shared" si="39"/>
        <v>Clean</v>
      </c>
    </row>
    <row r="263" spans="1:29">
      <c r="A263" t="s">
        <v>832</v>
      </c>
      <c r="B263" s="4">
        <v>45826</v>
      </c>
      <c r="C263" s="4">
        <v>45832</v>
      </c>
      <c r="D263" t="s">
        <v>833</v>
      </c>
      <c r="E263" t="str">
        <f>PROPER(TRIM([1]raw_orders!E263))</f>
        <v>Sneha Kapoor</v>
      </c>
      <c r="F263" t="str">
        <f>PROPER(TRIM([1]raw_orders!F263))</f>
        <v>Corporate</v>
      </c>
      <c r="G263" t="str">
        <f>IF('[1]Cleaned Text Field'!G263="","Unknown",'[1]Cleaned Text Field'!G263)</f>
        <v>North</v>
      </c>
      <c r="H263" t="str">
        <f>PROPER(TRIM([1]raw_orders!H263))</f>
        <v>Rajasthan</v>
      </c>
      <c r="I263" t="str">
        <f>PROPER(TRIM([1]raw_orders!I263))</f>
        <v>Jaipur</v>
      </c>
      <c r="J263" t="str">
        <f>PROPER(TRIM([1]raw_orders!J263))</f>
        <v>Office Supplies</v>
      </c>
      <c r="K263" t="str">
        <f>PROPER(TRIM([1]raw_orders!K263))</f>
        <v>Labels</v>
      </c>
      <c r="L263" t="s">
        <v>834</v>
      </c>
      <c r="M263" t="str">
        <f>IF('[1]Cleaned Text Field'!M263="","Unknown",'[1]Cleaned Text Field'!M263)</f>
        <v>Standard Class</v>
      </c>
      <c r="N263">
        <f>IF('[1]Cleaned Text Field'!N263="",0,'[1]Cleaned Text Field'!N263)</f>
        <v>3</v>
      </c>
      <c r="O263">
        <v>686.74</v>
      </c>
      <c r="P263" s="5">
        <f>IF('[1]Cleaned Text Field'!P263="",0,'[1]Cleaned Text Field'!P263)</f>
        <v>0.2</v>
      </c>
      <c r="Q263">
        <v>1648.18</v>
      </c>
      <c r="R263">
        <v>987.91</v>
      </c>
      <c r="S263">
        <v>660.27</v>
      </c>
      <c r="T263" t="str">
        <f>PROPER(TRIM([1]raw_orders!T263))</f>
        <v>Failed</v>
      </c>
      <c r="U263" t="str">
        <f>PROPER(TRIM([1]raw_orders!U263))</f>
        <v>Cancelled</v>
      </c>
      <c r="V263" s="6">
        <f t="shared" si="32"/>
        <v>0.40060551638777314</v>
      </c>
      <c r="W263" t="str">
        <f t="shared" si="33"/>
        <v>June</v>
      </c>
      <c r="X263">
        <f t="shared" si="34"/>
        <v>2025</v>
      </c>
      <c r="Y263">
        <f t="shared" si="35"/>
        <v>6</v>
      </c>
      <c r="Z263" s="7">
        <f t="shared" si="36"/>
        <v>0.2</v>
      </c>
      <c r="AA263">
        <f t="shared" si="37"/>
        <v>1648.1760000000004</v>
      </c>
      <c r="AB263">
        <f t="shared" si="38"/>
        <v>660.2700000000001</v>
      </c>
      <c r="AC263" t="str">
        <f t="shared" si="39"/>
        <v>Clean</v>
      </c>
    </row>
    <row r="264" spans="1:29">
      <c r="A264" t="s">
        <v>835</v>
      </c>
      <c r="B264" s="4">
        <v>45803</v>
      </c>
      <c r="C264" s="4">
        <v>45809</v>
      </c>
      <c r="D264" t="s">
        <v>571</v>
      </c>
      <c r="E264" t="str">
        <f>PROPER(TRIM([1]raw_orders!E264))</f>
        <v>Arjun Bose</v>
      </c>
      <c r="F264" t="str">
        <f>PROPER(TRIM([1]raw_orders!F264))</f>
        <v>Small Business</v>
      </c>
      <c r="G264" t="str">
        <f>IF('[1]Cleaned Text Field'!G264="","Unknown",'[1]Cleaned Text Field'!G264)</f>
        <v>North</v>
      </c>
      <c r="H264" t="str">
        <f>PROPER(TRIM([1]raw_orders!H264))</f>
        <v>Delhi</v>
      </c>
      <c r="I264" t="str">
        <f>PROPER(TRIM([1]raw_orders!I264))</f>
        <v>New Delhi</v>
      </c>
      <c r="J264" t="str">
        <f>PROPER(TRIM([1]raw_orders!J264))</f>
        <v>Technology</v>
      </c>
      <c r="K264" t="str">
        <f>PROPER(TRIM([1]raw_orders!K264))</f>
        <v>Phones</v>
      </c>
      <c r="L264" t="s">
        <v>836</v>
      </c>
      <c r="M264" t="str">
        <f>IF('[1]Cleaned Text Field'!M264="","Unknown",'[1]Cleaned Text Field'!M264)</f>
        <v>Same Day</v>
      </c>
      <c r="N264">
        <f>IF('[1]Cleaned Text Field'!N264="",0,'[1]Cleaned Text Field'!N264)</f>
        <v>4</v>
      </c>
      <c r="O264">
        <v>3349.86</v>
      </c>
      <c r="P264" s="5">
        <f>IF('[1]Cleaned Text Field'!P264="",0,'[1]Cleaned Text Field'!P264)</f>
        <v>0</v>
      </c>
      <c r="Q264">
        <v>13399.44</v>
      </c>
      <c r="R264">
        <v>8581.35</v>
      </c>
      <c r="S264">
        <v>4818.09</v>
      </c>
      <c r="T264" t="str">
        <f>PROPER(TRIM([1]raw_orders!T264))</f>
        <v>Pending</v>
      </c>
      <c r="U264" t="str">
        <f>PROPER(TRIM([1]raw_orders!U264))</f>
        <v>Returned</v>
      </c>
      <c r="V264" s="6">
        <f t="shared" si="32"/>
        <v>0.3595739821962709</v>
      </c>
      <c r="W264" t="str">
        <f t="shared" si="33"/>
        <v>May</v>
      </c>
      <c r="X264">
        <f t="shared" si="34"/>
        <v>2025</v>
      </c>
      <c r="Y264">
        <f t="shared" si="35"/>
        <v>6</v>
      </c>
      <c r="Z264" s="7">
        <f t="shared" si="36"/>
        <v>0</v>
      </c>
      <c r="AA264">
        <f t="shared" si="37"/>
        <v>13399.44</v>
      </c>
      <c r="AB264">
        <f t="shared" si="38"/>
        <v>4818.09</v>
      </c>
      <c r="AC264" t="str">
        <f t="shared" si="39"/>
        <v>Clean</v>
      </c>
    </row>
    <row r="265" spans="1:29">
      <c r="A265" t="s">
        <v>837</v>
      </c>
      <c r="B265" s="4">
        <v>45875</v>
      </c>
      <c r="C265" s="4">
        <v>45938</v>
      </c>
      <c r="D265" t="s">
        <v>838</v>
      </c>
      <c r="E265" t="str">
        <f>PROPER(TRIM([1]raw_orders!E265))</f>
        <v>Rohan Mehta</v>
      </c>
      <c r="F265" t="str">
        <f>PROPER(TRIM([1]raw_orders!F265))</f>
        <v>Small Business</v>
      </c>
      <c r="G265" t="str">
        <f>IF('[1]Cleaned Text Field'!G265="","Unknown",'[1]Cleaned Text Field'!G265)</f>
        <v>North</v>
      </c>
      <c r="H265" t="str">
        <f>PROPER(TRIM([1]raw_orders!H265))</f>
        <v>Delhi</v>
      </c>
      <c r="I265" t="str">
        <f>PROPER(TRIM([1]raw_orders!I265))</f>
        <v>New Delhi</v>
      </c>
      <c r="J265" t="str">
        <f>PROPER(TRIM([1]raw_orders!J265))</f>
        <v>Office Supplies</v>
      </c>
      <c r="K265" t="str">
        <f>PROPER(TRIM([1]raw_orders!K265))</f>
        <v>Binders</v>
      </c>
      <c r="L265" t="s">
        <v>839</v>
      </c>
      <c r="M265" t="str">
        <f>IF('[1]Cleaned Text Field'!M265="","Unknown",'[1]Cleaned Text Field'!M265)</f>
        <v>Second Class</v>
      </c>
      <c r="N265">
        <f>IF('[1]Cleaned Text Field'!N265="",0,'[1]Cleaned Text Field'!N265)</f>
        <v>9</v>
      </c>
      <c r="O265">
        <v>4042.45</v>
      </c>
      <c r="P265" s="5">
        <f>IF('[1]Cleaned Text Field'!P265="",0,'[1]Cleaned Text Field'!P265)</f>
        <v>0.1</v>
      </c>
      <c r="Q265">
        <v>32743.84</v>
      </c>
      <c r="R265">
        <v>22452.05</v>
      </c>
      <c r="S265">
        <v>10291.790000000001</v>
      </c>
      <c r="T265" t="str">
        <f>PROPER(TRIM([1]raw_orders!T265))</f>
        <v>Pending</v>
      </c>
      <c r="U265" t="str">
        <f>PROPER(TRIM([1]raw_orders!U265))</f>
        <v>Returned</v>
      </c>
      <c r="V265" s="6">
        <f t="shared" si="32"/>
        <v>0.31431224926581613</v>
      </c>
      <c r="W265" t="str">
        <f t="shared" si="33"/>
        <v>August</v>
      </c>
      <c r="X265">
        <f t="shared" si="34"/>
        <v>2025</v>
      </c>
      <c r="Y265">
        <f t="shared" si="35"/>
        <v>63</v>
      </c>
      <c r="Z265" s="7">
        <f t="shared" si="36"/>
        <v>0.1</v>
      </c>
      <c r="AA265">
        <f t="shared" si="37"/>
        <v>32743.844999999998</v>
      </c>
      <c r="AB265">
        <f t="shared" si="38"/>
        <v>10291.790000000001</v>
      </c>
      <c r="AC265" t="str">
        <f t="shared" si="39"/>
        <v>Clean</v>
      </c>
    </row>
    <row r="266" spans="1:29">
      <c r="A266" t="s">
        <v>840</v>
      </c>
      <c r="B266" s="4">
        <v>45428</v>
      </c>
      <c r="C266" s="4">
        <v>45433</v>
      </c>
      <c r="D266" t="s">
        <v>841</v>
      </c>
      <c r="E266" t="str">
        <f>PROPER(TRIM([1]raw_orders!E266))</f>
        <v>Diya Patel</v>
      </c>
      <c r="F266" t="str">
        <f>PROPER(TRIM([1]raw_orders!F266))</f>
        <v>Small Business</v>
      </c>
      <c r="G266" t="str">
        <f>IF('[1]Cleaned Text Field'!G266="","Unknown",'[1]Cleaned Text Field'!G266)</f>
        <v>East</v>
      </c>
      <c r="H266" t="str">
        <f>PROPER(TRIM([1]raw_orders!H266))</f>
        <v>Bihar</v>
      </c>
      <c r="I266" t="str">
        <f>PROPER(TRIM([1]raw_orders!I266))</f>
        <v>Patna</v>
      </c>
      <c r="J266" t="str">
        <f>PROPER(TRIM([1]raw_orders!J266))</f>
        <v>Technology</v>
      </c>
      <c r="K266" t="str">
        <f>PROPER(TRIM([1]raw_orders!K266))</f>
        <v>Copiers</v>
      </c>
      <c r="L266" t="s">
        <v>842</v>
      </c>
      <c r="M266" t="str">
        <f>IF('[1]Cleaned Text Field'!M266="","Unknown",'[1]Cleaned Text Field'!M266)</f>
        <v>Standard Class</v>
      </c>
      <c r="N266">
        <f>IF('[1]Cleaned Text Field'!N266="",0,'[1]Cleaned Text Field'!N266)</f>
        <v>4</v>
      </c>
      <c r="O266">
        <v>1503.07</v>
      </c>
      <c r="P266" s="5">
        <f>IF('[1]Cleaned Text Field'!P266="",0,'[1]Cleaned Text Field'!P266)</f>
        <v>0</v>
      </c>
      <c r="Q266">
        <v>6012.28</v>
      </c>
      <c r="R266">
        <v>3927.64</v>
      </c>
      <c r="S266">
        <v>2084.64</v>
      </c>
      <c r="T266" t="str">
        <f>PROPER(TRIM([1]raw_orders!T266))</f>
        <v>Paid</v>
      </c>
      <c r="U266" t="str">
        <f>PROPER(TRIM([1]raw_orders!U266))</f>
        <v>Completed</v>
      </c>
      <c r="V266" s="6">
        <f t="shared" si="32"/>
        <v>0.34673035853286938</v>
      </c>
      <c r="W266" t="str">
        <f t="shared" si="33"/>
        <v>May</v>
      </c>
      <c r="X266">
        <f t="shared" si="34"/>
        <v>2024</v>
      </c>
      <c r="Y266">
        <f t="shared" si="35"/>
        <v>5</v>
      </c>
      <c r="Z266" s="7">
        <f t="shared" si="36"/>
        <v>0</v>
      </c>
      <c r="AA266">
        <f t="shared" si="37"/>
        <v>6012.28</v>
      </c>
      <c r="AB266">
        <f t="shared" si="38"/>
        <v>2084.64</v>
      </c>
      <c r="AC266" t="str">
        <f t="shared" si="39"/>
        <v>Clean</v>
      </c>
    </row>
    <row r="267" spans="1:29">
      <c r="A267" t="s">
        <v>843</v>
      </c>
      <c r="B267" s="4">
        <v>45610</v>
      </c>
      <c r="C267" s="4">
        <v>45618</v>
      </c>
      <c r="D267" t="s">
        <v>844</v>
      </c>
      <c r="E267" t="str">
        <f>PROPER(TRIM([1]raw_orders!E267))</f>
        <v>Priya Menon</v>
      </c>
      <c r="F267" t="str">
        <f>PROPER(TRIM([1]raw_orders!F267))</f>
        <v>Corporate</v>
      </c>
      <c r="G267" t="str">
        <f>IF('[1]Cleaned Text Field'!G267="","Unknown",'[1]Cleaned Text Field'!G267)</f>
        <v>East</v>
      </c>
      <c r="H267" t="str">
        <f>PROPER(TRIM([1]raw_orders!H267))</f>
        <v>Bihar</v>
      </c>
      <c r="I267" t="str">
        <f>PROPER(TRIM([1]raw_orders!I267))</f>
        <v>Patna</v>
      </c>
      <c r="J267" t="str">
        <f>PROPER(TRIM([1]raw_orders!J267))</f>
        <v>Furniture</v>
      </c>
      <c r="K267" t="str">
        <f>PROPER(TRIM([1]raw_orders!K267))</f>
        <v>Bookcases</v>
      </c>
      <c r="L267" t="s">
        <v>845</v>
      </c>
      <c r="M267" t="str">
        <f>IF('[1]Cleaned Text Field'!M267="","Unknown",'[1]Cleaned Text Field'!M267)</f>
        <v>Same Day</v>
      </c>
      <c r="N267">
        <f>IF('[1]Cleaned Text Field'!N267="",0,'[1]Cleaned Text Field'!N267)</f>
        <v>1</v>
      </c>
      <c r="O267">
        <v>582.37</v>
      </c>
      <c r="P267" s="5">
        <f>IF('[1]Cleaned Text Field'!P267="",0,'[1]Cleaned Text Field'!P267)</f>
        <v>0.15</v>
      </c>
      <c r="Q267">
        <v>495.01</v>
      </c>
      <c r="R267">
        <v>285.13</v>
      </c>
      <c r="S267">
        <v>209.88</v>
      </c>
      <c r="T267" t="str">
        <f>PROPER(TRIM([1]raw_orders!T267))</f>
        <v>Refunded</v>
      </c>
      <c r="U267" t="str">
        <f>PROPER(TRIM([1]raw_orders!U267))</f>
        <v>Cancelled</v>
      </c>
      <c r="V267" s="6">
        <f t="shared" si="32"/>
        <v>0.42399143451647442</v>
      </c>
      <c r="W267" t="str">
        <f t="shared" si="33"/>
        <v>November</v>
      </c>
      <c r="X267">
        <f t="shared" si="34"/>
        <v>2024</v>
      </c>
      <c r="Y267">
        <f t="shared" si="35"/>
        <v>8</v>
      </c>
      <c r="Z267" s="7">
        <f t="shared" si="36"/>
        <v>0.15</v>
      </c>
      <c r="AA267">
        <f t="shared" si="37"/>
        <v>495.0145</v>
      </c>
      <c r="AB267">
        <f t="shared" si="38"/>
        <v>209.88</v>
      </c>
      <c r="AC267" t="str">
        <f t="shared" si="39"/>
        <v>Clean</v>
      </c>
    </row>
    <row r="268" spans="1:29">
      <c r="A268" t="s">
        <v>846</v>
      </c>
      <c r="B268" s="4">
        <v>45780</v>
      </c>
      <c r="C268" s="4">
        <v>45787</v>
      </c>
      <c r="D268" t="s">
        <v>847</v>
      </c>
      <c r="E268" t="str">
        <f>PROPER(TRIM([1]raw_orders!E268))</f>
        <v>Neha Gupta</v>
      </c>
      <c r="F268" t="str">
        <f>PROPER(TRIM([1]raw_orders!F268))</f>
        <v>Home Office</v>
      </c>
      <c r="G268" t="str">
        <f>IF('[1]Cleaned Text Field'!G268="","Unknown",'[1]Cleaned Text Field'!G268)</f>
        <v>West</v>
      </c>
      <c r="H268" t="str">
        <f>PROPER(TRIM([1]raw_orders!H268))</f>
        <v>Maharashtra</v>
      </c>
      <c r="I268" t="str">
        <f>PROPER(TRIM([1]raw_orders!I268))</f>
        <v>Mumbai</v>
      </c>
      <c r="J268" t="str">
        <f>PROPER(TRIM([1]raw_orders!J268))</f>
        <v>Office Supplies</v>
      </c>
      <c r="K268" t="str">
        <f>PROPER(TRIM([1]raw_orders!K268))</f>
        <v>Storage</v>
      </c>
      <c r="L268" t="s">
        <v>848</v>
      </c>
      <c r="M268" t="str">
        <f>IF('[1]Cleaned Text Field'!M268="","Unknown",'[1]Cleaned Text Field'!M268)</f>
        <v>Second Class</v>
      </c>
      <c r="N268">
        <f>IF('[1]Cleaned Text Field'!N268="",0,'[1]Cleaned Text Field'!N268)</f>
        <v>3</v>
      </c>
      <c r="O268">
        <v>4339.24</v>
      </c>
      <c r="P268" s="5">
        <f>IF('[1]Cleaned Text Field'!P268="",0,'[1]Cleaned Text Field'!P268)</f>
        <v>0</v>
      </c>
      <c r="Q268">
        <v>13017.72</v>
      </c>
      <c r="R268">
        <v>10170.57</v>
      </c>
      <c r="S268">
        <v>2847.15</v>
      </c>
      <c r="T268" t="str">
        <f>PROPER(TRIM([1]raw_orders!T268))</f>
        <v>Paid</v>
      </c>
      <c r="U268" t="str">
        <f>PROPER(TRIM([1]raw_orders!U268))</f>
        <v>Completed</v>
      </c>
      <c r="V268" s="6">
        <f t="shared" si="32"/>
        <v>0.21871341525244054</v>
      </c>
      <c r="W268" t="str">
        <f t="shared" si="33"/>
        <v>May</v>
      </c>
      <c r="X268">
        <f t="shared" si="34"/>
        <v>2025</v>
      </c>
      <c r="Y268">
        <f t="shared" si="35"/>
        <v>7</v>
      </c>
      <c r="Z268" s="7">
        <f t="shared" si="36"/>
        <v>0</v>
      </c>
      <c r="AA268">
        <f t="shared" si="37"/>
        <v>13017.72</v>
      </c>
      <c r="AB268">
        <f t="shared" si="38"/>
        <v>2847.1499999999996</v>
      </c>
      <c r="AC268" t="str">
        <f t="shared" si="39"/>
        <v>Clean</v>
      </c>
    </row>
    <row r="269" spans="1:29">
      <c r="A269" t="s">
        <v>849</v>
      </c>
      <c r="B269" s="4">
        <v>45805</v>
      </c>
      <c r="C269" s="4">
        <v>45753</v>
      </c>
      <c r="D269" t="s">
        <v>850</v>
      </c>
      <c r="E269" t="str">
        <f>PROPER(TRIM([1]raw_orders!E269))</f>
        <v>Diya Patel</v>
      </c>
      <c r="F269" t="str">
        <f>PROPER(TRIM([1]raw_orders!F269))</f>
        <v>Corporate</v>
      </c>
      <c r="G269" t="str">
        <f>IF('[1]Cleaned Text Field'!G269="","Unknown",'[1]Cleaned Text Field'!G269)</f>
        <v>East</v>
      </c>
      <c r="H269" t="str">
        <f>PROPER(TRIM([1]raw_orders!H269))</f>
        <v>Jharkhand</v>
      </c>
      <c r="I269" t="str">
        <f>PROPER(TRIM([1]raw_orders!I269))</f>
        <v>Ranchi</v>
      </c>
      <c r="J269" t="str">
        <f>PROPER(TRIM([1]raw_orders!J269))</f>
        <v>Furniture</v>
      </c>
      <c r="K269" t="str">
        <f>PROPER(TRIM([1]raw_orders!K269))</f>
        <v>Furnishings</v>
      </c>
      <c r="L269" t="s">
        <v>851</v>
      </c>
      <c r="M269" t="str">
        <f>IF('[1]Cleaned Text Field'!M269="","Unknown",'[1]Cleaned Text Field'!M269)</f>
        <v>First Class</v>
      </c>
      <c r="N269">
        <f>IF('[1]Cleaned Text Field'!N269="",0,'[1]Cleaned Text Field'!N269)</f>
        <v>4</v>
      </c>
      <c r="O269">
        <v>261.8</v>
      </c>
      <c r="P269" s="5">
        <f>IF('[1]Cleaned Text Field'!P269="",0,'[1]Cleaned Text Field'!P269)</f>
        <v>0.25</v>
      </c>
      <c r="Q269">
        <v>785.4</v>
      </c>
      <c r="R269">
        <v>557.22</v>
      </c>
      <c r="S269">
        <v>228.18</v>
      </c>
      <c r="T269" t="str">
        <f>PROPER(TRIM([1]raw_orders!T269))</f>
        <v>Paid</v>
      </c>
      <c r="U269" t="str">
        <f>PROPER(TRIM([1]raw_orders!U269))</f>
        <v>Completed</v>
      </c>
      <c r="V269" s="6">
        <f t="shared" si="32"/>
        <v>0.29052711993888464</v>
      </c>
      <c r="W269" t="str">
        <f t="shared" si="33"/>
        <v>May</v>
      </c>
      <c r="X269">
        <f t="shared" si="34"/>
        <v>2025</v>
      </c>
      <c r="Y269">
        <f t="shared" si="35"/>
        <v>-52</v>
      </c>
      <c r="Z269" s="7">
        <f t="shared" si="36"/>
        <v>0.25</v>
      </c>
      <c r="AA269">
        <f t="shared" si="37"/>
        <v>785.40000000000009</v>
      </c>
      <c r="AB269">
        <f t="shared" si="38"/>
        <v>228.17999999999995</v>
      </c>
      <c r="AC269" t="str">
        <f t="shared" si="39"/>
        <v>Warning</v>
      </c>
    </row>
    <row r="270" spans="1:29">
      <c r="A270" t="s">
        <v>852</v>
      </c>
      <c r="B270" s="4">
        <v>45886</v>
      </c>
      <c r="C270" s="4">
        <v>45886</v>
      </c>
      <c r="D270" t="s">
        <v>853</v>
      </c>
      <c r="E270" t="str">
        <f>PROPER(TRIM([1]raw_orders!E270))</f>
        <v>Aarav Sharma</v>
      </c>
      <c r="F270" t="str">
        <f>PROPER(TRIM([1]raw_orders!F270))</f>
        <v>Home Office</v>
      </c>
      <c r="G270" t="str">
        <f>IF('[1]Cleaned Text Field'!G270="","Unknown",'[1]Cleaned Text Field'!G270)</f>
        <v>North</v>
      </c>
      <c r="H270" t="str">
        <f>PROPER(TRIM([1]raw_orders!H270))</f>
        <v>Punjab</v>
      </c>
      <c r="I270" t="str">
        <f>PROPER(TRIM([1]raw_orders!I270))</f>
        <v>Ludhiana</v>
      </c>
      <c r="J270" t="str">
        <f>PROPER(TRIM([1]raw_orders!J270))</f>
        <v>Technology</v>
      </c>
      <c r="K270" t="str">
        <f>PROPER(TRIM([1]raw_orders!K270))</f>
        <v>Accessories</v>
      </c>
      <c r="L270" t="s">
        <v>854</v>
      </c>
      <c r="M270" t="str">
        <f>IF('[1]Cleaned Text Field'!M270="","Unknown",'[1]Cleaned Text Field'!M270)</f>
        <v>First Class</v>
      </c>
      <c r="N270">
        <f>IF('[1]Cleaned Text Field'!N270="",0,'[1]Cleaned Text Field'!N270)</f>
        <v>7</v>
      </c>
      <c r="O270">
        <v>632.20000000000005</v>
      </c>
      <c r="P270" s="5">
        <f>IF('[1]Cleaned Text Field'!P270="",0,'[1]Cleaned Text Field'!P270)</f>
        <v>0.25</v>
      </c>
      <c r="Q270">
        <v>3319.05</v>
      </c>
      <c r="R270">
        <v>2124.6</v>
      </c>
      <c r="S270">
        <v>1194.45</v>
      </c>
      <c r="T270" t="str">
        <f>PROPER(TRIM([1]raw_orders!T270))</f>
        <v>Paid</v>
      </c>
      <c r="U270" t="str">
        <f>PROPER(TRIM([1]raw_orders!U270))</f>
        <v>Completed</v>
      </c>
      <c r="V270" s="6">
        <f t="shared" si="32"/>
        <v>0.35987707325891444</v>
      </c>
      <c r="W270" t="str">
        <f t="shared" si="33"/>
        <v>August</v>
      </c>
      <c r="X270">
        <f t="shared" si="34"/>
        <v>2025</v>
      </c>
      <c r="Y270">
        <f t="shared" si="35"/>
        <v>0</v>
      </c>
      <c r="Z270" s="7">
        <f t="shared" si="36"/>
        <v>0.25</v>
      </c>
      <c r="AA270">
        <f t="shared" si="37"/>
        <v>3319.05</v>
      </c>
      <c r="AB270">
        <f t="shared" si="38"/>
        <v>1194.4500000000003</v>
      </c>
      <c r="AC270" t="str">
        <f t="shared" si="39"/>
        <v>Clean</v>
      </c>
    </row>
    <row r="271" spans="1:29">
      <c r="A271" t="s">
        <v>855</v>
      </c>
      <c r="B271" s="4">
        <v>45698</v>
      </c>
      <c r="C271" s="4">
        <v>45700</v>
      </c>
      <c r="D271" t="s">
        <v>856</v>
      </c>
      <c r="E271" t="str">
        <f>PROPER(TRIM([1]raw_orders!E271))</f>
        <v>Rahul Verma</v>
      </c>
      <c r="F271" t="str">
        <f>PROPER(TRIM([1]raw_orders!F271))</f>
        <v>Small Business</v>
      </c>
      <c r="G271" t="str">
        <f>IF('[1]Cleaned Text Field'!G271="","Unknown",'[1]Cleaned Text Field'!G271)</f>
        <v>West</v>
      </c>
      <c r="H271" t="str">
        <f>PROPER(TRIM([1]raw_orders!H271))</f>
        <v>Rajasthan</v>
      </c>
      <c r="I271" t="str">
        <f>PROPER(TRIM([1]raw_orders!I271))</f>
        <v>Udaipur</v>
      </c>
      <c r="J271" t="str">
        <f>PROPER(TRIM([1]raw_orders!J271))</f>
        <v>Furniture</v>
      </c>
      <c r="K271" t="str">
        <f>PROPER(TRIM([1]raw_orders!K271))</f>
        <v>Tables</v>
      </c>
      <c r="L271" t="s">
        <v>857</v>
      </c>
      <c r="M271" t="str">
        <f>IF('[1]Cleaned Text Field'!M271="","Unknown",'[1]Cleaned Text Field'!M271)</f>
        <v>Same Day</v>
      </c>
      <c r="N271">
        <f>IF('[1]Cleaned Text Field'!N271="",0,'[1]Cleaned Text Field'!N271)</f>
        <v>1</v>
      </c>
      <c r="O271">
        <v>1925.86</v>
      </c>
      <c r="P271" s="5">
        <f>IF('[1]Cleaned Text Field'!P271="",0,'[1]Cleaned Text Field'!P271)</f>
        <v>0</v>
      </c>
      <c r="Q271">
        <v>1925.86</v>
      </c>
      <c r="R271">
        <v>1321.89</v>
      </c>
      <c r="S271">
        <v>603.97</v>
      </c>
      <c r="T271" t="str">
        <f>PROPER(TRIM([1]raw_orders!T271))</f>
        <v>Paid</v>
      </c>
      <c r="U271" t="str">
        <f>PROPER(TRIM([1]raw_orders!U271))</f>
        <v>Completed</v>
      </c>
      <c r="V271" s="6">
        <f t="shared" si="32"/>
        <v>0.3136105428224274</v>
      </c>
      <c r="W271" t="str">
        <f t="shared" si="33"/>
        <v>February</v>
      </c>
      <c r="X271">
        <f t="shared" si="34"/>
        <v>2025</v>
      </c>
      <c r="Y271">
        <f t="shared" si="35"/>
        <v>2</v>
      </c>
      <c r="Z271" s="7">
        <f t="shared" si="36"/>
        <v>0</v>
      </c>
      <c r="AA271">
        <f t="shared" si="37"/>
        <v>1925.86</v>
      </c>
      <c r="AB271">
        <f t="shared" si="38"/>
        <v>603.9699999999998</v>
      </c>
      <c r="AC271" t="str">
        <f t="shared" si="39"/>
        <v>Clean</v>
      </c>
    </row>
    <row r="272" spans="1:29">
      <c r="A272" t="s">
        <v>858</v>
      </c>
      <c r="B272" s="4">
        <v>45303</v>
      </c>
      <c r="C272" s="4">
        <v>45304</v>
      </c>
      <c r="D272" t="s">
        <v>859</v>
      </c>
      <c r="E272" t="str">
        <f>PROPER(TRIM([1]raw_orders!E272))</f>
        <v>Aditi Sen</v>
      </c>
      <c r="F272" t="str">
        <f>PROPER(TRIM([1]raw_orders!F272))</f>
        <v>Corporate</v>
      </c>
      <c r="G272" t="str">
        <f>IF('[1]Cleaned Text Field'!G272="","Unknown",'[1]Cleaned Text Field'!G272)</f>
        <v>North</v>
      </c>
      <c r="H272" t="str">
        <f>PROPER(TRIM([1]raw_orders!H272))</f>
        <v>Uttar Pradesh</v>
      </c>
      <c r="I272" t="str">
        <f>PROPER(TRIM([1]raw_orders!I272))</f>
        <v>Noida</v>
      </c>
      <c r="J272" t="str">
        <f>PROPER(TRIM([1]raw_orders!J272))</f>
        <v>Technology</v>
      </c>
      <c r="K272" t="str">
        <f>PROPER(TRIM([1]raw_orders!K272))</f>
        <v>Machines</v>
      </c>
      <c r="L272" t="s">
        <v>860</v>
      </c>
      <c r="M272" t="str">
        <f>IF('[1]Cleaned Text Field'!M272="","Unknown",'[1]Cleaned Text Field'!M272)</f>
        <v>Same Day</v>
      </c>
      <c r="N272">
        <f>IF('[1]Cleaned Text Field'!N272="",0,'[1]Cleaned Text Field'!N272)</f>
        <v>3</v>
      </c>
      <c r="O272">
        <v>827.44</v>
      </c>
      <c r="P272" s="5">
        <f>IF('[1]Cleaned Text Field'!P272="",0,'[1]Cleaned Text Field'!P272)</f>
        <v>0</v>
      </c>
      <c r="Q272">
        <v>2482.3200000000002</v>
      </c>
      <c r="R272">
        <v>1520.21</v>
      </c>
      <c r="S272">
        <v>962.11</v>
      </c>
      <c r="T272" t="str">
        <f>PROPER(TRIM([1]raw_orders!T272))</f>
        <v>Paid</v>
      </c>
      <c r="U272" t="str">
        <f>PROPER(TRIM([1]raw_orders!U272))</f>
        <v>Completed</v>
      </c>
      <c r="V272" s="6">
        <f t="shared" si="32"/>
        <v>0.38758500112797706</v>
      </c>
      <c r="W272" t="str">
        <f t="shared" si="33"/>
        <v>January</v>
      </c>
      <c r="X272">
        <f t="shared" si="34"/>
        <v>2024</v>
      </c>
      <c r="Y272">
        <f t="shared" si="35"/>
        <v>1</v>
      </c>
      <c r="Z272" s="7">
        <f t="shared" si="36"/>
        <v>0</v>
      </c>
      <c r="AA272">
        <f t="shared" si="37"/>
        <v>2482.3200000000002</v>
      </c>
      <c r="AB272">
        <f t="shared" si="38"/>
        <v>962.11000000000013</v>
      </c>
      <c r="AC272" t="str">
        <f t="shared" si="39"/>
        <v>Clean</v>
      </c>
    </row>
    <row r="273" spans="1:29">
      <c r="A273" t="s">
        <v>861</v>
      </c>
      <c r="B273" s="4">
        <v>45647</v>
      </c>
      <c r="C273" s="4">
        <v>45651</v>
      </c>
      <c r="D273" t="s">
        <v>862</v>
      </c>
      <c r="E273" t="str">
        <f>PROPER(TRIM([1]raw_orders!E273))</f>
        <v>Aditi Sen</v>
      </c>
      <c r="F273" t="str">
        <f>PROPER(TRIM([1]raw_orders!F273))</f>
        <v>Consumer</v>
      </c>
      <c r="G273" t="str">
        <f>IF('[1]Cleaned Text Field'!G273="","Unknown",'[1]Cleaned Text Field'!G273)</f>
        <v>South</v>
      </c>
      <c r="H273" t="str">
        <f>PROPER(TRIM([1]raw_orders!H273))</f>
        <v>Telangana</v>
      </c>
      <c r="I273" t="str">
        <f>PROPER(TRIM([1]raw_orders!I273))</f>
        <v>Hyderabad</v>
      </c>
      <c r="J273" t="str">
        <f>PROPER(TRIM([1]raw_orders!J273))</f>
        <v>Office Supplies</v>
      </c>
      <c r="K273" t="str">
        <f>PROPER(TRIM([1]raw_orders!K273))</f>
        <v>Binders</v>
      </c>
      <c r="L273" t="s">
        <v>863</v>
      </c>
      <c r="M273" t="str">
        <f>IF('[1]Cleaned Text Field'!M273="","Unknown",'[1]Cleaned Text Field'!M273)</f>
        <v>Standard Class</v>
      </c>
      <c r="N273">
        <f>IF('[1]Cleaned Text Field'!N273="",0,'[1]Cleaned Text Field'!N273)</f>
        <v>7</v>
      </c>
      <c r="O273">
        <v>1667.75</v>
      </c>
      <c r="P273" s="5">
        <f>IF('[1]Cleaned Text Field'!P273="",0,'[1]Cleaned Text Field'!P273)</f>
        <v>0</v>
      </c>
      <c r="Q273">
        <v>11674.25</v>
      </c>
      <c r="R273">
        <v>9621.19</v>
      </c>
      <c r="S273">
        <v>2053.06</v>
      </c>
      <c r="T273" t="str">
        <f>PROPER(TRIM([1]raw_orders!T273))</f>
        <v>Failed</v>
      </c>
      <c r="U273" t="str">
        <f>PROPER(TRIM([1]raw_orders!U273))</f>
        <v>Cancelled</v>
      </c>
      <c r="V273" s="6">
        <f t="shared" si="32"/>
        <v>0.17586226095894811</v>
      </c>
      <c r="W273" t="str">
        <f t="shared" si="33"/>
        <v>December</v>
      </c>
      <c r="X273">
        <f t="shared" si="34"/>
        <v>2024</v>
      </c>
      <c r="Y273">
        <f t="shared" si="35"/>
        <v>4</v>
      </c>
      <c r="Z273" s="7">
        <f t="shared" si="36"/>
        <v>0</v>
      </c>
      <c r="AA273">
        <f t="shared" si="37"/>
        <v>11674.25</v>
      </c>
      <c r="AB273">
        <f t="shared" si="38"/>
        <v>2053.0599999999995</v>
      </c>
      <c r="AC273" t="str">
        <f t="shared" si="39"/>
        <v>Clean</v>
      </c>
    </row>
    <row r="274" spans="1:29">
      <c r="A274" t="s">
        <v>864</v>
      </c>
      <c r="B274" s="4">
        <v>45522</v>
      </c>
      <c r="C274" s="4">
        <v>45528</v>
      </c>
      <c r="D274" t="s">
        <v>865</v>
      </c>
      <c r="E274" t="str">
        <f>PROPER(TRIM([1]raw_orders!E274))</f>
        <v>Arjun Bose</v>
      </c>
      <c r="F274" t="str">
        <f>PROPER(TRIM([1]raw_orders!F274))</f>
        <v>Consumer</v>
      </c>
      <c r="G274" t="str">
        <f>IF('[1]Cleaned Text Field'!G274="","Unknown",'[1]Cleaned Text Field'!G274)</f>
        <v>South</v>
      </c>
      <c r="H274" t="str">
        <f>PROPER(TRIM([1]raw_orders!H274))</f>
        <v>Andhra Pradesh</v>
      </c>
      <c r="I274" t="str">
        <f>PROPER(TRIM([1]raw_orders!I274))</f>
        <v>Vijayawada</v>
      </c>
      <c r="J274" t="str">
        <f>PROPER(TRIM([1]raw_orders!J274))</f>
        <v>Furniture</v>
      </c>
      <c r="K274" t="str">
        <f>PROPER(TRIM([1]raw_orders!K274))</f>
        <v>Chairs</v>
      </c>
      <c r="L274" t="s">
        <v>866</v>
      </c>
      <c r="M274" t="str">
        <f>IF('[1]Cleaned Text Field'!M274="","Unknown",'[1]Cleaned Text Field'!M274)</f>
        <v>First Class</v>
      </c>
      <c r="N274">
        <f>IF('[1]Cleaned Text Field'!N274="",0,'[1]Cleaned Text Field'!N274)</f>
        <v>7</v>
      </c>
      <c r="O274">
        <v>557.21</v>
      </c>
      <c r="P274" s="5">
        <f>IF('[1]Cleaned Text Field'!P274="",0,'[1]Cleaned Text Field'!P274)</f>
        <v>0.1</v>
      </c>
      <c r="Q274">
        <v>3510.42</v>
      </c>
      <c r="R274">
        <v>2191.5</v>
      </c>
      <c r="S274">
        <v>1213.48</v>
      </c>
      <c r="T274" t="str">
        <f>PROPER(TRIM([1]raw_orders!T274))</f>
        <v>Paid</v>
      </c>
      <c r="U274" t="str">
        <f>PROPER(TRIM([1]raw_orders!U274))</f>
        <v>Completed</v>
      </c>
      <c r="V274" s="6">
        <f t="shared" si="32"/>
        <v>0.34567943436967657</v>
      </c>
      <c r="W274" t="str">
        <f t="shared" si="33"/>
        <v>August</v>
      </c>
      <c r="X274">
        <f t="shared" si="34"/>
        <v>2024</v>
      </c>
      <c r="Y274">
        <f t="shared" si="35"/>
        <v>6</v>
      </c>
      <c r="Z274" s="7">
        <f t="shared" si="36"/>
        <v>0.1</v>
      </c>
      <c r="AA274">
        <f t="shared" si="37"/>
        <v>3510.4230000000002</v>
      </c>
      <c r="AB274">
        <f t="shared" si="38"/>
        <v>1318.92</v>
      </c>
      <c r="AC274" t="str">
        <f t="shared" si="39"/>
        <v>Clean</v>
      </c>
    </row>
    <row r="275" spans="1:29">
      <c r="A275" t="s">
        <v>867</v>
      </c>
      <c r="B275" s="4">
        <v>45701</v>
      </c>
      <c r="C275" s="4">
        <v>45701</v>
      </c>
      <c r="D275" t="s">
        <v>868</v>
      </c>
      <c r="E275" t="str">
        <f>PROPER(TRIM([1]raw_orders!E275))</f>
        <v>Isha Nair</v>
      </c>
      <c r="F275" t="str">
        <f>PROPER(TRIM([1]raw_orders!F275))</f>
        <v>Consumer</v>
      </c>
      <c r="G275" t="str">
        <f>IF('[1]Cleaned Text Field'!G275="","Unknown",'[1]Cleaned Text Field'!G275)</f>
        <v>East</v>
      </c>
      <c r="H275" t="str">
        <f>PROPER(TRIM([1]raw_orders!H275))</f>
        <v>Bihar</v>
      </c>
      <c r="I275" t="str">
        <f>PROPER(TRIM([1]raw_orders!I275))</f>
        <v>Patna</v>
      </c>
      <c r="J275" t="str">
        <f>PROPER(TRIM([1]raw_orders!J275))</f>
        <v>Office Supplies</v>
      </c>
      <c r="K275" t="str">
        <f>PROPER(TRIM([1]raw_orders!K275))</f>
        <v>Paper</v>
      </c>
      <c r="L275" t="s">
        <v>869</v>
      </c>
      <c r="M275" t="str">
        <f>IF('[1]Cleaned Text Field'!M275="","Unknown",'[1]Cleaned Text Field'!M275)</f>
        <v>Second Class</v>
      </c>
      <c r="N275">
        <f>IF('[1]Cleaned Text Field'!N275="",0,'[1]Cleaned Text Field'!N275)</f>
        <v>9</v>
      </c>
      <c r="O275">
        <v>2521.63</v>
      </c>
      <c r="P275" s="5">
        <f>IF('[1]Cleaned Text Field'!P275="",0,'[1]Cleaned Text Field'!P275)</f>
        <v>0</v>
      </c>
      <c r="Q275">
        <v>22694.67</v>
      </c>
      <c r="R275">
        <v>15405.36</v>
      </c>
      <c r="S275">
        <v>7289.31</v>
      </c>
      <c r="T275" t="str">
        <f>PROPER(TRIM([1]raw_orders!T275))</f>
        <v>Paid</v>
      </c>
      <c r="U275" t="str">
        <f>PROPER(TRIM([1]raw_orders!U275))</f>
        <v>Returned</v>
      </c>
      <c r="V275" s="6">
        <f t="shared" si="32"/>
        <v>0.32119039404406413</v>
      </c>
      <c r="W275" t="str">
        <f t="shared" si="33"/>
        <v>February</v>
      </c>
      <c r="X275">
        <f t="shared" si="34"/>
        <v>2025</v>
      </c>
      <c r="Y275">
        <f t="shared" si="35"/>
        <v>0</v>
      </c>
      <c r="Z275" s="7">
        <f t="shared" si="36"/>
        <v>0</v>
      </c>
      <c r="AA275">
        <f t="shared" si="37"/>
        <v>22694.670000000002</v>
      </c>
      <c r="AB275">
        <f t="shared" si="38"/>
        <v>7289.3099999999977</v>
      </c>
      <c r="AC275" t="str">
        <f t="shared" si="39"/>
        <v>Clean</v>
      </c>
    </row>
    <row r="276" spans="1:29">
      <c r="A276" t="s">
        <v>870</v>
      </c>
      <c r="B276" s="4">
        <v>45477</v>
      </c>
      <c r="C276" s="4">
        <v>45396</v>
      </c>
      <c r="D276" t="s">
        <v>871</v>
      </c>
      <c r="E276" t="str">
        <f>PROPER(TRIM([1]raw_orders!E276))</f>
        <v>Rohan Mehta</v>
      </c>
      <c r="F276" t="str">
        <f>PROPER(TRIM([1]raw_orders!F276))</f>
        <v>Consumer</v>
      </c>
      <c r="G276" t="str">
        <f>IF('[1]Cleaned Text Field'!G276="","Unknown",'[1]Cleaned Text Field'!G276)</f>
        <v>South</v>
      </c>
      <c r="H276" t="str">
        <f>PROPER(TRIM([1]raw_orders!H276))</f>
        <v>Kerala</v>
      </c>
      <c r="I276" t="str">
        <f>PROPER(TRIM([1]raw_orders!I276))</f>
        <v>Kochi</v>
      </c>
      <c r="J276" t="str">
        <f>PROPER(TRIM([1]raw_orders!J276))</f>
        <v>Technology</v>
      </c>
      <c r="K276" t="str">
        <f>PROPER(TRIM([1]raw_orders!K276))</f>
        <v>Copiers</v>
      </c>
      <c r="L276" t="s">
        <v>872</v>
      </c>
      <c r="M276" t="str">
        <f>IF('[1]Cleaned Text Field'!M276="","Unknown",'[1]Cleaned Text Field'!M276)</f>
        <v>Standard Class</v>
      </c>
      <c r="N276">
        <f>IF('[1]Cleaned Text Field'!N276="",0,'[1]Cleaned Text Field'!N276)</f>
        <v>6</v>
      </c>
      <c r="O276">
        <v>4246.71</v>
      </c>
      <c r="P276" s="5">
        <f>IF('[1]Cleaned Text Field'!P276="",0,'[1]Cleaned Text Field'!P276)</f>
        <v>0.15</v>
      </c>
      <c r="Q276">
        <v>21658.22</v>
      </c>
      <c r="R276">
        <v>15490.69</v>
      </c>
      <c r="S276">
        <v>6167.53</v>
      </c>
      <c r="T276" t="str">
        <f>PROPER(TRIM([1]raw_orders!T276))</f>
        <v>Failed</v>
      </c>
      <c r="U276" t="str">
        <f>PROPER(TRIM([1]raw_orders!U276))</f>
        <v>Returned</v>
      </c>
      <c r="V276" s="6">
        <f t="shared" si="32"/>
        <v>0.28476624579489906</v>
      </c>
      <c r="W276" t="str">
        <f t="shared" si="33"/>
        <v>July</v>
      </c>
      <c r="X276">
        <f t="shared" si="34"/>
        <v>2024</v>
      </c>
      <c r="Y276">
        <f t="shared" si="35"/>
        <v>-81</v>
      </c>
      <c r="Z276" s="7">
        <f t="shared" si="36"/>
        <v>0.15</v>
      </c>
      <c r="AA276">
        <f t="shared" si="37"/>
        <v>21658.221000000001</v>
      </c>
      <c r="AB276">
        <f t="shared" si="38"/>
        <v>6167.5300000000007</v>
      </c>
      <c r="AC276" t="str">
        <f t="shared" si="39"/>
        <v>Warning</v>
      </c>
    </row>
    <row r="277" spans="1:29">
      <c r="A277" t="s">
        <v>873</v>
      </c>
      <c r="B277" s="4">
        <v>45337</v>
      </c>
      <c r="C277" s="4">
        <v>45344</v>
      </c>
      <c r="D277" t="s">
        <v>874</v>
      </c>
      <c r="E277" t="str">
        <f>PROPER(TRIM([1]raw_orders!E277))</f>
        <v>Priya Menon</v>
      </c>
      <c r="F277" t="str">
        <f>PROPER(TRIM([1]raw_orders!F277))</f>
        <v>Small Business</v>
      </c>
      <c r="G277" t="str">
        <f>IF('[1]Cleaned Text Field'!G277="","Unknown",'[1]Cleaned Text Field'!G277)</f>
        <v>East</v>
      </c>
      <c r="H277" t="str">
        <f>PROPER(TRIM([1]raw_orders!H277))</f>
        <v>West Bengal</v>
      </c>
      <c r="I277" t="str">
        <f>PROPER(TRIM([1]raw_orders!I277))</f>
        <v>Kolkata</v>
      </c>
      <c r="J277" t="str">
        <f>PROPER(TRIM([1]raw_orders!J277))</f>
        <v>Furniture</v>
      </c>
      <c r="K277" t="str">
        <f>PROPER(TRIM([1]raw_orders!K277))</f>
        <v>Furnishings</v>
      </c>
      <c r="L277" t="s">
        <v>875</v>
      </c>
      <c r="M277" t="str">
        <f>IF('[1]Cleaned Text Field'!M277="","Unknown",'[1]Cleaned Text Field'!M277)</f>
        <v>Same Day</v>
      </c>
      <c r="N277">
        <f>IF('[1]Cleaned Text Field'!N277="",0,'[1]Cleaned Text Field'!N277)</f>
        <v>1</v>
      </c>
      <c r="O277">
        <v>980.51</v>
      </c>
      <c r="P277" s="5">
        <f>IF('[1]Cleaned Text Field'!P277="",0,'[1]Cleaned Text Field'!P277)</f>
        <v>0</v>
      </c>
      <c r="Q277">
        <v>980.51</v>
      </c>
      <c r="R277">
        <v>660.92</v>
      </c>
      <c r="S277">
        <v>319.58999999999997</v>
      </c>
      <c r="T277" t="str">
        <f>PROPER(TRIM([1]raw_orders!T277))</f>
        <v>Paid</v>
      </c>
      <c r="U277" t="str">
        <f>PROPER(TRIM([1]raw_orders!U277))</f>
        <v>Completed</v>
      </c>
      <c r="V277" s="6">
        <f t="shared" si="32"/>
        <v>0.32594262169687199</v>
      </c>
      <c r="W277" t="str">
        <f t="shared" si="33"/>
        <v>February</v>
      </c>
      <c r="X277">
        <f t="shared" si="34"/>
        <v>2024</v>
      </c>
      <c r="Y277">
        <f t="shared" si="35"/>
        <v>7</v>
      </c>
      <c r="Z277" s="7">
        <f t="shared" si="36"/>
        <v>0</v>
      </c>
      <c r="AA277">
        <f t="shared" si="37"/>
        <v>980.51</v>
      </c>
      <c r="AB277">
        <f t="shared" si="38"/>
        <v>319.59000000000003</v>
      </c>
      <c r="AC277" t="str">
        <f t="shared" si="39"/>
        <v>Clean</v>
      </c>
    </row>
    <row r="278" spans="1:29">
      <c r="A278" t="s">
        <v>876</v>
      </c>
      <c r="B278" s="4">
        <v>45313</v>
      </c>
      <c r="C278" s="4">
        <v>45314</v>
      </c>
      <c r="D278" t="s">
        <v>877</v>
      </c>
      <c r="E278" t="str">
        <f>PROPER(TRIM([1]raw_orders!E278))</f>
        <v>Aarav Sharma</v>
      </c>
      <c r="F278" t="str">
        <f>PROPER(TRIM([1]raw_orders!F278))</f>
        <v>Small Business</v>
      </c>
      <c r="G278" t="str">
        <f>IF('[1]Cleaned Text Field'!G278="","Unknown",'[1]Cleaned Text Field'!G278)</f>
        <v>Unknown</v>
      </c>
      <c r="H278" t="str">
        <f>PROPER(TRIM([1]raw_orders!H278))</f>
        <v>Assam</v>
      </c>
      <c r="I278" t="str">
        <f>PROPER(TRIM([1]raw_orders!I278))</f>
        <v>Guwahati</v>
      </c>
      <c r="J278" t="str">
        <f>PROPER(TRIM([1]raw_orders!J278))</f>
        <v>Furniture</v>
      </c>
      <c r="K278" t="str">
        <f>PROPER(TRIM([1]raw_orders!K278))</f>
        <v>Chairs</v>
      </c>
      <c r="L278" t="s">
        <v>878</v>
      </c>
      <c r="M278" t="str">
        <f>IF('[1]Cleaned Text Field'!M278="","Unknown",'[1]Cleaned Text Field'!M278)</f>
        <v>Second Class</v>
      </c>
      <c r="N278">
        <f>IF('[1]Cleaned Text Field'!N278="",0,'[1]Cleaned Text Field'!N278)</f>
        <v>6</v>
      </c>
      <c r="O278">
        <v>3391.53</v>
      </c>
      <c r="P278" s="5">
        <f>IF('[1]Cleaned Text Field'!P278="",0,'[1]Cleaned Text Field'!P278)</f>
        <v>-0.14000000000000001</v>
      </c>
      <c r="Q278">
        <v>15261.89</v>
      </c>
      <c r="R278">
        <v>8413.5300000000007</v>
      </c>
      <c r="S278">
        <v>6848.36</v>
      </c>
      <c r="T278" t="str">
        <f>PROPER(TRIM([1]raw_orders!T278))</f>
        <v>Paid</v>
      </c>
      <c r="U278" t="str">
        <f>PROPER(TRIM([1]raw_orders!U278))</f>
        <v>Completed</v>
      </c>
      <c r="V278" s="6">
        <f t="shared" si="32"/>
        <v>0.44872293012202291</v>
      </c>
      <c r="W278" t="str">
        <f t="shared" si="33"/>
        <v>January</v>
      </c>
      <c r="X278">
        <f t="shared" si="34"/>
        <v>2024</v>
      </c>
      <c r="Y278">
        <f t="shared" si="35"/>
        <v>1</v>
      </c>
      <c r="Z278" s="7">
        <f t="shared" si="36"/>
        <v>-0.14000000000000001</v>
      </c>
      <c r="AA278">
        <f t="shared" si="37"/>
        <v>23198.065200000005</v>
      </c>
      <c r="AB278">
        <f t="shared" si="38"/>
        <v>6848.3599999999988</v>
      </c>
      <c r="AC278" t="str">
        <f t="shared" si="39"/>
        <v>Clean</v>
      </c>
    </row>
    <row r="279" spans="1:29">
      <c r="A279" t="s">
        <v>879</v>
      </c>
      <c r="B279" s="4">
        <v>45812</v>
      </c>
      <c r="C279" s="4">
        <v>45812</v>
      </c>
      <c r="D279" t="s">
        <v>731</v>
      </c>
      <c r="E279" t="str">
        <f>PROPER(TRIM([1]raw_orders!E279))</f>
        <v>Isha Nair</v>
      </c>
      <c r="F279" t="str">
        <f>PROPER(TRIM([1]raw_orders!F279))</f>
        <v>Corporate</v>
      </c>
      <c r="G279" t="str">
        <f>IF('[1]Cleaned Text Field'!G279="","Unknown",'[1]Cleaned Text Field'!G279)</f>
        <v>North</v>
      </c>
      <c r="H279" t="str">
        <f>PROPER(TRIM([1]raw_orders!H279))</f>
        <v>Haryana</v>
      </c>
      <c r="I279" t="str">
        <f>PROPER(TRIM([1]raw_orders!I279))</f>
        <v>Gurugram</v>
      </c>
      <c r="J279" t="str">
        <f>PROPER(TRIM([1]raw_orders!J279))</f>
        <v>Technology</v>
      </c>
      <c r="K279" t="str">
        <f>PROPER(TRIM([1]raw_orders!K279))</f>
        <v>Accessories</v>
      </c>
      <c r="L279" t="s">
        <v>880</v>
      </c>
      <c r="M279" t="str">
        <f>IF('[1]Cleaned Text Field'!M279="","Unknown",'[1]Cleaned Text Field'!M279)</f>
        <v>Second Class</v>
      </c>
      <c r="N279">
        <f>IF('[1]Cleaned Text Field'!N279="",0,'[1]Cleaned Text Field'!N279)</f>
        <v>1</v>
      </c>
      <c r="O279">
        <v>2133.73</v>
      </c>
      <c r="P279" s="5">
        <f>IF('[1]Cleaned Text Field'!P279="",0,'[1]Cleaned Text Field'!P279)</f>
        <v>0.15</v>
      </c>
      <c r="Q279">
        <v>2008.39</v>
      </c>
      <c r="R279">
        <v>1002.57</v>
      </c>
      <c r="S279">
        <v>811.1</v>
      </c>
      <c r="T279" t="str">
        <f>PROPER(TRIM([1]raw_orders!T279))</f>
        <v>Pending</v>
      </c>
      <c r="U279" t="str">
        <f>PROPER(TRIM([1]raw_orders!U279))</f>
        <v>Cancelled</v>
      </c>
      <c r="V279" s="6">
        <f t="shared" si="32"/>
        <v>0.40385582481490145</v>
      </c>
      <c r="W279" t="str">
        <f t="shared" si="33"/>
        <v>June</v>
      </c>
      <c r="X279">
        <f t="shared" si="34"/>
        <v>2025</v>
      </c>
      <c r="Y279">
        <f t="shared" si="35"/>
        <v>0</v>
      </c>
      <c r="Z279" s="7">
        <f t="shared" si="36"/>
        <v>0.15</v>
      </c>
      <c r="AA279">
        <f t="shared" si="37"/>
        <v>1813.6704999999999</v>
      </c>
      <c r="AB279">
        <f t="shared" si="38"/>
        <v>1005.82</v>
      </c>
      <c r="AC279" t="str">
        <f t="shared" si="39"/>
        <v>Clean</v>
      </c>
    </row>
    <row r="280" spans="1:29">
      <c r="A280" t="s">
        <v>881</v>
      </c>
      <c r="B280" s="4">
        <v>45841</v>
      </c>
      <c r="C280" s="4">
        <v>45730</v>
      </c>
      <c r="D280" t="s">
        <v>882</v>
      </c>
      <c r="E280" t="str">
        <f>PROPER(TRIM([1]raw_orders!E280))</f>
        <v>Priya Menon</v>
      </c>
      <c r="F280" t="str">
        <f>PROPER(TRIM([1]raw_orders!F280))</f>
        <v>Small Business</v>
      </c>
      <c r="G280" t="str">
        <f>IF('[1]Cleaned Text Field'!G280="","Unknown",'[1]Cleaned Text Field'!G280)</f>
        <v>North</v>
      </c>
      <c r="H280" t="str">
        <f>PROPER(TRIM([1]raw_orders!H280))</f>
        <v>Delhi</v>
      </c>
      <c r="I280" t="str">
        <f>PROPER(TRIM([1]raw_orders!I280))</f>
        <v>New Delhi</v>
      </c>
      <c r="J280" t="str">
        <f>PROPER(TRIM([1]raw_orders!J280))</f>
        <v>Technology</v>
      </c>
      <c r="K280" t="str">
        <f>PROPER(TRIM([1]raw_orders!K280))</f>
        <v>Accessories</v>
      </c>
      <c r="L280" t="s">
        <v>883</v>
      </c>
      <c r="M280" t="str">
        <f>IF('[1]Cleaned Text Field'!M280="","Unknown",'[1]Cleaned Text Field'!M280)</f>
        <v>Same Day</v>
      </c>
      <c r="N280">
        <f>IF('[1]Cleaned Text Field'!N280="",0,'[1]Cleaned Text Field'!N280)</f>
        <v>1</v>
      </c>
      <c r="O280">
        <v>3979.64</v>
      </c>
      <c r="P280" s="5">
        <f>IF('[1]Cleaned Text Field'!P280="",0,'[1]Cleaned Text Field'!P280)</f>
        <v>0.05</v>
      </c>
      <c r="Q280">
        <v>3780.66</v>
      </c>
      <c r="R280">
        <v>2148.31</v>
      </c>
      <c r="S280">
        <v>1632.35</v>
      </c>
      <c r="T280" t="str">
        <f>PROPER(TRIM([1]raw_orders!T280))</f>
        <v>Paid</v>
      </c>
      <c r="U280" t="str">
        <f>PROPER(TRIM([1]raw_orders!U280))</f>
        <v>Returned</v>
      </c>
      <c r="V280" s="6">
        <f t="shared" si="32"/>
        <v>0.43176323710674858</v>
      </c>
      <c r="W280" t="str">
        <f t="shared" si="33"/>
        <v>July</v>
      </c>
      <c r="X280">
        <f t="shared" si="34"/>
        <v>2025</v>
      </c>
      <c r="Y280">
        <f t="shared" si="35"/>
        <v>-111</v>
      </c>
      <c r="Z280" s="7">
        <f t="shared" si="36"/>
        <v>0.05</v>
      </c>
      <c r="AA280">
        <f t="shared" si="37"/>
        <v>3780.6579999999999</v>
      </c>
      <c r="AB280">
        <f t="shared" si="38"/>
        <v>1632.35</v>
      </c>
      <c r="AC280" t="str">
        <f t="shared" si="39"/>
        <v>Warning</v>
      </c>
    </row>
    <row r="281" spans="1:29">
      <c r="A281" t="s">
        <v>884</v>
      </c>
      <c r="B281" s="4">
        <v>45391</v>
      </c>
      <c r="C281" s="4">
        <v>45392</v>
      </c>
      <c r="D281" t="s">
        <v>885</v>
      </c>
      <c r="E281" t="str">
        <f>PROPER(TRIM([1]raw_orders!E281))</f>
        <v>Rohan Mehta</v>
      </c>
      <c r="F281" t="str">
        <f>PROPER(TRIM([1]raw_orders!F281))</f>
        <v>Small Business</v>
      </c>
      <c r="G281" t="str">
        <f>IF('[1]Cleaned Text Field'!G281="","Unknown",'[1]Cleaned Text Field'!G281)</f>
        <v>West</v>
      </c>
      <c r="H281" t="str">
        <f>PROPER(TRIM([1]raw_orders!H281))</f>
        <v>Maharashtra</v>
      </c>
      <c r="I281" t="str">
        <f>PROPER(TRIM([1]raw_orders!I281))</f>
        <v>Mumbai</v>
      </c>
      <c r="J281" t="str">
        <f>PROPER(TRIM([1]raw_orders!J281))</f>
        <v>Office Supplies</v>
      </c>
      <c r="K281" t="str">
        <f>PROPER(TRIM([1]raw_orders!K281))</f>
        <v>Storage</v>
      </c>
      <c r="L281" t="s">
        <v>886</v>
      </c>
      <c r="M281" t="str">
        <f>IF('[1]Cleaned Text Field'!M281="","Unknown",'[1]Cleaned Text Field'!M281)</f>
        <v>First Class</v>
      </c>
      <c r="N281">
        <f>IF('[1]Cleaned Text Field'!N281="",0,'[1]Cleaned Text Field'!N281)</f>
        <v>1</v>
      </c>
      <c r="O281">
        <v>4359.12</v>
      </c>
      <c r="P281" s="5">
        <f>IF('[1]Cleaned Text Field'!P281="",0,'[1]Cleaned Text Field'!P281)</f>
        <v>0.05</v>
      </c>
      <c r="Q281">
        <v>4141.16</v>
      </c>
      <c r="R281">
        <v>2754.17</v>
      </c>
      <c r="S281">
        <v>1386.99</v>
      </c>
      <c r="T281" t="str">
        <f>PROPER(TRIM([1]raw_orders!T281))</f>
        <v>Paid</v>
      </c>
      <c r="U281" t="str">
        <f>PROPER(TRIM([1]raw_orders!U281))</f>
        <v>Completed</v>
      </c>
      <c r="V281" s="6">
        <f t="shared" si="32"/>
        <v>0.33492789459958083</v>
      </c>
      <c r="W281" t="str">
        <f t="shared" si="33"/>
        <v>April</v>
      </c>
      <c r="X281">
        <f t="shared" si="34"/>
        <v>2024</v>
      </c>
      <c r="Y281">
        <f t="shared" si="35"/>
        <v>1</v>
      </c>
      <c r="Z281" s="7">
        <f t="shared" si="36"/>
        <v>0.05</v>
      </c>
      <c r="AA281">
        <f t="shared" si="37"/>
        <v>4141.1639999999998</v>
      </c>
      <c r="AB281">
        <f t="shared" si="38"/>
        <v>1386.9899999999998</v>
      </c>
      <c r="AC281" t="str">
        <f t="shared" si="39"/>
        <v>Clean</v>
      </c>
    </row>
    <row r="282" spans="1:29">
      <c r="A282" t="s">
        <v>887</v>
      </c>
      <c r="B282" s="4">
        <v>45649</v>
      </c>
      <c r="C282" s="4">
        <v>45652</v>
      </c>
      <c r="D282" t="s">
        <v>888</v>
      </c>
      <c r="E282" t="str">
        <f>PROPER(TRIM([1]raw_orders!E282))</f>
        <v>Aditi Sen</v>
      </c>
      <c r="F282" t="str">
        <f>PROPER(TRIM([1]raw_orders!F282))</f>
        <v>Consumer</v>
      </c>
      <c r="G282" t="str">
        <f>IF('[1]Cleaned Text Field'!G282="","Unknown",'[1]Cleaned Text Field'!G282)</f>
        <v>South</v>
      </c>
      <c r="H282" t="str">
        <f>PROPER(TRIM([1]raw_orders!H282))</f>
        <v>Karnataka</v>
      </c>
      <c r="I282" t="str">
        <f>PROPER(TRIM([1]raw_orders!I282))</f>
        <v>Bengaluru</v>
      </c>
      <c r="J282" t="str">
        <f>PROPER(TRIM([1]raw_orders!J282))</f>
        <v>Technology</v>
      </c>
      <c r="K282" t="str">
        <f>PROPER(TRIM([1]raw_orders!K282))</f>
        <v>Copiers</v>
      </c>
      <c r="L282" t="s">
        <v>889</v>
      </c>
      <c r="M282" t="str">
        <f>IF('[1]Cleaned Text Field'!M282="","Unknown",'[1]Cleaned Text Field'!M282)</f>
        <v>Standard Class</v>
      </c>
      <c r="N282">
        <f>IF('[1]Cleaned Text Field'!N282="",0,'[1]Cleaned Text Field'!N282)</f>
        <v>9</v>
      </c>
      <c r="O282">
        <v>993.67</v>
      </c>
      <c r="P282" s="5">
        <f>IF('[1]Cleaned Text Field'!P282="",0,'[1]Cleaned Text Field'!P282)</f>
        <v>0</v>
      </c>
      <c r="Q282">
        <v>8943.0300000000007</v>
      </c>
      <c r="R282">
        <v>5165.38</v>
      </c>
      <c r="S282">
        <v>3777.65</v>
      </c>
      <c r="T282" t="str">
        <f>PROPER(TRIM([1]raw_orders!T282))</f>
        <v>Paid</v>
      </c>
      <c r="U282" t="str">
        <f>PROPER(TRIM([1]raw_orders!U282))</f>
        <v>Completed</v>
      </c>
      <c r="V282" s="6">
        <f t="shared" si="32"/>
        <v>0.42241276167026165</v>
      </c>
      <c r="W282" t="str">
        <f t="shared" si="33"/>
        <v>December</v>
      </c>
      <c r="X282">
        <f t="shared" si="34"/>
        <v>2024</v>
      </c>
      <c r="Y282">
        <f t="shared" si="35"/>
        <v>3</v>
      </c>
      <c r="Z282" s="7">
        <f t="shared" si="36"/>
        <v>0</v>
      </c>
      <c r="AA282">
        <f t="shared" si="37"/>
        <v>8943.0299999999988</v>
      </c>
      <c r="AB282">
        <f t="shared" si="38"/>
        <v>3777.6500000000005</v>
      </c>
      <c r="AC282" t="str">
        <f t="shared" si="39"/>
        <v>Clean</v>
      </c>
    </row>
    <row r="283" spans="1:29">
      <c r="A283" t="s">
        <v>890</v>
      </c>
      <c r="B283" s="4">
        <v>45863</v>
      </c>
      <c r="C283" s="4">
        <v>45865</v>
      </c>
      <c r="D283" t="s">
        <v>891</v>
      </c>
      <c r="E283" t="str">
        <f>PROPER(TRIM([1]raw_orders!E283))</f>
        <v>Kabir Singh</v>
      </c>
      <c r="F283" t="str">
        <f>PROPER(TRIM([1]raw_orders!F283))</f>
        <v>Consumer</v>
      </c>
      <c r="G283" t="str">
        <f>IF('[1]Cleaned Text Field'!G283="","Unknown",'[1]Cleaned Text Field'!G283)</f>
        <v>East</v>
      </c>
      <c r="H283" t="str">
        <f>PROPER(TRIM([1]raw_orders!H283))</f>
        <v>Jharkhand</v>
      </c>
      <c r="I283" t="str">
        <f>PROPER(TRIM([1]raw_orders!I283))</f>
        <v>Ranchi</v>
      </c>
      <c r="J283" t="str">
        <f>PROPER(TRIM([1]raw_orders!J283))</f>
        <v>Office Supplies</v>
      </c>
      <c r="K283" t="str">
        <f>PROPER(TRIM([1]raw_orders!K283))</f>
        <v>Binders</v>
      </c>
      <c r="L283" t="s">
        <v>892</v>
      </c>
      <c r="M283" t="str">
        <f>IF('[1]Cleaned Text Field'!M283="","Unknown",'[1]Cleaned Text Field'!M283)</f>
        <v>Second Class</v>
      </c>
      <c r="N283">
        <f>IF('[1]Cleaned Text Field'!N283="",0,'[1]Cleaned Text Field'!N283)</f>
        <v>6</v>
      </c>
      <c r="O283">
        <v>3438.38</v>
      </c>
      <c r="P283" s="5">
        <f>IF('[1]Cleaned Text Field'!P283="",0,'[1]Cleaned Text Field'!P283)</f>
        <v>0.2</v>
      </c>
      <c r="Q283">
        <v>16504.22</v>
      </c>
      <c r="R283">
        <v>11262.71</v>
      </c>
      <c r="S283">
        <v>5241.51</v>
      </c>
      <c r="T283" t="str">
        <f>PROPER(TRIM([1]raw_orders!T283))</f>
        <v>Paid</v>
      </c>
      <c r="U283" t="str">
        <f>PROPER(TRIM([1]raw_orders!U283))</f>
        <v>Completed</v>
      </c>
      <c r="V283" s="6">
        <f t="shared" si="32"/>
        <v>0.31758604768962118</v>
      </c>
      <c r="W283" t="str">
        <f t="shared" si="33"/>
        <v>July</v>
      </c>
      <c r="X283">
        <f t="shared" si="34"/>
        <v>2025</v>
      </c>
      <c r="Y283">
        <f t="shared" si="35"/>
        <v>2</v>
      </c>
      <c r="Z283" s="7">
        <f t="shared" si="36"/>
        <v>0.2</v>
      </c>
      <c r="AA283">
        <f t="shared" si="37"/>
        <v>16504.223999999998</v>
      </c>
      <c r="AB283">
        <f t="shared" si="38"/>
        <v>5241.510000000002</v>
      </c>
      <c r="AC283" t="str">
        <f t="shared" si="39"/>
        <v>Clean</v>
      </c>
    </row>
    <row r="284" spans="1:29">
      <c r="A284" t="s">
        <v>893</v>
      </c>
      <c r="B284" s="4">
        <v>45566</v>
      </c>
      <c r="C284" s="4">
        <v>45567</v>
      </c>
      <c r="D284" t="s">
        <v>894</v>
      </c>
      <c r="E284" t="str">
        <f>PROPER(TRIM([1]raw_orders!E284))</f>
        <v>Karan Malhotra</v>
      </c>
      <c r="F284" t="str">
        <f>PROPER(TRIM([1]raw_orders!F284))</f>
        <v>Home Office</v>
      </c>
      <c r="G284" t="str">
        <f>IF('[1]Cleaned Text Field'!G284="","Unknown",'[1]Cleaned Text Field'!G284)</f>
        <v>East</v>
      </c>
      <c r="H284" t="str">
        <f>PROPER(TRIM([1]raw_orders!H284))</f>
        <v>Assam</v>
      </c>
      <c r="I284" t="str">
        <f>PROPER(TRIM([1]raw_orders!I284))</f>
        <v>Guwahati</v>
      </c>
      <c r="J284" t="str">
        <f>PROPER(TRIM([1]raw_orders!J284))</f>
        <v>Furniture</v>
      </c>
      <c r="K284" t="str">
        <f>PROPER(TRIM([1]raw_orders!K284))</f>
        <v>Tables</v>
      </c>
      <c r="L284" t="s">
        <v>895</v>
      </c>
      <c r="M284" t="str">
        <f>IF('[1]Cleaned Text Field'!M284="","Unknown",'[1]Cleaned Text Field'!M284)</f>
        <v>Second Class</v>
      </c>
      <c r="N284">
        <f>IF('[1]Cleaned Text Field'!N284="",0,'[1]Cleaned Text Field'!N284)</f>
        <v>2</v>
      </c>
      <c r="O284">
        <v>2298</v>
      </c>
      <c r="P284" s="5">
        <f>IF('[1]Cleaned Text Field'!P284="",0,'[1]Cleaned Text Field'!P284)</f>
        <v>0</v>
      </c>
      <c r="Q284">
        <v>4596</v>
      </c>
      <c r="R284">
        <v>3220.33</v>
      </c>
      <c r="S284">
        <v>1375.67</v>
      </c>
      <c r="T284" t="str">
        <f>PROPER(TRIM([1]raw_orders!T284))</f>
        <v>Paid</v>
      </c>
      <c r="U284" t="str">
        <f>PROPER(TRIM([1]raw_orders!U284))</f>
        <v>Completed</v>
      </c>
      <c r="V284" s="6">
        <f t="shared" si="32"/>
        <v>0.29931897302001742</v>
      </c>
      <c r="W284" t="str">
        <f t="shared" si="33"/>
        <v>October</v>
      </c>
      <c r="X284">
        <f t="shared" si="34"/>
        <v>2024</v>
      </c>
      <c r="Y284">
        <f t="shared" si="35"/>
        <v>1</v>
      </c>
      <c r="Z284" s="7">
        <f t="shared" si="36"/>
        <v>0</v>
      </c>
      <c r="AA284">
        <f t="shared" si="37"/>
        <v>4596</v>
      </c>
      <c r="AB284">
        <f t="shared" si="38"/>
        <v>1375.67</v>
      </c>
      <c r="AC284" t="str">
        <f t="shared" si="39"/>
        <v>Clean</v>
      </c>
    </row>
    <row r="285" spans="1:29">
      <c r="A285" t="s">
        <v>896</v>
      </c>
      <c r="B285" s="4">
        <v>45729</v>
      </c>
      <c r="C285" s="4">
        <v>45736</v>
      </c>
      <c r="D285" t="s">
        <v>897</v>
      </c>
      <c r="E285" t="str">
        <f>PROPER(TRIM([1]raw_orders!E285))</f>
        <v>Vikram Iyer</v>
      </c>
      <c r="F285" t="str">
        <f>PROPER(TRIM([1]raw_orders!F285))</f>
        <v>Consumer</v>
      </c>
      <c r="G285" t="str">
        <f>IF('[1]Cleaned Text Field'!G285="","Unknown",'[1]Cleaned Text Field'!G285)</f>
        <v>West</v>
      </c>
      <c r="H285" t="str">
        <f>PROPER(TRIM([1]raw_orders!H285))</f>
        <v>Maharashtra</v>
      </c>
      <c r="I285" t="str">
        <f>PROPER(TRIM([1]raw_orders!I285))</f>
        <v>Mumbai</v>
      </c>
      <c r="J285" t="str">
        <f>PROPER(TRIM([1]raw_orders!J285))</f>
        <v>Furniture</v>
      </c>
      <c r="K285" t="str">
        <f>PROPER(TRIM([1]raw_orders!K285))</f>
        <v>Furnishings</v>
      </c>
      <c r="L285" t="s">
        <v>898</v>
      </c>
      <c r="M285" t="str">
        <f>IF('[1]Cleaned Text Field'!M285="","Unknown",'[1]Cleaned Text Field'!M285)</f>
        <v>First Class</v>
      </c>
      <c r="N285">
        <f>IF('[1]Cleaned Text Field'!N285="",0,'[1]Cleaned Text Field'!N285)</f>
        <v>1</v>
      </c>
      <c r="O285">
        <v>1814.01</v>
      </c>
      <c r="P285" s="5">
        <f>IF('[1]Cleaned Text Field'!P285="",0,'[1]Cleaned Text Field'!P285)</f>
        <v>0</v>
      </c>
      <c r="Q285">
        <v>1814.01</v>
      </c>
      <c r="R285">
        <v>1033.47</v>
      </c>
      <c r="S285">
        <v>780.54</v>
      </c>
      <c r="T285" t="str">
        <f>PROPER(TRIM([1]raw_orders!T285))</f>
        <v>Paid</v>
      </c>
      <c r="U285" t="str">
        <f>PROPER(TRIM([1]raw_orders!U285))</f>
        <v>Completed</v>
      </c>
      <c r="V285" s="6">
        <f t="shared" si="32"/>
        <v>0.43028428729720342</v>
      </c>
      <c r="W285" t="str">
        <f t="shared" si="33"/>
        <v>March</v>
      </c>
      <c r="X285">
        <f t="shared" si="34"/>
        <v>2025</v>
      </c>
      <c r="Y285">
        <f t="shared" si="35"/>
        <v>7</v>
      </c>
      <c r="Z285" s="7">
        <f t="shared" si="36"/>
        <v>0</v>
      </c>
      <c r="AA285">
        <f t="shared" si="37"/>
        <v>1814.01</v>
      </c>
      <c r="AB285">
        <f t="shared" si="38"/>
        <v>780.54</v>
      </c>
      <c r="AC285" t="str">
        <f t="shared" si="39"/>
        <v>Clean</v>
      </c>
    </row>
    <row r="286" spans="1:29">
      <c r="A286" t="s">
        <v>899</v>
      </c>
      <c r="B286" s="4">
        <v>45634</v>
      </c>
      <c r="C286" s="4">
        <v>45640</v>
      </c>
      <c r="D286" t="s">
        <v>900</v>
      </c>
      <c r="E286" t="str">
        <f>PROPER(TRIM([1]raw_orders!E286))</f>
        <v>Karan Malhotra</v>
      </c>
      <c r="F286" t="str">
        <f>PROPER(TRIM([1]raw_orders!F286))</f>
        <v>Consumer</v>
      </c>
      <c r="G286" t="str">
        <f>IF('[1]Cleaned Text Field'!G286="","Unknown",'[1]Cleaned Text Field'!G286)</f>
        <v>East</v>
      </c>
      <c r="H286" t="str">
        <f>PROPER(TRIM([1]raw_orders!H286))</f>
        <v>Odisha</v>
      </c>
      <c r="I286" t="str">
        <f>PROPER(TRIM([1]raw_orders!I286))</f>
        <v>Bhubaneswar</v>
      </c>
      <c r="J286" t="str">
        <f>PROPER(TRIM([1]raw_orders!J286))</f>
        <v>Furniture</v>
      </c>
      <c r="K286" t="str">
        <f>PROPER(TRIM([1]raw_orders!K286))</f>
        <v>Tables</v>
      </c>
      <c r="L286" t="s">
        <v>901</v>
      </c>
      <c r="M286" t="str">
        <f>IF('[1]Cleaned Text Field'!M286="","Unknown",'[1]Cleaned Text Field'!M286)</f>
        <v>Same Day</v>
      </c>
      <c r="N286">
        <f>IF('[1]Cleaned Text Field'!N286="",0,'[1]Cleaned Text Field'!N286)</f>
        <v>3</v>
      </c>
      <c r="O286">
        <v>1576.92</v>
      </c>
      <c r="P286" s="5">
        <f>IF('[1]Cleaned Text Field'!P286="",0,'[1]Cleaned Text Field'!P286)</f>
        <v>0</v>
      </c>
      <c r="Q286">
        <v>4730.76</v>
      </c>
      <c r="R286">
        <v>3139.73</v>
      </c>
      <c r="S286">
        <v>1591.03</v>
      </c>
      <c r="T286" t="str">
        <f>PROPER(TRIM([1]raw_orders!T286))</f>
        <v>Paid</v>
      </c>
      <c r="U286" t="str">
        <f>PROPER(TRIM([1]raw_orders!U286))</f>
        <v>Returned</v>
      </c>
      <c r="V286" s="6">
        <f t="shared" si="32"/>
        <v>0.3363159407790714</v>
      </c>
      <c r="W286" t="str">
        <f t="shared" si="33"/>
        <v>December</v>
      </c>
      <c r="X286">
        <f t="shared" si="34"/>
        <v>2024</v>
      </c>
      <c r="Y286">
        <f t="shared" si="35"/>
        <v>6</v>
      </c>
      <c r="Z286" s="7">
        <f t="shared" si="36"/>
        <v>0</v>
      </c>
      <c r="AA286">
        <f t="shared" si="37"/>
        <v>4730.76</v>
      </c>
      <c r="AB286">
        <f t="shared" si="38"/>
        <v>1591.0300000000002</v>
      </c>
      <c r="AC286" t="str">
        <f t="shared" si="39"/>
        <v>Clean</v>
      </c>
    </row>
    <row r="287" spans="1:29">
      <c r="A287" t="s">
        <v>902</v>
      </c>
      <c r="B287" s="4">
        <v>45884</v>
      </c>
      <c r="C287" s="4">
        <v>45889</v>
      </c>
      <c r="D287" t="s">
        <v>903</v>
      </c>
      <c r="E287" t="str">
        <f>PROPER(TRIM([1]raw_orders!E287))</f>
        <v>Neha Gupta</v>
      </c>
      <c r="F287" t="str">
        <f>PROPER(TRIM([1]raw_orders!F287))</f>
        <v>Home Office</v>
      </c>
      <c r="G287" t="str">
        <f>IF('[1]Cleaned Text Field'!G287="","Unknown",'[1]Cleaned Text Field'!G287)</f>
        <v>North</v>
      </c>
      <c r="H287" t="str">
        <f>PROPER(TRIM([1]raw_orders!H287))</f>
        <v>Rajasthan</v>
      </c>
      <c r="I287" t="str">
        <f>PROPER(TRIM([1]raw_orders!I287))</f>
        <v>Jaipur</v>
      </c>
      <c r="J287" t="str">
        <f>PROPER(TRIM([1]raw_orders!J287))</f>
        <v>Office Supplies</v>
      </c>
      <c r="K287" t="str">
        <f>PROPER(TRIM([1]raw_orders!K287))</f>
        <v>Storage</v>
      </c>
      <c r="L287" t="s">
        <v>904</v>
      </c>
      <c r="M287" t="str">
        <f>IF('[1]Cleaned Text Field'!M287="","Unknown",'[1]Cleaned Text Field'!M287)</f>
        <v>Standard Class</v>
      </c>
      <c r="N287">
        <f>IF('[1]Cleaned Text Field'!N287="",0,'[1]Cleaned Text Field'!N287)</f>
        <v>9</v>
      </c>
      <c r="O287">
        <v>4081.77</v>
      </c>
      <c r="P287" s="5">
        <f>IF('[1]Cleaned Text Field'!P287="",0,'[1]Cleaned Text Field'!P287)</f>
        <v>0</v>
      </c>
      <c r="Q287">
        <v>36735.93</v>
      </c>
      <c r="R287">
        <v>30820.84</v>
      </c>
      <c r="S287">
        <v>5915.09</v>
      </c>
      <c r="T287" t="str">
        <f>PROPER(TRIM([1]raw_orders!T287))</f>
        <v>Paid</v>
      </c>
      <c r="U287" t="str">
        <f>PROPER(TRIM([1]raw_orders!U287))</f>
        <v>Completed</v>
      </c>
      <c r="V287" s="6">
        <f t="shared" si="32"/>
        <v>0.16101647624001897</v>
      </c>
      <c r="W287" t="str">
        <f t="shared" si="33"/>
        <v>August</v>
      </c>
      <c r="X287">
        <f t="shared" si="34"/>
        <v>2025</v>
      </c>
      <c r="Y287">
        <f t="shared" si="35"/>
        <v>5</v>
      </c>
      <c r="Z287" s="7">
        <f t="shared" si="36"/>
        <v>0</v>
      </c>
      <c r="AA287">
        <f t="shared" si="37"/>
        <v>36735.93</v>
      </c>
      <c r="AB287">
        <f t="shared" si="38"/>
        <v>5915.09</v>
      </c>
      <c r="AC287" t="str">
        <f t="shared" si="39"/>
        <v>Clean</v>
      </c>
    </row>
    <row r="288" spans="1:29">
      <c r="A288" t="s">
        <v>905</v>
      </c>
      <c r="B288" s="4">
        <v>45350</v>
      </c>
      <c r="C288" s="4">
        <v>45353</v>
      </c>
      <c r="D288" t="s">
        <v>906</v>
      </c>
      <c r="E288" t="str">
        <f>PROPER(TRIM([1]raw_orders!E288))</f>
        <v>Priya Menon</v>
      </c>
      <c r="F288" t="str">
        <f>PROPER(TRIM([1]raw_orders!F288))</f>
        <v>Small Business</v>
      </c>
      <c r="G288" t="str">
        <f>IF('[1]Cleaned Text Field'!G288="","Unknown",'[1]Cleaned Text Field'!G288)</f>
        <v>North</v>
      </c>
      <c r="H288" t="str">
        <f>PROPER(TRIM([1]raw_orders!H288))</f>
        <v>Delhi</v>
      </c>
      <c r="I288" t="str">
        <f>PROPER(TRIM([1]raw_orders!I288))</f>
        <v>New Delhi</v>
      </c>
      <c r="J288" t="str">
        <f>PROPER(TRIM([1]raw_orders!J288))</f>
        <v>Furniture</v>
      </c>
      <c r="K288" t="str">
        <f>PROPER(TRIM([1]raw_orders!K288))</f>
        <v>Furnishings</v>
      </c>
      <c r="L288" t="s">
        <v>907</v>
      </c>
      <c r="M288" t="str">
        <f>IF('[1]Cleaned Text Field'!M288="","Unknown",'[1]Cleaned Text Field'!M288)</f>
        <v>First Class</v>
      </c>
      <c r="N288">
        <f>IF('[1]Cleaned Text Field'!N288="",0,'[1]Cleaned Text Field'!N288)</f>
        <v>7</v>
      </c>
      <c r="O288">
        <v>701.8</v>
      </c>
      <c r="P288" s="5">
        <f>IF('[1]Cleaned Text Field'!P288="",0,'[1]Cleaned Text Field'!P288)</f>
        <v>0.1</v>
      </c>
      <c r="Q288">
        <v>4421.34</v>
      </c>
      <c r="R288">
        <v>2489.98</v>
      </c>
      <c r="S288">
        <v>1931.36</v>
      </c>
      <c r="T288" t="str">
        <f>PROPER(TRIM([1]raw_orders!T288))</f>
        <v>Pending</v>
      </c>
      <c r="U288" t="str">
        <f>PROPER(TRIM([1]raw_orders!U288))</f>
        <v>Returned</v>
      </c>
      <c r="V288" s="6">
        <f t="shared" si="32"/>
        <v>0.43682684435035529</v>
      </c>
      <c r="W288" t="str">
        <f t="shared" si="33"/>
        <v>February</v>
      </c>
      <c r="X288">
        <f t="shared" si="34"/>
        <v>2024</v>
      </c>
      <c r="Y288">
        <f t="shared" si="35"/>
        <v>3</v>
      </c>
      <c r="Z288" s="7">
        <f t="shared" si="36"/>
        <v>0.1</v>
      </c>
      <c r="AA288">
        <f t="shared" si="37"/>
        <v>4421.3399999999992</v>
      </c>
      <c r="AB288">
        <f t="shared" si="38"/>
        <v>1931.3600000000001</v>
      </c>
      <c r="AC288" t="str">
        <f t="shared" si="39"/>
        <v>Clean</v>
      </c>
    </row>
    <row r="289" spans="1:29">
      <c r="A289" t="s">
        <v>908</v>
      </c>
      <c r="B289" s="4">
        <v>45540</v>
      </c>
      <c r="C289" s="4">
        <v>45482</v>
      </c>
      <c r="D289" t="s">
        <v>909</v>
      </c>
      <c r="E289" t="str">
        <f>PROPER(TRIM([1]raw_orders!E289))</f>
        <v>Neha Gupta</v>
      </c>
      <c r="F289" t="str">
        <f>PROPER(TRIM([1]raw_orders!F289))</f>
        <v>Small Business</v>
      </c>
      <c r="G289" t="str">
        <f>IF('[1]Cleaned Text Field'!G289="","Unknown",'[1]Cleaned Text Field'!G289)</f>
        <v>South</v>
      </c>
      <c r="H289" t="str">
        <f>PROPER(TRIM([1]raw_orders!H289))</f>
        <v>Tamil Nadu</v>
      </c>
      <c r="I289" t="str">
        <f>PROPER(TRIM([1]raw_orders!I289))</f>
        <v>Chennai</v>
      </c>
      <c r="J289" t="str">
        <f>PROPER(TRIM([1]raw_orders!J289))</f>
        <v>Technology</v>
      </c>
      <c r="K289" t="str">
        <f>PROPER(TRIM([1]raw_orders!K289))</f>
        <v>Copiers</v>
      </c>
      <c r="L289" t="s">
        <v>910</v>
      </c>
      <c r="M289" t="str">
        <f>IF('[1]Cleaned Text Field'!M289="","Unknown",'[1]Cleaned Text Field'!M289)</f>
        <v>Standard Class</v>
      </c>
      <c r="N289">
        <f>IF('[1]Cleaned Text Field'!N289="",0,'[1]Cleaned Text Field'!N289)</f>
        <v>3</v>
      </c>
      <c r="O289">
        <v>2555.66</v>
      </c>
      <c r="P289" s="5">
        <f>IF('[1]Cleaned Text Field'!P289="",0,'[1]Cleaned Text Field'!P289)</f>
        <v>0.15</v>
      </c>
      <c r="Q289">
        <v>6516.93</v>
      </c>
      <c r="R289">
        <v>4511.54</v>
      </c>
      <c r="S289">
        <v>2005.39</v>
      </c>
      <c r="T289" t="str">
        <f>PROPER(TRIM([1]raw_orders!T289))</f>
        <v>Paid</v>
      </c>
      <c r="U289" t="str">
        <f>PROPER(TRIM([1]raw_orders!U289))</f>
        <v>Cancelled</v>
      </c>
      <c r="V289" s="6">
        <f t="shared" si="32"/>
        <v>0.30772004609532405</v>
      </c>
      <c r="W289" t="str">
        <f t="shared" si="33"/>
        <v>September</v>
      </c>
      <c r="X289">
        <f t="shared" si="34"/>
        <v>2024</v>
      </c>
      <c r="Y289">
        <f t="shared" si="35"/>
        <v>-58</v>
      </c>
      <c r="Z289" s="7">
        <f t="shared" si="36"/>
        <v>0.15</v>
      </c>
      <c r="AA289">
        <f t="shared" si="37"/>
        <v>6516.9329999999991</v>
      </c>
      <c r="AB289">
        <f t="shared" si="38"/>
        <v>2005.3900000000003</v>
      </c>
      <c r="AC289" t="str">
        <f t="shared" si="39"/>
        <v>Warning</v>
      </c>
    </row>
    <row r="290" spans="1:29">
      <c r="A290" t="s">
        <v>911</v>
      </c>
      <c r="B290" s="4">
        <v>45467</v>
      </c>
      <c r="C290" s="4">
        <v>45467</v>
      </c>
      <c r="D290" t="s">
        <v>912</v>
      </c>
      <c r="E290" t="str">
        <f>PROPER(TRIM([1]raw_orders!E290))</f>
        <v>Rohan Mehta</v>
      </c>
      <c r="F290" t="str">
        <f>PROPER(TRIM([1]raw_orders!F290))</f>
        <v>Small Business</v>
      </c>
      <c r="G290" t="str">
        <f>IF('[1]Cleaned Text Field'!G290="","Unknown",'[1]Cleaned Text Field'!G290)</f>
        <v>East</v>
      </c>
      <c r="H290" t="str">
        <f>PROPER(TRIM([1]raw_orders!H290))</f>
        <v>Bihar</v>
      </c>
      <c r="I290" t="str">
        <f>PROPER(TRIM([1]raw_orders!I290))</f>
        <v>Patna</v>
      </c>
      <c r="J290" t="str">
        <f>PROPER(TRIM([1]raw_orders!J290))</f>
        <v>Office Supplies</v>
      </c>
      <c r="K290" t="str">
        <f>PROPER(TRIM([1]raw_orders!K290))</f>
        <v>Binders</v>
      </c>
      <c r="L290" t="s">
        <v>913</v>
      </c>
      <c r="M290" t="str">
        <f>IF('[1]Cleaned Text Field'!M290="","Unknown",'[1]Cleaned Text Field'!M290)</f>
        <v>Same Day</v>
      </c>
      <c r="N290">
        <f>IF('[1]Cleaned Text Field'!N290="",0,'[1]Cleaned Text Field'!N290)</f>
        <v>2</v>
      </c>
      <c r="O290">
        <v>4359.8999999999996</v>
      </c>
      <c r="P290" s="5">
        <f>IF('[1]Cleaned Text Field'!P290="",0,'[1]Cleaned Text Field'!P290)</f>
        <v>0.15</v>
      </c>
      <c r="Q290">
        <v>7411.83</v>
      </c>
      <c r="R290">
        <v>4904.63</v>
      </c>
      <c r="S290">
        <v>2507.1999999999998</v>
      </c>
      <c r="T290" t="str">
        <f>PROPER(TRIM([1]raw_orders!T290))</f>
        <v>Paid</v>
      </c>
      <c r="U290" t="str">
        <f>PROPER(TRIM([1]raw_orders!U290))</f>
        <v>Completed</v>
      </c>
      <c r="V290" s="6">
        <f t="shared" si="32"/>
        <v>0.33827003587508075</v>
      </c>
      <c r="W290" t="str">
        <f t="shared" si="33"/>
        <v>June</v>
      </c>
      <c r="X290">
        <f t="shared" si="34"/>
        <v>2024</v>
      </c>
      <c r="Y290">
        <f t="shared" si="35"/>
        <v>0</v>
      </c>
      <c r="Z290" s="7">
        <f t="shared" si="36"/>
        <v>0.15</v>
      </c>
      <c r="AA290">
        <f t="shared" si="37"/>
        <v>7411.829999999999</v>
      </c>
      <c r="AB290">
        <f t="shared" si="38"/>
        <v>2507.1999999999998</v>
      </c>
      <c r="AC290" t="str">
        <f t="shared" si="39"/>
        <v>Clean</v>
      </c>
    </row>
    <row r="291" spans="1:29">
      <c r="A291" t="s">
        <v>914</v>
      </c>
      <c r="B291" s="4">
        <v>45827</v>
      </c>
      <c r="C291" s="4">
        <v>45835</v>
      </c>
      <c r="D291" t="s">
        <v>915</v>
      </c>
      <c r="E291" t="str">
        <f>PROPER(TRIM([1]raw_orders!E291))</f>
        <v>Karan Malhotra</v>
      </c>
      <c r="F291" t="str">
        <f>PROPER(TRIM([1]raw_orders!F291))</f>
        <v>Home Office</v>
      </c>
      <c r="G291" t="str">
        <f>IF('[1]Cleaned Text Field'!G291="","Unknown",'[1]Cleaned Text Field'!G291)</f>
        <v>South</v>
      </c>
      <c r="H291" t="str">
        <f>PROPER(TRIM([1]raw_orders!H291))</f>
        <v>Tamil Nadu</v>
      </c>
      <c r="I291" t="str">
        <f>PROPER(TRIM([1]raw_orders!I291))</f>
        <v>Chennai</v>
      </c>
      <c r="J291" t="str">
        <f>PROPER(TRIM([1]raw_orders!J291))</f>
        <v>Furniture</v>
      </c>
      <c r="K291" t="str">
        <f>PROPER(TRIM([1]raw_orders!K291))</f>
        <v>Bookcases</v>
      </c>
      <c r="L291" t="s">
        <v>916</v>
      </c>
      <c r="M291" t="str">
        <f>IF('[1]Cleaned Text Field'!M291="","Unknown",'[1]Cleaned Text Field'!M291)</f>
        <v>First Class</v>
      </c>
      <c r="N291">
        <f>IF('[1]Cleaned Text Field'!N291="",0,'[1]Cleaned Text Field'!N291)</f>
        <v>2</v>
      </c>
      <c r="O291">
        <v>4346.6899999999996</v>
      </c>
      <c r="P291" s="5">
        <f>IF('[1]Cleaned Text Field'!P291="",0,'[1]Cleaned Text Field'!P291)</f>
        <v>0.05</v>
      </c>
      <c r="Q291">
        <v>8258.7099999999991</v>
      </c>
      <c r="R291">
        <v>7018.97</v>
      </c>
      <c r="S291">
        <v>1239.74</v>
      </c>
      <c r="T291" t="str">
        <f>PROPER(TRIM([1]raw_orders!T291))</f>
        <v>Paid</v>
      </c>
      <c r="U291" t="str">
        <f>PROPER(TRIM([1]raw_orders!U291))</f>
        <v>Completed</v>
      </c>
      <c r="V291" s="6">
        <f t="shared" si="32"/>
        <v>0.15011303218057059</v>
      </c>
      <c r="W291" t="str">
        <f t="shared" si="33"/>
        <v>June</v>
      </c>
      <c r="X291">
        <f t="shared" si="34"/>
        <v>2025</v>
      </c>
      <c r="Y291">
        <f t="shared" si="35"/>
        <v>8</v>
      </c>
      <c r="Z291" s="7">
        <f t="shared" si="36"/>
        <v>0.05</v>
      </c>
      <c r="AA291">
        <f t="shared" si="37"/>
        <v>8258.7109999999993</v>
      </c>
      <c r="AB291">
        <f t="shared" si="38"/>
        <v>1239.7399999999989</v>
      </c>
      <c r="AC291" t="str">
        <f t="shared" si="39"/>
        <v>Clean</v>
      </c>
    </row>
    <row r="292" spans="1:29">
      <c r="A292" t="s">
        <v>917</v>
      </c>
      <c r="B292" s="4">
        <v>45891</v>
      </c>
      <c r="C292" s="4">
        <v>45895</v>
      </c>
      <c r="D292" t="s">
        <v>918</v>
      </c>
      <c r="E292" t="str">
        <f>PROPER(TRIM([1]raw_orders!E292))</f>
        <v>Diya Patel</v>
      </c>
      <c r="F292" t="str">
        <f>PROPER(TRIM([1]raw_orders!F292))</f>
        <v>Home Office</v>
      </c>
      <c r="G292" t="str">
        <f>IF('[1]Cleaned Text Field'!G292="","Unknown",'[1]Cleaned Text Field'!G292)</f>
        <v>East</v>
      </c>
      <c r="H292" t="str">
        <f>PROPER(TRIM([1]raw_orders!H292))</f>
        <v>Jharkhand</v>
      </c>
      <c r="I292" t="str">
        <f>PROPER(TRIM([1]raw_orders!I292))</f>
        <v>Ranchi</v>
      </c>
      <c r="J292" t="str">
        <f>PROPER(TRIM([1]raw_orders!J292))</f>
        <v>Furniture</v>
      </c>
      <c r="K292" t="str">
        <f>PROPER(TRIM([1]raw_orders!K292))</f>
        <v>Tables</v>
      </c>
      <c r="L292" t="s">
        <v>919</v>
      </c>
      <c r="M292" t="str">
        <f>IF('[1]Cleaned Text Field'!M292="","Unknown",'[1]Cleaned Text Field'!M292)</f>
        <v>Standard Class</v>
      </c>
      <c r="N292">
        <f>IF('[1]Cleaned Text Field'!N292="",0,'[1]Cleaned Text Field'!N292)</f>
        <v>1</v>
      </c>
      <c r="O292">
        <v>1842.63</v>
      </c>
      <c r="P292" s="5">
        <f>IF('[1]Cleaned Text Field'!P292="",0,'[1]Cleaned Text Field'!P292)</f>
        <v>0.1</v>
      </c>
      <c r="Q292">
        <v>1658.37</v>
      </c>
      <c r="R292">
        <v>971.12</v>
      </c>
      <c r="S292">
        <v>687.25</v>
      </c>
      <c r="T292" t="str">
        <f>PROPER(TRIM([1]raw_orders!T292))</f>
        <v>Paid</v>
      </c>
      <c r="U292" t="str">
        <f>PROPER(TRIM([1]raw_orders!U292))</f>
        <v>Completed</v>
      </c>
      <c r="V292" s="6">
        <f t="shared" si="32"/>
        <v>0.41441294765341874</v>
      </c>
      <c r="W292" t="str">
        <f t="shared" si="33"/>
        <v>August</v>
      </c>
      <c r="X292">
        <f t="shared" si="34"/>
        <v>2025</v>
      </c>
      <c r="Y292">
        <f t="shared" si="35"/>
        <v>4</v>
      </c>
      <c r="Z292" s="7">
        <f t="shared" si="36"/>
        <v>0.1</v>
      </c>
      <c r="AA292">
        <f t="shared" si="37"/>
        <v>1658.3670000000002</v>
      </c>
      <c r="AB292">
        <f t="shared" si="38"/>
        <v>687.24999999999989</v>
      </c>
      <c r="AC292" t="str">
        <f t="shared" si="39"/>
        <v>Clean</v>
      </c>
    </row>
    <row r="293" spans="1:29">
      <c r="A293" t="s">
        <v>920</v>
      </c>
      <c r="B293" s="4">
        <v>45387</v>
      </c>
      <c r="C293" s="4">
        <v>45392</v>
      </c>
      <c r="D293" t="s">
        <v>921</v>
      </c>
      <c r="E293" t="str">
        <f>PROPER(TRIM([1]raw_orders!E293))</f>
        <v>Priya Menon</v>
      </c>
      <c r="F293" t="str">
        <f>PROPER(TRIM([1]raw_orders!F293))</f>
        <v>Home Office</v>
      </c>
      <c r="G293" t="str">
        <f>IF('[1]Cleaned Text Field'!G293="","Unknown",'[1]Cleaned Text Field'!G293)</f>
        <v>North</v>
      </c>
      <c r="H293" t="str">
        <f>PROPER(TRIM([1]raw_orders!H293))</f>
        <v>Rajasthan</v>
      </c>
      <c r="I293" t="str">
        <f>PROPER(TRIM([1]raw_orders!I293))</f>
        <v>Jaipur</v>
      </c>
      <c r="J293" t="str">
        <f>PROPER(TRIM([1]raw_orders!J293))</f>
        <v>Office Supplies</v>
      </c>
      <c r="K293" t="str">
        <f>PROPER(TRIM([1]raw_orders!K293))</f>
        <v>Binders</v>
      </c>
      <c r="L293" t="s">
        <v>922</v>
      </c>
      <c r="M293" t="str">
        <f>IF('[1]Cleaned Text Field'!M293="","Unknown",'[1]Cleaned Text Field'!M293)</f>
        <v>Standard Class</v>
      </c>
      <c r="N293">
        <f>IF('[1]Cleaned Text Field'!N293="",0,'[1]Cleaned Text Field'!N293)</f>
        <v>4</v>
      </c>
      <c r="O293">
        <v>3228.66</v>
      </c>
      <c r="P293" s="5">
        <f>IF('[1]Cleaned Text Field'!P293="",0,'[1]Cleaned Text Field'!P293)</f>
        <v>0.25</v>
      </c>
      <c r="Q293">
        <v>9685.98</v>
      </c>
      <c r="R293">
        <v>7730.04</v>
      </c>
      <c r="S293">
        <v>1955.94</v>
      </c>
      <c r="T293" t="str">
        <f>PROPER(TRIM([1]raw_orders!T293))</f>
        <v>Paid</v>
      </c>
      <c r="U293" t="str">
        <f>PROPER(TRIM([1]raw_orders!U293))</f>
        <v>Completed</v>
      </c>
      <c r="V293" s="6">
        <f t="shared" si="32"/>
        <v>0.20193516815025431</v>
      </c>
      <c r="W293" t="str">
        <f t="shared" si="33"/>
        <v>April</v>
      </c>
      <c r="X293">
        <f t="shared" si="34"/>
        <v>2024</v>
      </c>
      <c r="Y293">
        <f t="shared" si="35"/>
        <v>5</v>
      </c>
      <c r="Z293" s="7">
        <f t="shared" si="36"/>
        <v>0.25</v>
      </c>
      <c r="AA293">
        <f t="shared" si="37"/>
        <v>9685.98</v>
      </c>
      <c r="AB293">
        <f t="shared" si="38"/>
        <v>1955.9399999999996</v>
      </c>
      <c r="AC293" t="str">
        <f t="shared" si="39"/>
        <v>Clean</v>
      </c>
    </row>
    <row r="294" spans="1:29">
      <c r="A294" t="s">
        <v>923</v>
      </c>
      <c r="B294" s="4">
        <v>45716</v>
      </c>
      <c r="C294" s="4">
        <v>45719</v>
      </c>
      <c r="D294" t="s">
        <v>924</v>
      </c>
      <c r="E294" t="str">
        <f>PROPER(TRIM([1]raw_orders!E294))</f>
        <v>Kabir Singh</v>
      </c>
      <c r="F294" t="str">
        <f>PROPER(TRIM([1]raw_orders!F294))</f>
        <v>Home Office</v>
      </c>
      <c r="G294" t="str">
        <f>IF('[1]Cleaned Text Field'!G294="","Unknown",'[1]Cleaned Text Field'!G294)</f>
        <v>North</v>
      </c>
      <c r="H294" t="str">
        <f>PROPER(TRIM([1]raw_orders!H294))</f>
        <v>Haryana</v>
      </c>
      <c r="I294" t="str">
        <f>PROPER(TRIM([1]raw_orders!I294))</f>
        <v>Gurugram</v>
      </c>
      <c r="J294" t="str">
        <f>PROPER(TRIM([1]raw_orders!J294))</f>
        <v>Office Supplies</v>
      </c>
      <c r="K294" t="str">
        <f>PROPER(TRIM([1]raw_orders!K294))</f>
        <v>Art</v>
      </c>
      <c r="L294" t="s">
        <v>925</v>
      </c>
      <c r="M294" t="str">
        <f>IF('[1]Cleaned Text Field'!M294="","Unknown",'[1]Cleaned Text Field'!M294)</f>
        <v>Same Day</v>
      </c>
      <c r="N294">
        <f>IF('[1]Cleaned Text Field'!N294="",0,'[1]Cleaned Text Field'!N294)</f>
        <v>9</v>
      </c>
      <c r="O294">
        <v>3748.95</v>
      </c>
      <c r="P294" s="5">
        <f>IF('[1]Cleaned Text Field'!P294="",0,'[1]Cleaned Text Field'!P294)</f>
        <v>0</v>
      </c>
      <c r="Q294">
        <v>33740.550000000003</v>
      </c>
      <c r="R294">
        <v>24621.89</v>
      </c>
      <c r="S294">
        <v>9118.66</v>
      </c>
      <c r="T294" t="str">
        <f>PROPER(TRIM([1]raw_orders!T294))</f>
        <v>Pending</v>
      </c>
      <c r="U294" t="str">
        <f>PROPER(TRIM([1]raw_orders!U294))</f>
        <v>Cancelled</v>
      </c>
      <c r="V294" s="6">
        <f t="shared" si="32"/>
        <v>0.27025819081194585</v>
      </c>
      <c r="W294" t="str">
        <f t="shared" si="33"/>
        <v>February</v>
      </c>
      <c r="X294">
        <f t="shared" si="34"/>
        <v>2025</v>
      </c>
      <c r="Y294">
        <f t="shared" si="35"/>
        <v>3</v>
      </c>
      <c r="Z294" s="7">
        <f t="shared" si="36"/>
        <v>0</v>
      </c>
      <c r="AA294">
        <f t="shared" si="37"/>
        <v>33740.549999999996</v>
      </c>
      <c r="AB294">
        <f t="shared" si="38"/>
        <v>9118.6600000000035</v>
      </c>
      <c r="AC294" t="str">
        <f t="shared" si="39"/>
        <v>Clean</v>
      </c>
    </row>
    <row r="295" spans="1:29">
      <c r="A295" t="s">
        <v>926</v>
      </c>
      <c r="B295" s="4">
        <v>45358</v>
      </c>
      <c r="C295" s="4">
        <v>45599</v>
      </c>
      <c r="D295" t="s">
        <v>927</v>
      </c>
      <c r="E295" t="str">
        <f>PROPER(TRIM([1]raw_orders!E295))</f>
        <v>Arjun Bose</v>
      </c>
      <c r="F295" t="str">
        <f>PROPER(TRIM([1]raw_orders!F295))</f>
        <v>Home Office</v>
      </c>
      <c r="G295" t="str">
        <f>IF('[1]Cleaned Text Field'!G295="","Unknown",'[1]Cleaned Text Field'!G295)</f>
        <v>South</v>
      </c>
      <c r="H295" t="str">
        <f>PROPER(TRIM([1]raw_orders!H295))</f>
        <v>Telangana</v>
      </c>
      <c r="I295" t="str">
        <f>PROPER(TRIM([1]raw_orders!I295))</f>
        <v>Hyderabad</v>
      </c>
      <c r="J295" t="str">
        <f>PROPER(TRIM([1]raw_orders!J295))</f>
        <v>Technology</v>
      </c>
      <c r="K295" t="str">
        <f>PROPER(TRIM([1]raw_orders!K295))</f>
        <v>Phones</v>
      </c>
      <c r="L295" t="s">
        <v>928</v>
      </c>
      <c r="M295" t="str">
        <f>IF('[1]Cleaned Text Field'!M295="","Unknown",'[1]Cleaned Text Field'!M295)</f>
        <v>First Class</v>
      </c>
      <c r="N295">
        <f>IF('[1]Cleaned Text Field'!N295="",0,'[1]Cleaned Text Field'!N295)</f>
        <v>2</v>
      </c>
      <c r="O295">
        <v>4401.51</v>
      </c>
      <c r="P295" s="5">
        <f>IF('[1]Cleaned Text Field'!P295="",0,'[1]Cleaned Text Field'!P295)</f>
        <v>0.65</v>
      </c>
      <c r="Q295">
        <v>8362.8700000000008</v>
      </c>
      <c r="R295">
        <v>6541.04</v>
      </c>
      <c r="S295">
        <v>1821.83</v>
      </c>
      <c r="T295" t="str">
        <f>PROPER(TRIM([1]raw_orders!T295))</f>
        <v>Paid</v>
      </c>
      <c r="U295" t="str">
        <f>PROPER(TRIM([1]raw_orders!U295))</f>
        <v>Completed</v>
      </c>
      <c r="V295" s="6">
        <f t="shared" si="32"/>
        <v>0.21784746145760961</v>
      </c>
      <c r="W295" t="str">
        <f t="shared" si="33"/>
        <v>March</v>
      </c>
      <c r="X295">
        <f t="shared" si="34"/>
        <v>2024</v>
      </c>
      <c r="Y295">
        <f t="shared" si="35"/>
        <v>241</v>
      </c>
      <c r="Z295" s="7">
        <f t="shared" si="36"/>
        <v>0.65</v>
      </c>
      <c r="AA295">
        <f t="shared" si="37"/>
        <v>3081.0569999999998</v>
      </c>
      <c r="AB295">
        <f t="shared" si="38"/>
        <v>1821.8300000000008</v>
      </c>
      <c r="AC295" t="str">
        <f t="shared" si="39"/>
        <v>Clean</v>
      </c>
    </row>
    <row r="296" spans="1:29">
      <c r="A296" t="s">
        <v>929</v>
      </c>
      <c r="B296" s="4">
        <v>45854</v>
      </c>
      <c r="C296" s="4">
        <v>45860</v>
      </c>
      <c r="D296" t="s">
        <v>930</v>
      </c>
      <c r="E296" t="str">
        <f>PROPER(TRIM([1]raw_orders!E296))</f>
        <v>Priya Menon</v>
      </c>
      <c r="F296" t="str">
        <f>PROPER(TRIM([1]raw_orders!F296))</f>
        <v>Consumer</v>
      </c>
      <c r="G296" t="str">
        <f>IF('[1]Cleaned Text Field'!G296="","Unknown",'[1]Cleaned Text Field'!G296)</f>
        <v>East</v>
      </c>
      <c r="H296" t="str">
        <f>PROPER(TRIM([1]raw_orders!H296))</f>
        <v>Odisha</v>
      </c>
      <c r="I296" t="str">
        <f>PROPER(TRIM([1]raw_orders!I296))</f>
        <v>Bhubaneswar</v>
      </c>
      <c r="J296" t="str">
        <f>PROPER(TRIM([1]raw_orders!J296))</f>
        <v>Technology</v>
      </c>
      <c r="K296" t="str">
        <f>PROPER(TRIM([1]raw_orders!K296))</f>
        <v>Phones</v>
      </c>
      <c r="L296" t="s">
        <v>931</v>
      </c>
      <c r="M296" t="str">
        <f>IF('[1]Cleaned Text Field'!M296="","Unknown",'[1]Cleaned Text Field'!M296)</f>
        <v>Second Class</v>
      </c>
      <c r="N296">
        <f>IF('[1]Cleaned Text Field'!N296="",0,'[1]Cleaned Text Field'!N296)</f>
        <v>6</v>
      </c>
      <c r="O296">
        <v>4159.33</v>
      </c>
      <c r="P296" s="5">
        <f>IF('[1]Cleaned Text Field'!P296="",0,'[1]Cleaned Text Field'!P296)</f>
        <v>0.25</v>
      </c>
      <c r="Q296">
        <v>18716.990000000002</v>
      </c>
      <c r="R296">
        <v>12282.43</v>
      </c>
      <c r="S296">
        <v>6434.56</v>
      </c>
      <c r="T296" t="str">
        <f>PROPER(TRIM([1]raw_orders!T296))</f>
        <v>Paid</v>
      </c>
      <c r="U296" t="str">
        <f>PROPER(TRIM([1]raw_orders!U296))</f>
        <v>Returned</v>
      </c>
      <c r="V296" s="6">
        <f t="shared" si="32"/>
        <v>0.34378177260339404</v>
      </c>
      <c r="W296" t="str">
        <f t="shared" si="33"/>
        <v>July</v>
      </c>
      <c r="X296">
        <f t="shared" si="34"/>
        <v>2025</v>
      </c>
      <c r="Y296">
        <f t="shared" si="35"/>
        <v>6</v>
      </c>
      <c r="Z296" s="7">
        <f t="shared" si="36"/>
        <v>0.25</v>
      </c>
      <c r="AA296">
        <f t="shared" si="37"/>
        <v>18716.985000000001</v>
      </c>
      <c r="AB296">
        <f t="shared" si="38"/>
        <v>6434.5600000000013</v>
      </c>
      <c r="AC296" t="str">
        <f t="shared" si="39"/>
        <v>Clean</v>
      </c>
    </row>
    <row r="297" spans="1:29">
      <c r="A297" t="s">
        <v>932</v>
      </c>
      <c r="B297" s="4">
        <v>45833</v>
      </c>
      <c r="C297" s="4">
        <v>45836</v>
      </c>
      <c r="D297" t="s">
        <v>933</v>
      </c>
      <c r="E297" t="str">
        <f>PROPER(TRIM([1]raw_orders!E297))</f>
        <v>Aditi Sen</v>
      </c>
      <c r="F297" t="str">
        <f>PROPER(TRIM([1]raw_orders!F297))</f>
        <v>Small Business</v>
      </c>
      <c r="G297" t="str">
        <f>IF('[1]Cleaned Text Field'!G297="","Unknown",'[1]Cleaned Text Field'!G297)</f>
        <v>East</v>
      </c>
      <c r="H297" t="str">
        <f>PROPER(TRIM([1]raw_orders!H297))</f>
        <v>Assam</v>
      </c>
      <c r="I297" t="str">
        <f>PROPER(TRIM([1]raw_orders!I297))</f>
        <v>Guwahati</v>
      </c>
      <c r="J297" t="str">
        <f>PROPER(TRIM([1]raw_orders!J297))</f>
        <v>Office Supplies</v>
      </c>
      <c r="K297" t="str">
        <f>PROPER(TRIM([1]raw_orders!K297))</f>
        <v>Binders</v>
      </c>
      <c r="L297" t="s">
        <v>934</v>
      </c>
      <c r="M297" t="str">
        <f>IF('[1]Cleaned Text Field'!M297="","Unknown",'[1]Cleaned Text Field'!M297)</f>
        <v>Standard Class</v>
      </c>
      <c r="N297">
        <f>IF('[1]Cleaned Text Field'!N297="",0,'[1]Cleaned Text Field'!N297)</f>
        <v>3</v>
      </c>
      <c r="O297">
        <v>3476.05</v>
      </c>
      <c r="P297" s="5">
        <f>IF('[1]Cleaned Text Field'!P297="",0,'[1]Cleaned Text Field'!P297)</f>
        <v>0.1</v>
      </c>
      <c r="Q297">
        <v>9385.34</v>
      </c>
      <c r="R297">
        <v>5828.54</v>
      </c>
      <c r="S297">
        <v>3556.8</v>
      </c>
      <c r="T297" t="str">
        <f>PROPER(TRIM([1]raw_orders!T297))</f>
        <v>Paid</v>
      </c>
      <c r="U297" t="str">
        <f>PROPER(TRIM([1]raw_orders!U297))</f>
        <v>Completed</v>
      </c>
      <c r="V297" s="6">
        <f t="shared" si="32"/>
        <v>0.37897401692426702</v>
      </c>
      <c r="W297" t="str">
        <f t="shared" si="33"/>
        <v>June</v>
      </c>
      <c r="X297">
        <f t="shared" si="34"/>
        <v>2025</v>
      </c>
      <c r="Y297">
        <f t="shared" si="35"/>
        <v>3</v>
      </c>
      <c r="Z297" s="7">
        <f t="shared" si="36"/>
        <v>0.1</v>
      </c>
      <c r="AA297">
        <f t="shared" si="37"/>
        <v>9385.3350000000009</v>
      </c>
      <c r="AB297">
        <f t="shared" si="38"/>
        <v>3556.8</v>
      </c>
      <c r="AC297" t="str">
        <f t="shared" si="39"/>
        <v>Clean</v>
      </c>
    </row>
    <row r="298" spans="1:29">
      <c r="A298" t="s">
        <v>935</v>
      </c>
      <c r="B298" s="4">
        <v>45801</v>
      </c>
      <c r="C298" s="4">
        <v>45803</v>
      </c>
      <c r="D298" t="s">
        <v>936</v>
      </c>
      <c r="E298" t="str">
        <f>PROPER(TRIM([1]raw_orders!E298))</f>
        <v>Aditi Sen</v>
      </c>
      <c r="F298" t="str">
        <f>PROPER(TRIM([1]raw_orders!F298))</f>
        <v>Home Office</v>
      </c>
      <c r="G298" t="str">
        <f>IF('[1]Cleaned Text Field'!G298="","Unknown",'[1]Cleaned Text Field'!G298)</f>
        <v>North</v>
      </c>
      <c r="H298" t="str">
        <f>PROPER(TRIM([1]raw_orders!H298))</f>
        <v>Haryana</v>
      </c>
      <c r="I298" t="str">
        <f>PROPER(TRIM([1]raw_orders!I298))</f>
        <v>Gurugram</v>
      </c>
      <c r="J298" t="str">
        <f>PROPER(TRIM([1]raw_orders!J298))</f>
        <v>Furniture</v>
      </c>
      <c r="K298" t="str">
        <f>PROPER(TRIM([1]raw_orders!K298))</f>
        <v>Furnishings</v>
      </c>
      <c r="L298" t="s">
        <v>937</v>
      </c>
      <c r="M298" t="str">
        <f>IF('[1]Cleaned Text Field'!M298="","Unknown",'[1]Cleaned Text Field'!M298)</f>
        <v>Same Day</v>
      </c>
      <c r="N298">
        <f>IF('[1]Cleaned Text Field'!N298="",0,'[1]Cleaned Text Field'!N298)</f>
        <v>6</v>
      </c>
      <c r="O298">
        <v>3495.41</v>
      </c>
      <c r="P298" s="5">
        <f>IF('[1]Cleaned Text Field'!P298="",0,'[1]Cleaned Text Field'!P298)</f>
        <v>0.15</v>
      </c>
      <c r="Q298">
        <v>17826.59</v>
      </c>
      <c r="R298">
        <v>10855.35</v>
      </c>
      <c r="S298">
        <v>6971.24</v>
      </c>
      <c r="T298" t="str">
        <f>PROPER(TRIM([1]raw_orders!T298))</f>
        <v>Paid</v>
      </c>
      <c r="U298" t="str">
        <f>PROPER(TRIM([1]raw_orders!U298))</f>
        <v>Completed</v>
      </c>
      <c r="V298" s="6">
        <f t="shared" si="32"/>
        <v>0.39105852549478054</v>
      </c>
      <c r="W298" t="str">
        <f t="shared" si="33"/>
        <v>May</v>
      </c>
      <c r="X298">
        <f t="shared" si="34"/>
        <v>2025</v>
      </c>
      <c r="Y298">
        <f t="shared" si="35"/>
        <v>2</v>
      </c>
      <c r="Z298" s="7">
        <f t="shared" si="36"/>
        <v>0.15</v>
      </c>
      <c r="AA298">
        <f t="shared" si="37"/>
        <v>17826.591</v>
      </c>
      <c r="AB298">
        <f t="shared" si="38"/>
        <v>6971.24</v>
      </c>
      <c r="AC298" t="str">
        <f t="shared" si="39"/>
        <v>Clean</v>
      </c>
    </row>
    <row r="299" spans="1:29">
      <c r="A299" t="s">
        <v>938</v>
      </c>
      <c r="B299" s="4">
        <v>45594</v>
      </c>
      <c r="C299" s="4">
        <v>45454</v>
      </c>
      <c r="D299" t="s">
        <v>939</v>
      </c>
      <c r="E299" t="str">
        <f>PROPER(TRIM([1]raw_orders!E299))</f>
        <v>Sneha Kapoor</v>
      </c>
      <c r="F299" t="str">
        <f>PROPER(TRIM([1]raw_orders!F299))</f>
        <v>Corporate</v>
      </c>
      <c r="G299" t="str">
        <f>IF('[1]Cleaned Text Field'!G299="","Unknown",'[1]Cleaned Text Field'!G299)</f>
        <v>South</v>
      </c>
      <c r="H299" t="str">
        <f>PROPER(TRIM([1]raw_orders!H299))</f>
        <v>Tamil Nadu</v>
      </c>
      <c r="I299" t="str">
        <f>PROPER(TRIM([1]raw_orders!I299))</f>
        <v>Chennai</v>
      </c>
      <c r="J299" t="str">
        <f>PROPER(TRIM([1]raw_orders!J299))</f>
        <v>Technology</v>
      </c>
      <c r="K299" t="str">
        <f>PROPER(TRIM([1]raw_orders!K299))</f>
        <v>Copiers</v>
      </c>
      <c r="L299" t="s">
        <v>940</v>
      </c>
      <c r="M299" t="str">
        <f>IF('[1]Cleaned Text Field'!M299="","Unknown",'[1]Cleaned Text Field'!M299)</f>
        <v>Same Day</v>
      </c>
      <c r="N299">
        <f>IF('[1]Cleaned Text Field'!N299="",0,'[1]Cleaned Text Field'!N299)</f>
        <v>6</v>
      </c>
      <c r="O299">
        <v>1169.92</v>
      </c>
      <c r="P299" s="5">
        <f>IF('[1]Cleaned Text Field'!P299="",0,'[1]Cleaned Text Field'!P299)</f>
        <v>0.15</v>
      </c>
      <c r="Q299">
        <v>5966.59</v>
      </c>
      <c r="R299">
        <v>3994.72</v>
      </c>
      <c r="S299">
        <v>1971.87</v>
      </c>
      <c r="T299" t="str">
        <f>PROPER(TRIM([1]raw_orders!T299))</f>
        <v>Paid</v>
      </c>
      <c r="U299" t="str">
        <f>PROPER(TRIM([1]raw_orders!U299))</f>
        <v>Completed</v>
      </c>
      <c r="V299" s="6">
        <f t="shared" si="32"/>
        <v>0.33048525204513801</v>
      </c>
      <c r="W299" t="str">
        <f t="shared" si="33"/>
        <v>October</v>
      </c>
      <c r="X299">
        <f t="shared" si="34"/>
        <v>2024</v>
      </c>
      <c r="Y299">
        <f t="shared" si="35"/>
        <v>-140</v>
      </c>
      <c r="Z299" s="7">
        <f t="shared" si="36"/>
        <v>0.15</v>
      </c>
      <c r="AA299">
        <f t="shared" si="37"/>
        <v>5966.5920000000006</v>
      </c>
      <c r="AB299">
        <f t="shared" si="38"/>
        <v>1971.8700000000003</v>
      </c>
      <c r="AC299" t="str">
        <f t="shared" si="39"/>
        <v>Warning</v>
      </c>
    </row>
    <row r="300" spans="1:29">
      <c r="A300" t="s">
        <v>941</v>
      </c>
      <c r="B300" s="4">
        <v>45680</v>
      </c>
      <c r="C300" s="4">
        <v>45683</v>
      </c>
      <c r="D300" t="s">
        <v>942</v>
      </c>
      <c r="E300" t="str">
        <f>PROPER(TRIM([1]raw_orders!E300))</f>
        <v>Isha Nair</v>
      </c>
      <c r="F300" t="str">
        <f>PROPER(TRIM([1]raw_orders!F300))</f>
        <v>Consumer</v>
      </c>
      <c r="G300" t="str">
        <f>IF('[1]Cleaned Text Field'!G300="","Unknown",'[1]Cleaned Text Field'!G300)</f>
        <v>South</v>
      </c>
      <c r="H300" t="str">
        <f>PROPER(TRIM([1]raw_orders!H300))</f>
        <v>Kerala</v>
      </c>
      <c r="I300" t="str">
        <f>PROPER(TRIM([1]raw_orders!I300))</f>
        <v>Kochi</v>
      </c>
      <c r="J300" t="str">
        <f>PROPER(TRIM([1]raw_orders!J300))</f>
        <v>Technology</v>
      </c>
      <c r="K300" t="str">
        <f>PROPER(TRIM([1]raw_orders!K300))</f>
        <v>Copiers</v>
      </c>
      <c r="L300" t="s">
        <v>943</v>
      </c>
      <c r="M300" t="str">
        <f>IF('[1]Cleaned Text Field'!M300="","Unknown",'[1]Cleaned Text Field'!M300)</f>
        <v>First Class</v>
      </c>
      <c r="N300">
        <f>IF('[1]Cleaned Text Field'!N300="",0,'[1]Cleaned Text Field'!N300)</f>
        <v>7</v>
      </c>
      <c r="O300">
        <v>348.49</v>
      </c>
      <c r="P300" s="5">
        <f>IF('[1]Cleaned Text Field'!P300="",0,'[1]Cleaned Text Field'!P300)</f>
        <v>0.2</v>
      </c>
      <c r="Q300">
        <v>1951.54</v>
      </c>
      <c r="R300">
        <v>1609.95</v>
      </c>
      <c r="S300">
        <v>341.59</v>
      </c>
      <c r="T300" t="str">
        <f>PROPER(TRIM([1]raw_orders!T300))</f>
        <v>Failed</v>
      </c>
      <c r="U300" t="str">
        <f>PROPER(TRIM([1]raw_orders!U300))</f>
        <v>Returned</v>
      </c>
      <c r="V300" s="6">
        <f t="shared" si="32"/>
        <v>0.17503612531641677</v>
      </c>
      <c r="W300" t="str">
        <f t="shared" si="33"/>
        <v>January</v>
      </c>
      <c r="X300">
        <f t="shared" si="34"/>
        <v>2025</v>
      </c>
      <c r="Y300">
        <f t="shared" si="35"/>
        <v>3</v>
      </c>
      <c r="Z300" s="7">
        <f t="shared" si="36"/>
        <v>0.2</v>
      </c>
      <c r="AA300">
        <f t="shared" si="37"/>
        <v>1951.5440000000003</v>
      </c>
      <c r="AB300">
        <f t="shared" si="38"/>
        <v>341.58999999999992</v>
      </c>
      <c r="AC300" t="str">
        <f t="shared" si="39"/>
        <v>Clean</v>
      </c>
    </row>
    <row r="301" spans="1:29">
      <c r="A301" t="s">
        <v>944</v>
      </c>
      <c r="B301" s="4">
        <v>45454</v>
      </c>
      <c r="C301" s="4">
        <v>45608</v>
      </c>
      <c r="D301" t="s">
        <v>945</v>
      </c>
      <c r="E301" t="str">
        <f>PROPER(TRIM([1]raw_orders!E301))</f>
        <v>Rahul Verma</v>
      </c>
      <c r="F301" t="str">
        <f>PROPER(TRIM([1]raw_orders!F301))</f>
        <v>Small Business</v>
      </c>
      <c r="G301" t="str">
        <f>IF('[1]Cleaned Text Field'!G301="","Unknown",'[1]Cleaned Text Field'!G301)</f>
        <v>West</v>
      </c>
      <c r="H301" t="str">
        <f>PROPER(TRIM([1]raw_orders!H301))</f>
        <v>Gujarat</v>
      </c>
      <c r="I301" t="str">
        <f>PROPER(TRIM([1]raw_orders!I301))</f>
        <v>Ahmedabad</v>
      </c>
      <c r="J301" t="str">
        <f>PROPER(TRIM([1]raw_orders!J301))</f>
        <v>Technology</v>
      </c>
      <c r="K301" t="str">
        <f>PROPER(TRIM([1]raw_orders!K301))</f>
        <v>Accessories</v>
      </c>
      <c r="L301" t="s">
        <v>946</v>
      </c>
      <c r="M301" t="str">
        <f>IF('[1]Cleaned Text Field'!M301="","Unknown",'[1]Cleaned Text Field'!M301)</f>
        <v>Standard Class</v>
      </c>
      <c r="N301">
        <f>IF('[1]Cleaned Text Field'!N301="",0,'[1]Cleaned Text Field'!N301)</f>
        <v>7</v>
      </c>
      <c r="O301">
        <v>1719.05</v>
      </c>
      <c r="P301" s="5">
        <f>IF('[1]Cleaned Text Field'!P301="",0,'[1]Cleaned Text Field'!P301)</f>
        <v>0.1</v>
      </c>
      <c r="Q301">
        <v>10830.02</v>
      </c>
      <c r="R301">
        <v>7055.31</v>
      </c>
      <c r="S301">
        <v>3774.71</v>
      </c>
      <c r="T301" t="str">
        <f>PROPER(TRIM([1]raw_orders!T301))</f>
        <v>Paid</v>
      </c>
      <c r="U301" t="str">
        <f>PROPER(TRIM([1]raw_orders!U301))</f>
        <v>Completed</v>
      </c>
      <c r="V301" s="6">
        <f t="shared" si="32"/>
        <v>0.3485413692680161</v>
      </c>
      <c r="W301" t="str">
        <f t="shared" si="33"/>
        <v>June</v>
      </c>
      <c r="X301">
        <f t="shared" si="34"/>
        <v>2024</v>
      </c>
      <c r="Y301">
        <f t="shared" si="35"/>
        <v>154</v>
      </c>
      <c r="Z301" s="7">
        <f t="shared" si="36"/>
        <v>0.1</v>
      </c>
      <c r="AA301">
        <f t="shared" si="37"/>
        <v>10830.015000000001</v>
      </c>
      <c r="AB301">
        <f t="shared" si="38"/>
        <v>3774.71</v>
      </c>
      <c r="AC301" t="str">
        <f t="shared" si="39"/>
        <v>Clean</v>
      </c>
    </row>
    <row r="302" spans="1:29">
      <c r="A302" t="s">
        <v>947</v>
      </c>
      <c r="B302" s="4">
        <v>45397</v>
      </c>
      <c r="C302" s="4">
        <v>45405</v>
      </c>
      <c r="D302" t="s">
        <v>948</v>
      </c>
      <c r="E302" t="str">
        <f>PROPER(TRIM([1]raw_orders!E302))</f>
        <v>Diya Patel</v>
      </c>
      <c r="F302" t="str">
        <f>PROPER(TRIM([1]raw_orders!F302))</f>
        <v>Small Business</v>
      </c>
      <c r="G302" t="str">
        <f>IF('[1]Cleaned Text Field'!G302="","Unknown",'[1]Cleaned Text Field'!G302)</f>
        <v>North</v>
      </c>
      <c r="H302" t="str">
        <f>PROPER(TRIM([1]raw_orders!H302))</f>
        <v>Punjab</v>
      </c>
      <c r="I302" t="str">
        <f>PROPER(TRIM([1]raw_orders!I302))</f>
        <v>Ludhiana</v>
      </c>
      <c r="J302" t="str">
        <f>PROPER(TRIM([1]raw_orders!J302))</f>
        <v>Technology</v>
      </c>
      <c r="K302" t="str">
        <f>PROPER(TRIM([1]raw_orders!K302))</f>
        <v>Accessories</v>
      </c>
      <c r="L302" t="s">
        <v>949</v>
      </c>
      <c r="M302" t="str">
        <f>IF('[1]Cleaned Text Field'!M302="","Unknown",'[1]Cleaned Text Field'!M302)</f>
        <v>Second Class</v>
      </c>
      <c r="N302">
        <f>IF('[1]Cleaned Text Field'!N302="",0,'[1]Cleaned Text Field'!N302)</f>
        <v>9</v>
      </c>
      <c r="O302">
        <v>3893.74</v>
      </c>
      <c r="P302" s="5">
        <f>IF('[1]Cleaned Text Field'!P302="",0,'[1]Cleaned Text Field'!P302)</f>
        <v>0.1</v>
      </c>
      <c r="Q302">
        <v>31539.29</v>
      </c>
      <c r="R302">
        <v>22100.14</v>
      </c>
      <c r="S302">
        <v>9439.15</v>
      </c>
      <c r="T302" t="str">
        <f>PROPER(TRIM([1]raw_orders!T302))</f>
        <v>Paid</v>
      </c>
      <c r="U302" t="str">
        <f>PROPER(TRIM([1]raw_orders!U302))</f>
        <v>Completed</v>
      </c>
      <c r="V302" s="6">
        <f t="shared" si="32"/>
        <v>0.29928226031721067</v>
      </c>
      <c r="W302" t="str">
        <f t="shared" si="33"/>
        <v>April</v>
      </c>
      <c r="X302">
        <f t="shared" si="34"/>
        <v>2024</v>
      </c>
      <c r="Y302">
        <f t="shared" si="35"/>
        <v>8</v>
      </c>
      <c r="Z302" s="7">
        <f t="shared" si="36"/>
        <v>0.1</v>
      </c>
      <c r="AA302">
        <f t="shared" si="37"/>
        <v>31539.293999999998</v>
      </c>
      <c r="AB302">
        <f t="shared" si="38"/>
        <v>9439.1500000000015</v>
      </c>
      <c r="AC302" t="str">
        <f t="shared" si="39"/>
        <v>Clean</v>
      </c>
    </row>
    <row r="303" spans="1:29">
      <c r="A303" t="s">
        <v>950</v>
      </c>
      <c r="B303" s="4">
        <v>45805</v>
      </c>
      <c r="C303" s="4">
        <v>45663</v>
      </c>
      <c r="D303" t="s">
        <v>951</v>
      </c>
      <c r="E303" t="str">
        <f>PROPER(TRIM([1]raw_orders!E303))</f>
        <v>Isha Nair</v>
      </c>
      <c r="F303" t="str">
        <f>PROPER(TRIM([1]raw_orders!F303))</f>
        <v>Home Office</v>
      </c>
      <c r="G303" t="str">
        <f>IF('[1]Cleaned Text Field'!G303="","Unknown",'[1]Cleaned Text Field'!G303)</f>
        <v>East</v>
      </c>
      <c r="H303" t="str">
        <f>PROPER(TRIM([1]raw_orders!H303))</f>
        <v>Bihar</v>
      </c>
      <c r="I303" t="str">
        <f>PROPER(TRIM([1]raw_orders!I303))</f>
        <v>Patna</v>
      </c>
      <c r="J303" t="str">
        <f>PROPER(TRIM([1]raw_orders!J303))</f>
        <v>Technology</v>
      </c>
      <c r="K303" t="str">
        <f>PROPER(TRIM([1]raw_orders!K303))</f>
        <v>Phones</v>
      </c>
      <c r="L303" t="s">
        <v>952</v>
      </c>
      <c r="M303" t="str">
        <f>IF('[1]Cleaned Text Field'!M303="","Unknown",'[1]Cleaned Text Field'!M303)</f>
        <v>Same Day</v>
      </c>
      <c r="N303">
        <f>IF('[1]Cleaned Text Field'!N303="",0,'[1]Cleaned Text Field'!N303)</f>
        <v>4</v>
      </c>
      <c r="O303">
        <v>1654.11</v>
      </c>
      <c r="P303" s="5">
        <f>IF('[1]Cleaned Text Field'!P303="",0,'[1]Cleaned Text Field'!P303)</f>
        <v>0.05</v>
      </c>
      <c r="Q303">
        <v>6285.62</v>
      </c>
      <c r="R303">
        <v>3705.38</v>
      </c>
      <c r="S303">
        <v>2580.2399999999998</v>
      </c>
      <c r="T303" t="str">
        <f>PROPER(TRIM([1]raw_orders!T303))</f>
        <v>Paid</v>
      </c>
      <c r="U303" t="str">
        <f>PROPER(TRIM([1]raw_orders!U303))</f>
        <v>Completed</v>
      </c>
      <c r="V303" s="6">
        <f t="shared" si="32"/>
        <v>0.41049888475599861</v>
      </c>
      <c r="W303" t="str">
        <f t="shared" si="33"/>
        <v>May</v>
      </c>
      <c r="X303">
        <f t="shared" si="34"/>
        <v>2025</v>
      </c>
      <c r="Y303">
        <f t="shared" si="35"/>
        <v>-142</v>
      </c>
      <c r="Z303" s="7">
        <f t="shared" si="36"/>
        <v>0.05</v>
      </c>
      <c r="AA303">
        <f t="shared" si="37"/>
        <v>6285.6179999999995</v>
      </c>
      <c r="AB303">
        <f t="shared" si="38"/>
        <v>2580.2399999999998</v>
      </c>
      <c r="AC303" t="str">
        <f t="shared" si="39"/>
        <v>Warning</v>
      </c>
    </row>
    <row r="304" spans="1:29">
      <c r="A304" t="s">
        <v>953</v>
      </c>
      <c r="B304" s="4">
        <v>45753</v>
      </c>
      <c r="C304" s="4">
        <v>45820</v>
      </c>
      <c r="D304" t="s">
        <v>954</v>
      </c>
      <c r="E304" t="str">
        <f>PROPER(TRIM([1]raw_orders!E304))</f>
        <v>Neha Gupta</v>
      </c>
      <c r="F304" t="str">
        <f>PROPER(TRIM([1]raw_orders!F304))</f>
        <v>Consumer</v>
      </c>
      <c r="G304" t="str">
        <f>IF('[1]Cleaned Text Field'!G304="","Unknown",'[1]Cleaned Text Field'!G304)</f>
        <v>West</v>
      </c>
      <c r="H304" t="str">
        <f>PROPER(TRIM([1]raw_orders!H304))</f>
        <v>Goa</v>
      </c>
      <c r="I304" t="str">
        <f>PROPER(TRIM([1]raw_orders!I304))</f>
        <v>Panaji</v>
      </c>
      <c r="J304" t="str">
        <f>PROPER(TRIM([1]raw_orders!J304))</f>
        <v>Office Supplies</v>
      </c>
      <c r="K304" t="str">
        <f>PROPER(TRIM([1]raw_orders!K304))</f>
        <v>Storage</v>
      </c>
      <c r="L304" t="s">
        <v>955</v>
      </c>
      <c r="M304" t="str">
        <f>IF('[1]Cleaned Text Field'!M304="","Unknown",'[1]Cleaned Text Field'!M304)</f>
        <v>Same Day</v>
      </c>
      <c r="N304">
        <f>IF('[1]Cleaned Text Field'!N304="",0,'[1]Cleaned Text Field'!N304)</f>
        <v>2</v>
      </c>
      <c r="O304">
        <v>2703.28</v>
      </c>
      <c r="P304" s="5">
        <f>IF('[1]Cleaned Text Field'!P304="",0,'[1]Cleaned Text Field'!P304)</f>
        <v>0.25</v>
      </c>
      <c r="Q304">
        <v>4054.92</v>
      </c>
      <c r="R304">
        <v>2424.83</v>
      </c>
      <c r="S304">
        <v>1630.09</v>
      </c>
      <c r="T304" t="str">
        <f>PROPER(TRIM([1]raw_orders!T304))</f>
        <v>Paid</v>
      </c>
      <c r="U304" t="str">
        <f>PROPER(TRIM([1]raw_orders!U304))</f>
        <v>Completed</v>
      </c>
      <c r="V304" s="6">
        <f t="shared" si="32"/>
        <v>0.4020029988261174</v>
      </c>
      <c r="W304" t="str">
        <f t="shared" si="33"/>
        <v>April</v>
      </c>
      <c r="X304">
        <f t="shared" si="34"/>
        <v>2025</v>
      </c>
      <c r="Y304">
        <f t="shared" si="35"/>
        <v>67</v>
      </c>
      <c r="Z304" s="7">
        <f t="shared" si="36"/>
        <v>0.25</v>
      </c>
      <c r="AA304">
        <f t="shared" si="37"/>
        <v>4054.92</v>
      </c>
      <c r="AB304">
        <f t="shared" si="38"/>
        <v>1630.0900000000001</v>
      </c>
      <c r="AC304" t="str">
        <f t="shared" si="39"/>
        <v>Clean</v>
      </c>
    </row>
    <row r="305" spans="1:29">
      <c r="A305" t="s">
        <v>956</v>
      </c>
      <c r="B305" s="4">
        <v>45466</v>
      </c>
      <c r="C305" s="4">
        <v>45471</v>
      </c>
      <c r="D305" t="s">
        <v>957</v>
      </c>
      <c r="E305" t="str">
        <f>PROPER(TRIM([1]raw_orders!E305))</f>
        <v>Diya Patel</v>
      </c>
      <c r="F305" t="str">
        <f>PROPER(TRIM([1]raw_orders!F305))</f>
        <v>Home Office</v>
      </c>
      <c r="G305" t="str">
        <f>IF('[1]Cleaned Text Field'!G305="","Unknown",'[1]Cleaned Text Field'!G305)</f>
        <v>West</v>
      </c>
      <c r="H305" t="str">
        <f>PROPER(TRIM([1]raw_orders!H305))</f>
        <v>Gujarat</v>
      </c>
      <c r="I305" t="str">
        <f>PROPER(TRIM([1]raw_orders!I305))</f>
        <v>Ahmedabad</v>
      </c>
      <c r="J305" t="str">
        <f>PROPER(TRIM([1]raw_orders!J305))</f>
        <v>Furniture</v>
      </c>
      <c r="K305" t="str">
        <f>PROPER(TRIM([1]raw_orders!K305))</f>
        <v>Chairs</v>
      </c>
      <c r="L305" t="s">
        <v>958</v>
      </c>
      <c r="M305" t="str">
        <f>IF('[1]Cleaned Text Field'!M305="","Unknown",'[1]Cleaned Text Field'!M305)</f>
        <v>Standard Class</v>
      </c>
      <c r="N305">
        <f>IF('[1]Cleaned Text Field'!N305="",0,'[1]Cleaned Text Field'!N305)</f>
        <v>2</v>
      </c>
      <c r="O305">
        <v>1313.14</v>
      </c>
      <c r="P305" s="5">
        <f>IF('[1]Cleaned Text Field'!P305="",0,'[1]Cleaned Text Field'!P305)</f>
        <v>0.1</v>
      </c>
      <c r="Q305">
        <v>2363.65</v>
      </c>
      <c r="R305">
        <v>1876.1</v>
      </c>
      <c r="S305">
        <v>487.55</v>
      </c>
      <c r="T305" t="str">
        <f>PROPER(TRIM([1]raw_orders!T305))</f>
        <v>Pending</v>
      </c>
      <c r="U305" t="str">
        <f>PROPER(TRIM([1]raw_orders!U305))</f>
        <v>Returned</v>
      </c>
      <c r="V305" s="6">
        <f t="shared" si="32"/>
        <v>0.20626996382713175</v>
      </c>
      <c r="W305" t="str">
        <f t="shared" si="33"/>
        <v>June</v>
      </c>
      <c r="X305">
        <f t="shared" si="34"/>
        <v>2024</v>
      </c>
      <c r="Y305">
        <f t="shared" si="35"/>
        <v>5</v>
      </c>
      <c r="Z305" s="7">
        <f t="shared" si="36"/>
        <v>0.1</v>
      </c>
      <c r="AA305">
        <f t="shared" si="37"/>
        <v>2363.652</v>
      </c>
      <c r="AB305">
        <f t="shared" si="38"/>
        <v>487.55000000000018</v>
      </c>
      <c r="AC305" t="str">
        <f t="shared" si="39"/>
        <v>Clean</v>
      </c>
    </row>
    <row r="306" spans="1:29">
      <c r="A306" t="s">
        <v>959</v>
      </c>
      <c r="B306" s="4">
        <v>45357</v>
      </c>
      <c r="C306" s="4">
        <v>45364</v>
      </c>
      <c r="D306" t="s">
        <v>960</v>
      </c>
      <c r="E306" t="str">
        <f>PROPER(TRIM([1]raw_orders!E306))</f>
        <v>Karan Malhotra</v>
      </c>
      <c r="F306" t="str">
        <f>PROPER(TRIM([1]raw_orders!F306))</f>
        <v>Consumer</v>
      </c>
      <c r="G306" t="str">
        <f>IF('[1]Cleaned Text Field'!G306="","Unknown",'[1]Cleaned Text Field'!G306)</f>
        <v>North</v>
      </c>
      <c r="H306" t="str">
        <f>PROPER(TRIM([1]raw_orders!H306))</f>
        <v>Punjab</v>
      </c>
      <c r="I306" t="str">
        <f>PROPER(TRIM([1]raw_orders!I306))</f>
        <v>Ludhiana</v>
      </c>
      <c r="J306" t="str">
        <f>PROPER(TRIM([1]raw_orders!J306))</f>
        <v>Furniture</v>
      </c>
      <c r="K306" t="str">
        <f>PROPER(TRIM([1]raw_orders!K306))</f>
        <v>Furnishings</v>
      </c>
      <c r="L306" t="s">
        <v>961</v>
      </c>
      <c r="M306" t="str">
        <f>IF('[1]Cleaned Text Field'!M306="","Unknown",'[1]Cleaned Text Field'!M306)</f>
        <v>Standard Class</v>
      </c>
      <c r="N306">
        <f>IF('[1]Cleaned Text Field'!N306="",0,'[1]Cleaned Text Field'!N306)</f>
        <v>6</v>
      </c>
      <c r="O306">
        <v>2403.0500000000002</v>
      </c>
      <c r="P306" s="5">
        <f>IF('[1]Cleaned Text Field'!P306="",0,'[1]Cleaned Text Field'!P306)</f>
        <v>0.1</v>
      </c>
      <c r="Q306">
        <v>12976.47</v>
      </c>
      <c r="R306">
        <v>10019.98</v>
      </c>
      <c r="S306">
        <v>2956.49</v>
      </c>
      <c r="T306" t="str">
        <f>PROPER(TRIM([1]raw_orders!T306))</f>
        <v>Paid</v>
      </c>
      <c r="U306" t="str">
        <f>PROPER(TRIM([1]raw_orders!U306))</f>
        <v>Completed</v>
      </c>
      <c r="V306" s="6">
        <f t="shared" si="32"/>
        <v>0.2278346884784537</v>
      </c>
      <c r="W306" t="str">
        <f t="shared" si="33"/>
        <v>March</v>
      </c>
      <c r="X306">
        <f t="shared" si="34"/>
        <v>2024</v>
      </c>
      <c r="Y306">
        <f t="shared" si="35"/>
        <v>7</v>
      </c>
      <c r="Z306" s="7">
        <f t="shared" si="36"/>
        <v>0.1</v>
      </c>
      <c r="AA306">
        <f t="shared" si="37"/>
        <v>12976.470000000001</v>
      </c>
      <c r="AB306">
        <f t="shared" si="38"/>
        <v>2956.49</v>
      </c>
      <c r="AC306" t="str">
        <f t="shared" si="39"/>
        <v>Clean</v>
      </c>
    </row>
    <row r="307" spans="1:29">
      <c r="A307" t="s">
        <v>962</v>
      </c>
      <c r="B307" s="4">
        <v>45413</v>
      </c>
      <c r="C307" s="4">
        <v>45414</v>
      </c>
      <c r="D307" t="s">
        <v>963</v>
      </c>
      <c r="E307" t="str">
        <f>PROPER(TRIM([1]raw_orders!E307))</f>
        <v>Ananya Rao</v>
      </c>
      <c r="F307" t="str">
        <f>PROPER(TRIM([1]raw_orders!F307))</f>
        <v>Consumer</v>
      </c>
      <c r="G307" t="str">
        <f>IF('[1]Cleaned Text Field'!G307="","Unknown",'[1]Cleaned Text Field'!G307)</f>
        <v>East</v>
      </c>
      <c r="H307" t="str">
        <f>PROPER(TRIM([1]raw_orders!H307))</f>
        <v>Assam</v>
      </c>
      <c r="I307" t="str">
        <f>PROPER(TRIM([1]raw_orders!I307))</f>
        <v>Guwahati</v>
      </c>
      <c r="J307" t="str">
        <f>PROPER(TRIM([1]raw_orders!J307))</f>
        <v>Furniture</v>
      </c>
      <c r="K307" t="str">
        <f>PROPER(TRIM([1]raw_orders!K307))</f>
        <v>Chairs</v>
      </c>
      <c r="L307" t="s">
        <v>964</v>
      </c>
      <c r="M307" t="str">
        <f>IF('[1]Cleaned Text Field'!M307="","Unknown",'[1]Cleaned Text Field'!M307)</f>
        <v>First Class</v>
      </c>
      <c r="N307">
        <f>IF('[1]Cleaned Text Field'!N307="",0,'[1]Cleaned Text Field'!N307)</f>
        <v>4</v>
      </c>
      <c r="O307">
        <v>4156.0600000000004</v>
      </c>
      <c r="P307" s="5">
        <f>IF('[1]Cleaned Text Field'!P307="",0,'[1]Cleaned Text Field'!P307)</f>
        <v>0.55000000000000004</v>
      </c>
      <c r="Q307">
        <v>13299.39</v>
      </c>
      <c r="R307">
        <v>9851.91</v>
      </c>
      <c r="S307">
        <v>3447.48</v>
      </c>
      <c r="T307" t="str">
        <f>PROPER(TRIM([1]raw_orders!T307))</f>
        <v>Paid</v>
      </c>
      <c r="U307" t="str">
        <f>PROPER(TRIM([1]raw_orders!U307))</f>
        <v>Cancelled</v>
      </c>
      <c r="V307" s="6">
        <f t="shared" si="32"/>
        <v>0.25922091163579686</v>
      </c>
      <c r="W307" t="str">
        <f t="shared" si="33"/>
        <v>May</v>
      </c>
      <c r="X307">
        <f t="shared" si="34"/>
        <v>2024</v>
      </c>
      <c r="Y307">
        <f t="shared" si="35"/>
        <v>1</v>
      </c>
      <c r="Z307" s="7">
        <f t="shared" si="36"/>
        <v>0.55000000000000004</v>
      </c>
      <c r="AA307">
        <f t="shared" si="37"/>
        <v>7480.9080000000004</v>
      </c>
      <c r="AB307">
        <f t="shared" si="38"/>
        <v>3447.4799999999996</v>
      </c>
      <c r="AC307" t="str">
        <f t="shared" si="39"/>
        <v>Clean</v>
      </c>
    </row>
    <row r="308" spans="1:29">
      <c r="A308" t="s">
        <v>965</v>
      </c>
      <c r="B308" s="4">
        <v>45708</v>
      </c>
      <c r="C308" s="4">
        <v>45711</v>
      </c>
      <c r="D308" t="s">
        <v>966</v>
      </c>
      <c r="E308" t="str">
        <f>PROPER(TRIM([1]raw_orders!E308))</f>
        <v>Aarav Sharma</v>
      </c>
      <c r="F308" t="str">
        <f>PROPER(TRIM([1]raw_orders!F308))</f>
        <v>Consumer</v>
      </c>
      <c r="G308" t="str">
        <f>IF('[1]Cleaned Text Field'!G308="","Unknown",'[1]Cleaned Text Field'!G308)</f>
        <v>North</v>
      </c>
      <c r="H308" t="str">
        <f>PROPER(TRIM([1]raw_orders!H308))</f>
        <v>Rajasthan</v>
      </c>
      <c r="I308" t="str">
        <f>PROPER(TRIM([1]raw_orders!I308))</f>
        <v>Jaipur</v>
      </c>
      <c r="J308" t="str">
        <f>PROPER(TRIM([1]raw_orders!J308))</f>
        <v>Technology</v>
      </c>
      <c r="K308" t="str">
        <f>PROPER(TRIM([1]raw_orders!K308))</f>
        <v>Phones</v>
      </c>
      <c r="L308" t="s">
        <v>967</v>
      </c>
      <c r="M308" t="str">
        <f>IF('[1]Cleaned Text Field'!M308="","Unknown",'[1]Cleaned Text Field'!M308)</f>
        <v>Second Class</v>
      </c>
      <c r="N308">
        <f>IF('[1]Cleaned Text Field'!N308="",0,'[1]Cleaned Text Field'!N308)</f>
        <v>4</v>
      </c>
      <c r="O308">
        <v>3673.11</v>
      </c>
      <c r="P308" s="5">
        <f>IF('[1]Cleaned Text Field'!P308="",0,'[1]Cleaned Text Field'!P308)</f>
        <v>0</v>
      </c>
      <c r="Q308">
        <v>14692.44</v>
      </c>
      <c r="R308">
        <v>10082.19</v>
      </c>
      <c r="S308">
        <v>4610.25</v>
      </c>
      <c r="T308" t="str">
        <f>PROPER(TRIM([1]raw_orders!T308))</f>
        <v>Paid</v>
      </c>
      <c r="U308" t="str">
        <f>PROPER(TRIM([1]raw_orders!U308))</f>
        <v>Completed</v>
      </c>
      <c r="V308" s="6">
        <f t="shared" si="32"/>
        <v>0.31378382351740075</v>
      </c>
      <c r="W308" t="str">
        <f t="shared" si="33"/>
        <v>February</v>
      </c>
      <c r="X308">
        <f t="shared" si="34"/>
        <v>2025</v>
      </c>
      <c r="Y308">
        <f t="shared" si="35"/>
        <v>3</v>
      </c>
      <c r="Z308" s="7">
        <f t="shared" si="36"/>
        <v>0</v>
      </c>
      <c r="AA308">
        <f t="shared" si="37"/>
        <v>14692.44</v>
      </c>
      <c r="AB308">
        <f t="shared" si="38"/>
        <v>4610.25</v>
      </c>
      <c r="AC308" t="str">
        <f t="shared" si="39"/>
        <v>Clean</v>
      </c>
    </row>
    <row r="309" spans="1:29">
      <c r="A309" t="s">
        <v>968</v>
      </c>
      <c r="B309" s="4">
        <v>45850</v>
      </c>
      <c r="C309" s="4">
        <v>45857</v>
      </c>
      <c r="D309" t="s">
        <v>969</v>
      </c>
      <c r="E309" t="str">
        <f>PROPER(TRIM([1]raw_orders!E309))</f>
        <v>Ananya Rao</v>
      </c>
      <c r="F309" t="str">
        <f>PROPER(TRIM([1]raw_orders!F309))</f>
        <v>Corporate</v>
      </c>
      <c r="G309" t="str">
        <f>IF('[1]Cleaned Text Field'!G309="","Unknown",'[1]Cleaned Text Field'!G309)</f>
        <v>North</v>
      </c>
      <c r="H309" t="str">
        <f>PROPER(TRIM([1]raw_orders!H309))</f>
        <v>Uttar Pradesh</v>
      </c>
      <c r="I309" t="str">
        <f>PROPER(TRIM([1]raw_orders!I309))</f>
        <v>Noida</v>
      </c>
      <c r="J309" t="str">
        <f>PROPER(TRIM([1]raw_orders!J309))</f>
        <v>Furniture</v>
      </c>
      <c r="K309" t="str">
        <f>PROPER(TRIM([1]raw_orders!K309))</f>
        <v>Tables</v>
      </c>
      <c r="L309" t="s">
        <v>970</v>
      </c>
      <c r="M309" t="str">
        <f>IF('[1]Cleaned Text Field'!M309="","Unknown",'[1]Cleaned Text Field'!M309)</f>
        <v>First Class</v>
      </c>
      <c r="N309">
        <f>IF('[1]Cleaned Text Field'!N309="",0,'[1]Cleaned Text Field'!N309)</f>
        <v>9</v>
      </c>
      <c r="O309">
        <v>4093.04</v>
      </c>
      <c r="P309" s="5">
        <f>IF('[1]Cleaned Text Field'!P309="",0,'[1]Cleaned Text Field'!P309)</f>
        <v>0.2</v>
      </c>
      <c r="Q309">
        <v>29469.89</v>
      </c>
      <c r="R309">
        <v>18935.509999999998</v>
      </c>
      <c r="S309">
        <v>10534.38</v>
      </c>
      <c r="T309" t="str">
        <f>PROPER(TRIM([1]raw_orders!T309))</f>
        <v>Pending</v>
      </c>
      <c r="U309" t="str">
        <f>PROPER(TRIM([1]raw_orders!U309))</f>
        <v>Cancelled</v>
      </c>
      <c r="V309" s="6">
        <f t="shared" si="32"/>
        <v>0.35746248119690976</v>
      </c>
      <c r="W309" t="str">
        <f t="shared" si="33"/>
        <v>July</v>
      </c>
      <c r="X309">
        <f t="shared" si="34"/>
        <v>2025</v>
      </c>
      <c r="Y309">
        <f t="shared" si="35"/>
        <v>7</v>
      </c>
      <c r="Z309" s="7">
        <f t="shared" si="36"/>
        <v>0.2</v>
      </c>
      <c r="AA309">
        <f t="shared" si="37"/>
        <v>29469.888000000003</v>
      </c>
      <c r="AB309">
        <f t="shared" si="38"/>
        <v>10534.380000000001</v>
      </c>
      <c r="AC309" t="str">
        <f t="shared" si="39"/>
        <v>Clean</v>
      </c>
    </row>
    <row r="310" spans="1:29">
      <c r="A310" t="s">
        <v>971</v>
      </c>
      <c r="B310" s="4">
        <v>45821</v>
      </c>
      <c r="C310" s="4">
        <v>45827</v>
      </c>
      <c r="D310" t="s">
        <v>972</v>
      </c>
      <c r="E310" t="str">
        <f>PROPER(TRIM([1]raw_orders!E310))</f>
        <v>Rohan Mehta</v>
      </c>
      <c r="F310" t="str">
        <f>PROPER(TRIM([1]raw_orders!F310))</f>
        <v>Consumer</v>
      </c>
      <c r="G310" t="str">
        <f>IF('[1]Cleaned Text Field'!G310="","Unknown",'[1]Cleaned Text Field'!G310)</f>
        <v>North</v>
      </c>
      <c r="H310" t="str">
        <f>PROPER(TRIM([1]raw_orders!H310))</f>
        <v>Rajasthan</v>
      </c>
      <c r="I310" t="str">
        <f>PROPER(TRIM([1]raw_orders!I310))</f>
        <v>Jaipur</v>
      </c>
      <c r="J310" t="str">
        <f>PROPER(TRIM([1]raw_orders!J310))</f>
        <v>Furniture</v>
      </c>
      <c r="K310" t="str">
        <f>PROPER(TRIM([1]raw_orders!K310))</f>
        <v>Tables</v>
      </c>
      <c r="L310" t="s">
        <v>973</v>
      </c>
      <c r="M310" t="str">
        <f>IF('[1]Cleaned Text Field'!M310="","Unknown",'[1]Cleaned Text Field'!M310)</f>
        <v>First Class</v>
      </c>
      <c r="N310">
        <f>IF('[1]Cleaned Text Field'!N310="",0,'[1]Cleaned Text Field'!N310)</f>
        <v>4</v>
      </c>
      <c r="O310">
        <v>731.57</v>
      </c>
      <c r="P310" s="5">
        <f>IF('[1]Cleaned Text Field'!P310="",0,'[1]Cleaned Text Field'!P310)</f>
        <v>0.2</v>
      </c>
      <c r="Q310">
        <v>2341.02</v>
      </c>
      <c r="R310">
        <v>1565.49</v>
      </c>
      <c r="S310">
        <v>775.53</v>
      </c>
      <c r="T310" t="str">
        <f>PROPER(TRIM([1]raw_orders!T310))</f>
        <v>Paid</v>
      </c>
      <c r="U310" t="str">
        <f>PROPER(TRIM([1]raw_orders!U310))</f>
        <v>Completed</v>
      </c>
      <c r="V310" s="6">
        <f t="shared" si="32"/>
        <v>0.33127867339877487</v>
      </c>
      <c r="W310" t="str">
        <f t="shared" si="33"/>
        <v>June</v>
      </c>
      <c r="X310">
        <f t="shared" si="34"/>
        <v>2025</v>
      </c>
      <c r="Y310">
        <f t="shared" si="35"/>
        <v>6</v>
      </c>
      <c r="Z310" s="7">
        <f t="shared" si="36"/>
        <v>0.2</v>
      </c>
      <c r="AA310">
        <f t="shared" si="37"/>
        <v>2341.0240000000003</v>
      </c>
      <c r="AB310">
        <f t="shared" si="38"/>
        <v>775.53</v>
      </c>
      <c r="AC310" t="str">
        <f t="shared" si="39"/>
        <v>Clean</v>
      </c>
    </row>
    <row r="311" spans="1:29">
      <c r="A311" t="s">
        <v>974</v>
      </c>
      <c r="B311" s="4">
        <v>45493</v>
      </c>
      <c r="C311" s="4">
        <v>45495</v>
      </c>
      <c r="D311" t="s">
        <v>975</v>
      </c>
      <c r="E311" t="str">
        <f>PROPER(TRIM([1]raw_orders!E311))</f>
        <v>Ananya Rao</v>
      </c>
      <c r="F311" t="str">
        <f>PROPER(TRIM([1]raw_orders!F311))</f>
        <v>Consumer</v>
      </c>
      <c r="G311" t="str">
        <f>IF('[1]Cleaned Text Field'!G311="","Unknown",'[1]Cleaned Text Field'!G311)</f>
        <v>South</v>
      </c>
      <c r="H311" t="str">
        <f>PROPER(TRIM([1]raw_orders!H311))</f>
        <v>Tamil Nadu</v>
      </c>
      <c r="I311" t="str">
        <f>PROPER(TRIM([1]raw_orders!I311))</f>
        <v>Chennai</v>
      </c>
      <c r="J311" t="str">
        <f>PROPER(TRIM([1]raw_orders!J311))</f>
        <v>Furniture</v>
      </c>
      <c r="K311" t="str">
        <f>PROPER(TRIM([1]raw_orders!K311))</f>
        <v>Tables</v>
      </c>
      <c r="L311" t="s">
        <v>976</v>
      </c>
      <c r="M311" t="str">
        <f>IF('[1]Cleaned Text Field'!M311="","Unknown",'[1]Cleaned Text Field'!M311)</f>
        <v>First Class</v>
      </c>
      <c r="N311">
        <f>IF('[1]Cleaned Text Field'!N311="",0,'[1]Cleaned Text Field'!N311)</f>
        <v>7</v>
      </c>
      <c r="O311">
        <v>2060.73</v>
      </c>
      <c r="P311" s="5">
        <f>IF('[1]Cleaned Text Field'!P311="",0,'[1]Cleaned Text Field'!P311)</f>
        <v>0.1</v>
      </c>
      <c r="Q311">
        <v>12982.6</v>
      </c>
      <c r="R311">
        <v>7246.36</v>
      </c>
      <c r="S311">
        <v>5736.24</v>
      </c>
      <c r="T311" t="str">
        <f>PROPER(TRIM([1]raw_orders!T311))</f>
        <v>Paid</v>
      </c>
      <c r="U311" t="str">
        <f>PROPER(TRIM([1]raw_orders!U311))</f>
        <v>Cancelled</v>
      </c>
      <c r="V311" s="6">
        <f t="shared" si="32"/>
        <v>0.44184061744180669</v>
      </c>
      <c r="W311" t="str">
        <f t="shared" si="33"/>
        <v>July</v>
      </c>
      <c r="X311">
        <f t="shared" si="34"/>
        <v>2024</v>
      </c>
      <c r="Y311">
        <f t="shared" si="35"/>
        <v>2</v>
      </c>
      <c r="Z311" s="7">
        <f t="shared" si="36"/>
        <v>0.1</v>
      </c>
      <c r="AA311">
        <f t="shared" si="37"/>
        <v>12982.599</v>
      </c>
      <c r="AB311">
        <f t="shared" si="38"/>
        <v>5736.2400000000007</v>
      </c>
      <c r="AC311" t="str">
        <f t="shared" si="39"/>
        <v>Clean</v>
      </c>
    </row>
    <row r="312" spans="1:29">
      <c r="A312" t="s">
        <v>977</v>
      </c>
      <c r="B312" s="4">
        <v>45389</v>
      </c>
      <c r="C312" s="4">
        <v>45511</v>
      </c>
      <c r="D312" t="s">
        <v>978</v>
      </c>
      <c r="E312" t="str">
        <f>PROPER(TRIM([1]raw_orders!E312))</f>
        <v>Rohan Mehta</v>
      </c>
      <c r="F312" t="str">
        <f>PROPER(TRIM([1]raw_orders!F312))</f>
        <v>Small Business</v>
      </c>
      <c r="G312" t="str">
        <f>IF('[1]Cleaned Text Field'!G312="","Unknown",'[1]Cleaned Text Field'!G312)</f>
        <v>South</v>
      </c>
      <c r="H312" t="str">
        <f>PROPER(TRIM([1]raw_orders!H312))</f>
        <v>Tamil Nadu</v>
      </c>
      <c r="I312" t="str">
        <f>PROPER(TRIM([1]raw_orders!I312))</f>
        <v>Chennai</v>
      </c>
      <c r="J312" t="str">
        <f>PROPER(TRIM([1]raw_orders!J312))</f>
        <v>Technology</v>
      </c>
      <c r="K312" t="str">
        <f>PROPER(TRIM([1]raw_orders!K312))</f>
        <v>Machines</v>
      </c>
      <c r="L312" t="s">
        <v>979</v>
      </c>
      <c r="M312" t="str">
        <f>IF('[1]Cleaned Text Field'!M312="","Unknown",'[1]Cleaned Text Field'!M312)</f>
        <v>First Class</v>
      </c>
      <c r="N312">
        <f>IF('[1]Cleaned Text Field'!N312="",0,'[1]Cleaned Text Field'!N312)</f>
        <v>8</v>
      </c>
      <c r="O312">
        <v>2034.25</v>
      </c>
      <c r="P312" s="5">
        <f>IF('[1]Cleaned Text Field'!P312="",0,'[1]Cleaned Text Field'!P312)</f>
        <v>0</v>
      </c>
      <c r="Q312">
        <v>16274</v>
      </c>
      <c r="R312">
        <v>9424.25</v>
      </c>
      <c r="S312">
        <v>6849.75</v>
      </c>
      <c r="T312" t="str">
        <f>PROPER(TRIM([1]raw_orders!T312))</f>
        <v>Paid</v>
      </c>
      <c r="U312" t="str">
        <f>PROPER(TRIM([1]raw_orders!U312))</f>
        <v>Completed</v>
      </c>
      <c r="V312" s="6">
        <f t="shared" si="32"/>
        <v>0.42090143787636719</v>
      </c>
      <c r="W312" t="str">
        <f t="shared" si="33"/>
        <v>April</v>
      </c>
      <c r="X312">
        <f t="shared" si="34"/>
        <v>2024</v>
      </c>
      <c r="Y312">
        <f t="shared" si="35"/>
        <v>122</v>
      </c>
      <c r="Z312" s="7">
        <f t="shared" si="36"/>
        <v>0</v>
      </c>
      <c r="AA312">
        <f t="shared" si="37"/>
        <v>16274</v>
      </c>
      <c r="AB312">
        <f t="shared" si="38"/>
        <v>6849.75</v>
      </c>
      <c r="AC312" t="str">
        <f t="shared" si="39"/>
        <v>Clean</v>
      </c>
    </row>
    <row r="313" spans="1:29">
      <c r="A313" t="s">
        <v>980</v>
      </c>
      <c r="B313" s="4">
        <v>45409</v>
      </c>
      <c r="C313" s="4">
        <v>45327</v>
      </c>
      <c r="D313" t="s">
        <v>981</v>
      </c>
      <c r="E313" t="str">
        <f>PROPER(TRIM([1]raw_orders!E313))</f>
        <v>Mira Das</v>
      </c>
      <c r="F313" t="str">
        <f>PROPER(TRIM([1]raw_orders!F313))</f>
        <v>Corporate</v>
      </c>
      <c r="G313" t="str">
        <f>IF('[1]Cleaned Text Field'!G313="","Unknown",'[1]Cleaned Text Field'!G313)</f>
        <v>South</v>
      </c>
      <c r="H313" t="str">
        <f>PROPER(TRIM([1]raw_orders!H313))</f>
        <v>Karnataka</v>
      </c>
      <c r="I313" t="str">
        <f>PROPER(TRIM([1]raw_orders!I313))</f>
        <v>Bengaluru</v>
      </c>
      <c r="J313" t="str">
        <f>PROPER(TRIM([1]raw_orders!J313))</f>
        <v>Office Supplies</v>
      </c>
      <c r="K313" t="str">
        <f>PROPER(TRIM([1]raw_orders!K313))</f>
        <v>Binders</v>
      </c>
      <c r="L313" t="s">
        <v>982</v>
      </c>
      <c r="M313" t="str">
        <f>IF('[1]Cleaned Text Field'!M313="","Unknown",'[1]Cleaned Text Field'!M313)</f>
        <v>Second Class</v>
      </c>
      <c r="N313">
        <f>IF('[1]Cleaned Text Field'!N313="",0,'[1]Cleaned Text Field'!N313)</f>
        <v>5</v>
      </c>
      <c r="O313">
        <v>554.04</v>
      </c>
      <c r="P313" s="5">
        <f>IF('[1]Cleaned Text Field'!P313="",0,'[1]Cleaned Text Field'!P313)</f>
        <v>0.1</v>
      </c>
      <c r="Q313">
        <v>2493.1799999999998</v>
      </c>
      <c r="R313">
        <v>1764</v>
      </c>
      <c r="S313">
        <v>729.18</v>
      </c>
      <c r="T313" t="str">
        <f>PROPER(TRIM([1]raw_orders!T313))</f>
        <v>Paid</v>
      </c>
      <c r="U313" t="str">
        <f>PROPER(TRIM([1]raw_orders!U313))</f>
        <v>Completed</v>
      </c>
      <c r="V313" s="6">
        <f t="shared" si="32"/>
        <v>0.29246985777200202</v>
      </c>
      <c r="W313" t="str">
        <f t="shared" si="33"/>
        <v>April</v>
      </c>
      <c r="X313">
        <f t="shared" si="34"/>
        <v>2024</v>
      </c>
      <c r="Y313">
        <f t="shared" si="35"/>
        <v>-82</v>
      </c>
      <c r="Z313" s="7">
        <f t="shared" si="36"/>
        <v>0.1</v>
      </c>
      <c r="AA313">
        <f t="shared" si="37"/>
        <v>2493.1799999999998</v>
      </c>
      <c r="AB313">
        <f t="shared" si="38"/>
        <v>729.17999999999984</v>
      </c>
      <c r="AC313" t="str">
        <f t="shared" si="39"/>
        <v>Warning</v>
      </c>
    </row>
    <row r="314" spans="1:29">
      <c r="A314" t="s">
        <v>983</v>
      </c>
      <c r="B314" s="4">
        <v>45504</v>
      </c>
      <c r="C314" s="4">
        <v>45390</v>
      </c>
      <c r="D314" t="s">
        <v>984</v>
      </c>
      <c r="E314" t="str">
        <f>PROPER(TRIM([1]raw_orders!E314))</f>
        <v>Karan Malhotra</v>
      </c>
      <c r="F314" t="str">
        <f>PROPER(TRIM([1]raw_orders!F314))</f>
        <v>Small Business</v>
      </c>
      <c r="G314" t="str">
        <f>IF('[1]Cleaned Text Field'!G314="","Unknown",'[1]Cleaned Text Field'!G314)</f>
        <v>East</v>
      </c>
      <c r="H314" t="str">
        <f>PROPER(TRIM([1]raw_orders!H314))</f>
        <v>Assam</v>
      </c>
      <c r="I314" t="str">
        <f>PROPER(TRIM([1]raw_orders!I314))</f>
        <v>Guwahati</v>
      </c>
      <c r="J314" t="str">
        <f>PROPER(TRIM([1]raw_orders!J314))</f>
        <v>Technology</v>
      </c>
      <c r="K314" t="str">
        <f>PROPER(TRIM([1]raw_orders!K314))</f>
        <v>Phones</v>
      </c>
      <c r="L314" t="s">
        <v>985</v>
      </c>
      <c r="M314" t="str">
        <f>IF('[1]Cleaned Text Field'!M314="","Unknown",'[1]Cleaned Text Field'!M314)</f>
        <v>Standard Class</v>
      </c>
      <c r="N314">
        <f>IF('[1]Cleaned Text Field'!N314="",0,'[1]Cleaned Text Field'!N314)</f>
        <v>8</v>
      </c>
      <c r="O314">
        <v>2614.7399999999998</v>
      </c>
      <c r="P314" s="5">
        <f>IF('[1]Cleaned Text Field'!P314="",0,'[1]Cleaned Text Field'!P314)</f>
        <v>0</v>
      </c>
      <c r="Q314">
        <v>15688.44</v>
      </c>
      <c r="R314">
        <v>10047.33</v>
      </c>
      <c r="S314">
        <v>5641.11</v>
      </c>
      <c r="T314" t="str">
        <f>PROPER(TRIM([1]raw_orders!T314))</f>
        <v>Paid</v>
      </c>
      <c r="U314" t="str">
        <f>PROPER(TRIM([1]raw_orders!U314))</f>
        <v>Cancelled</v>
      </c>
      <c r="V314" s="6">
        <f t="shared" si="32"/>
        <v>0.35957112370637229</v>
      </c>
      <c r="W314" t="str">
        <f t="shared" si="33"/>
        <v>July</v>
      </c>
      <c r="X314">
        <f t="shared" si="34"/>
        <v>2024</v>
      </c>
      <c r="Y314">
        <f t="shared" si="35"/>
        <v>-114</v>
      </c>
      <c r="Z314" s="7">
        <f t="shared" si="36"/>
        <v>0</v>
      </c>
      <c r="AA314">
        <f t="shared" si="37"/>
        <v>20917.919999999998</v>
      </c>
      <c r="AB314">
        <f t="shared" si="38"/>
        <v>5641.1100000000006</v>
      </c>
      <c r="AC314" t="str">
        <f t="shared" si="39"/>
        <v>Warning</v>
      </c>
    </row>
    <row r="315" spans="1:29">
      <c r="A315" t="s">
        <v>986</v>
      </c>
      <c r="B315" s="4">
        <v>45807</v>
      </c>
      <c r="C315" s="4">
        <v>45808</v>
      </c>
      <c r="D315" t="s">
        <v>987</v>
      </c>
      <c r="E315" t="str">
        <f>PROPER(TRIM([1]raw_orders!E315))</f>
        <v>Rahul Verma</v>
      </c>
      <c r="F315" t="str">
        <f>PROPER(TRIM([1]raw_orders!F315))</f>
        <v>Corporate</v>
      </c>
      <c r="G315" t="str">
        <f>IF('[1]Cleaned Text Field'!G315="","Unknown",'[1]Cleaned Text Field'!G315)</f>
        <v>North</v>
      </c>
      <c r="H315" t="str">
        <f>PROPER(TRIM([1]raw_orders!H315))</f>
        <v>Uttar Pradesh</v>
      </c>
      <c r="I315" t="str">
        <f>PROPER(TRIM([1]raw_orders!I315))</f>
        <v>Noida</v>
      </c>
      <c r="J315" t="str">
        <f>PROPER(TRIM([1]raw_orders!J315))</f>
        <v>Technology</v>
      </c>
      <c r="K315" t="str">
        <f>PROPER(TRIM([1]raw_orders!K315))</f>
        <v>Phones</v>
      </c>
      <c r="L315" t="s">
        <v>988</v>
      </c>
      <c r="M315" t="str">
        <f>IF('[1]Cleaned Text Field'!M315="","Unknown",'[1]Cleaned Text Field'!M315)</f>
        <v>First Class</v>
      </c>
      <c r="N315">
        <f>IF('[1]Cleaned Text Field'!N315="",0,'[1]Cleaned Text Field'!N315)</f>
        <v>8</v>
      </c>
      <c r="O315">
        <v>2081.4299999999998</v>
      </c>
      <c r="P315" s="5">
        <f>IF('[1]Cleaned Text Field'!P315="",0,'[1]Cleaned Text Field'!P315)</f>
        <v>0.25</v>
      </c>
      <c r="Q315">
        <v>12488.58</v>
      </c>
      <c r="R315">
        <v>10717.4</v>
      </c>
      <c r="S315">
        <v>1771.18</v>
      </c>
      <c r="T315" t="str">
        <f>PROPER(TRIM([1]raw_orders!T315))</f>
        <v>Refunded</v>
      </c>
      <c r="U315" t="str">
        <f>PROPER(TRIM([1]raw_orders!U315))</f>
        <v>Cancelled</v>
      </c>
      <c r="V315" s="6">
        <f t="shared" si="32"/>
        <v>0.14182397037933858</v>
      </c>
      <c r="W315" t="str">
        <f t="shared" si="33"/>
        <v>May</v>
      </c>
      <c r="X315">
        <f t="shared" si="34"/>
        <v>2025</v>
      </c>
      <c r="Y315">
        <f t="shared" si="35"/>
        <v>1</v>
      </c>
      <c r="Z315" s="7">
        <f t="shared" si="36"/>
        <v>0.25</v>
      </c>
      <c r="AA315">
        <f t="shared" si="37"/>
        <v>12488.579999999998</v>
      </c>
      <c r="AB315">
        <f t="shared" si="38"/>
        <v>1771.1800000000003</v>
      </c>
      <c r="AC315" t="str">
        <f t="shared" si="39"/>
        <v>Clean</v>
      </c>
    </row>
    <row r="316" spans="1:29">
      <c r="A316" t="s">
        <v>989</v>
      </c>
      <c r="B316" s="4">
        <v>45795</v>
      </c>
      <c r="C316" s="4">
        <v>45797</v>
      </c>
      <c r="D316" t="s">
        <v>990</v>
      </c>
      <c r="E316" t="str">
        <f>PROPER(TRIM([1]raw_orders!E316))</f>
        <v>Isha Nair</v>
      </c>
      <c r="F316" t="str">
        <f>PROPER(TRIM([1]raw_orders!F316))</f>
        <v>Corporate</v>
      </c>
      <c r="G316" t="str">
        <f>IF('[1]Cleaned Text Field'!G316="","Unknown",'[1]Cleaned Text Field'!G316)</f>
        <v>West</v>
      </c>
      <c r="H316" t="str">
        <f>PROPER(TRIM([1]raw_orders!H316))</f>
        <v>Madhya Pradesh</v>
      </c>
      <c r="I316" t="str">
        <f>PROPER(TRIM([1]raw_orders!I316))</f>
        <v>Indore</v>
      </c>
      <c r="J316" t="str">
        <f>PROPER(TRIM([1]raw_orders!J316))</f>
        <v>Office Supplies</v>
      </c>
      <c r="K316" t="str">
        <f>PROPER(TRIM([1]raw_orders!K316))</f>
        <v>Labels</v>
      </c>
      <c r="L316" t="s">
        <v>991</v>
      </c>
      <c r="M316" t="str">
        <f>IF('[1]Cleaned Text Field'!M316="","Unknown",'[1]Cleaned Text Field'!M316)</f>
        <v>Standard Class</v>
      </c>
      <c r="N316">
        <f>IF('[1]Cleaned Text Field'!N316="",0,'[1]Cleaned Text Field'!N316)</f>
        <v>9</v>
      </c>
      <c r="O316">
        <v>847.76</v>
      </c>
      <c r="P316" s="5">
        <f>IF('[1]Cleaned Text Field'!P316="",0,'[1]Cleaned Text Field'!P316)</f>
        <v>0.15</v>
      </c>
      <c r="Q316">
        <v>6485.36</v>
      </c>
      <c r="R316">
        <v>5376.17</v>
      </c>
      <c r="S316">
        <v>1109.19</v>
      </c>
      <c r="T316" t="str">
        <f>PROPER(TRIM([1]raw_orders!T316))</f>
        <v>Failed</v>
      </c>
      <c r="U316" t="str">
        <f>PROPER(TRIM([1]raw_orders!U316))</f>
        <v>Returned</v>
      </c>
      <c r="V316" s="6">
        <f t="shared" si="32"/>
        <v>0.17102982717998694</v>
      </c>
      <c r="W316" t="str">
        <f t="shared" si="33"/>
        <v>May</v>
      </c>
      <c r="X316">
        <f t="shared" si="34"/>
        <v>2025</v>
      </c>
      <c r="Y316">
        <f t="shared" si="35"/>
        <v>2</v>
      </c>
      <c r="Z316" s="7">
        <f t="shared" si="36"/>
        <v>0.15</v>
      </c>
      <c r="AA316">
        <f t="shared" si="37"/>
        <v>6485.3639999999996</v>
      </c>
      <c r="AB316">
        <f t="shared" si="38"/>
        <v>1109.1899999999996</v>
      </c>
      <c r="AC316" t="str">
        <f t="shared" si="39"/>
        <v>Clean</v>
      </c>
    </row>
    <row r="317" spans="1:29">
      <c r="A317" t="s">
        <v>992</v>
      </c>
      <c r="B317" s="4">
        <v>45475</v>
      </c>
      <c r="C317" s="4">
        <v>45481</v>
      </c>
      <c r="D317" t="s">
        <v>993</v>
      </c>
      <c r="E317" t="str">
        <f>PROPER(TRIM([1]raw_orders!E317))</f>
        <v>Rohan Mehta</v>
      </c>
      <c r="F317" t="str">
        <f>PROPER(TRIM([1]raw_orders!F317))</f>
        <v>Consumer</v>
      </c>
      <c r="G317" t="str">
        <f>IF('[1]Cleaned Text Field'!G317="","Unknown",'[1]Cleaned Text Field'!G317)</f>
        <v>North</v>
      </c>
      <c r="H317" t="str">
        <f>PROPER(TRIM([1]raw_orders!H317))</f>
        <v>Delhi</v>
      </c>
      <c r="I317" t="str">
        <f>PROPER(TRIM([1]raw_orders!I317))</f>
        <v>New Delhi</v>
      </c>
      <c r="J317" t="str">
        <f>PROPER(TRIM([1]raw_orders!J317))</f>
        <v>Office Supplies</v>
      </c>
      <c r="K317" t="str">
        <f>PROPER(TRIM([1]raw_orders!K317))</f>
        <v>Paper</v>
      </c>
      <c r="L317" t="s">
        <v>994</v>
      </c>
      <c r="M317" t="str">
        <f>IF('[1]Cleaned Text Field'!M317="","Unknown",'[1]Cleaned Text Field'!M317)</f>
        <v>Standard Class</v>
      </c>
      <c r="N317">
        <f>IF('[1]Cleaned Text Field'!N317="",0,'[1]Cleaned Text Field'!N317)</f>
        <v>9</v>
      </c>
      <c r="O317">
        <v>3450.4</v>
      </c>
      <c r="P317" s="5">
        <f>IF('[1]Cleaned Text Field'!P317="",0,'[1]Cleaned Text Field'!P317)</f>
        <v>0.05</v>
      </c>
      <c r="Q317">
        <v>29500.92</v>
      </c>
      <c r="R317">
        <v>17989.68</v>
      </c>
      <c r="S317">
        <v>11511.24</v>
      </c>
      <c r="T317" t="str">
        <f>PROPER(TRIM([1]raw_orders!T317))</f>
        <v>Pending</v>
      </c>
      <c r="U317" t="str">
        <f>PROPER(TRIM([1]raw_orders!U317))</f>
        <v>Returned</v>
      </c>
      <c r="V317" s="6">
        <f t="shared" si="32"/>
        <v>0.39019935649464493</v>
      </c>
      <c r="W317" t="str">
        <f t="shared" si="33"/>
        <v>July</v>
      </c>
      <c r="X317">
        <f t="shared" si="34"/>
        <v>2024</v>
      </c>
      <c r="Y317">
        <f t="shared" si="35"/>
        <v>6</v>
      </c>
      <c r="Z317" s="7">
        <f t="shared" si="36"/>
        <v>0.05</v>
      </c>
      <c r="AA317">
        <f t="shared" si="37"/>
        <v>29500.920000000002</v>
      </c>
      <c r="AB317">
        <f t="shared" si="38"/>
        <v>11511.239999999998</v>
      </c>
      <c r="AC317" t="str">
        <f t="shared" si="39"/>
        <v>Clean</v>
      </c>
    </row>
    <row r="318" spans="1:29">
      <c r="A318" t="s">
        <v>995</v>
      </c>
      <c r="B318" s="4">
        <v>45338</v>
      </c>
      <c r="C318" s="4">
        <v>45340</v>
      </c>
      <c r="D318" t="s">
        <v>996</v>
      </c>
      <c r="E318" t="str">
        <f>PROPER(TRIM([1]raw_orders!E318))</f>
        <v>Karan Malhotra</v>
      </c>
      <c r="F318" t="str">
        <f>PROPER(TRIM([1]raw_orders!F318))</f>
        <v>Corporate</v>
      </c>
      <c r="G318" t="str">
        <f>IF('[1]Cleaned Text Field'!G318="","Unknown",'[1]Cleaned Text Field'!G318)</f>
        <v>North</v>
      </c>
      <c r="H318" t="str">
        <f>PROPER(TRIM([1]raw_orders!H318))</f>
        <v>Punjab</v>
      </c>
      <c r="I318" t="str">
        <f>PROPER(TRIM([1]raw_orders!I318))</f>
        <v>Ludhiana</v>
      </c>
      <c r="J318" t="str">
        <f>PROPER(TRIM([1]raw_orders!J318))</f>
        <v>Office Supplies</v>
      </c>
      <c r="K318" t="str">
        <f>PROPER(TRIM([1]raw_orders!K318))</f>
        <v>Labels</v>
      </c>
      <c r="L318" t="s">
        <v>997</v>
      </c>
      <c r="M318" t="str">
        <f>IF('[1]Cleaned Text Field'!M318="","Unknown",'[1]Cleaned Text Field'!M318)</f>
        <v>Standard Class</v>
      </c>
      <c r="N318">
        <f>IF('[1]Cleaned Text Field'!N318="",0,'[1]Cleaned Text Field'!N318)</f>
        <v>2</v>
      </c>
      <c r="O318">
        <v>1947.53</v>
      </c>
      <c r="P318" s="5">
        <f>IF('[1]Cleaned Text Field'!P318="",0,'[1]Cleaned Text Field'!P318)</f>
        <v>0.2</v>
      </c>
      <c r="Q318">
        <v>3116.05</v>
      </c>
      <c r="R318">
        <v>1956.63</v>
      </c>
      <c r="S318">
        <v>1159.42</v>
      </c>
      <c r="T318" t="str">
        <f>PROPER(TRIM([1]raw_orders!T318))</f>
        <v>Paid</v>
      </c>
      <c r="U318" t="str">
        <f>PROPER(TRIM([1]raw_orders!U318))</f>
        <v>Cancelled</v>
      </c>
      <c r="V318" s="6">
        <f t="shared" si="32"/>
        <v>0.37208003722661703</v>
      </c>
      <c r="W318" t="str">
        <f t="shared" si="33"/>
        <v>February</v>
      </c>
      <c r="X318">
        <f t="shared" si="34"/>
        <v>2024</v>
      </c>
      <c r="Y318">
        <f t="shared" si="35"/>
        <v>2</v>
      </c>
      <c r="Z318" s="7">
        <f t="shared" si="36"/>
        <v>0.2</v>
      </c>
      <c r="AA318">
        <f t="shared" si="37"/>
        <v>3116.0480000000002</v>
      </c>
      <c r="AB318">
        <f t="shared" si="38"/>
        <v>1159.42</v>
      </c>
      <c r="AC318" t="str">
        <f t="shared" si="39"/>
        <v>Clean</v>
      </c>
    </row>
    <row r="319" spans="1:29">
      <c r="A319" t="s">
        <v>998</v>
      </c>
      <c r="B319" s="4">
        <v>45898</v>
      </c>
      <c r="C319" s="4">
        <v>45904</v>
      </c>
      <c r="D319" t="s">
        <v>999</v>
      </c>
      <c r="E319" t="str">
        <f>PROPER(TRIM([1]raw_orders!E319))</f>
        <v>Neha Gupta</v>
      </c>
      <c r="F319" t="str">
        <f>PROPER(TRIM([1]raw_orders!F319))</f>
        <v>Corporate</v>
      </c>
      <c r="G319" t="str">
        <f>IF('[1]Cleaned Text Field'!G319="","Unknown",'[1]Cleaned Text Field'!G319)</f>
        <v>South</v>
      </c>
      <c r="H319" t="str">
        <f>PROPER(TRIM([1]raw_orders!H319))</f>
        <v>Kerala</v>
      </c>
      <c r="I319" t="str">
        <f>PROPER(TRIM([1]raw_orders!I319))</f>
        <v>Kochi</v>
      </c>
      <c r="J319" t="str">
        <f>PROPER(TRIM([1]raw_orders!J319))</f>
        <v>Furniture</v>
      </c>
      <c r="K319" t="str">
        <f>PROPER(TRIM([1]raw_orders!K319))</f>
        <v>Tables</v>
      </c>
      <c r="L319" t="s">
        <v>1000</v>
      </c>
      <c r="M319" t="str">
        <f>IF('[1]Cleaned Text Field'!M319="","Unknown",'[1]Cleaned Text Field'!M319)</f>
        <v>First Class</v>
      </c>
      <c r="N319">
        <f>IF('[1]Cleaned Text Field'!N319="",0,'[1]Cleaned Text Field'!N319)</f>
        <v>9</v>
      </c>
      <c r="O319">
        <v>2996.97</v>
      </c>
      <c r="P319" s="5">
        <f>IF('[1]Cleaned Text Field'!P319="",0,'[1]Cleaned Text Field'!P319)</f>
        <v>0.15</v>
      </c>
      <c r="Q319">
        <v>22926.82</v>
      </c>
      <c r="R319">
        <v>14621.59</v>
      </c>
      <c r="S319">
        <v>8305.23</v>
      </c>
      <c r="T319" t="str">
        <f>PROPER(TRIM([1]raw_orders!T319))</f>
        <v>Paid</v>
      </c>
      <c r="U319" t="str">
        <f>PROPER(TRIM([1]raw_orders!U319))</f>
        <v>Completed</v>
      </c>
      <c r="V319" s="6">
        <f t="shared" si="32"/>
        <v>0.36224954005832471</v>
      </c>
      <c r="W319" t="str">
        <f t="shared" si="33"/>
        <v>August</v>
      </c>
      <c r="X319">
        <f t="shared" si="34"/>
        <v>2025</v>
      </c>
      <c r="Y319">
        <f t="shared" si="35"/>
        <v>6</v>
      </c>
      <c r="Z319" s="7">
        <f t="shared" si="36"/>
        <v>0.15</v>
      </c>
      <c r="AA319">
        <f t="shared" si="37"/>
        <v>22926.820499999998</v>
      </c>
      <c r="AB319">
        <f t="shared" si="38"/>
        <v>8305.23</v>
      </c>
      <c r="AC319" t="str">
        <f t="shared" si="39"/>
        <v>Clean</v>
      </c>
    </row>
    <row r="320" spans="1:29">
      <c r="A320" t="s">
        <v>1001</v>
      </c>
      <c r="B320" s="4">
        <v>45407</v>
      </c>
      <c r="C320" s="4">
        <v>45412</v>
      </c>
      <c r="D320" t="s">
        <v>1002</v>
      </c>
      <c r="E320" t="str">
        <f>PROPER(TRIM([1]raw_orders!E320))</f>
        <v>Mira Das</v>
      </c>
      <c r="F320" t="str">
        <f>PROPER(TRIM([1]raw_orders!F320))</f>
        <v>Small Business</v>
      </c>
      <c r="G320" t="str">
        <f>IF('[1]Cleaned Text Field'!G320="","Unknown",'[1]Cleaned Text Field'!G320)</f>
        <v>South</v>
      </c>
      <c r="H320" t="str">
        <f>PROPER(TRIM([1]raw_orders!H320))</f>
        <v>Karnataka</v>
      </c>
      <c r="I320" t="str">
        <f>PROPER(TRIM([1]raw_orders!I320))</f>
        <v>Bengaluru</v>
      </c>
      <c r="J320" t="str">
        <f>PROPER(TRIM([1]raw_orders!J320))</f>
        <v>Technology</v>
      </c>
      <c r="K320" t="str">
        <f>PROPER(TRIM([1]raw_orders!K320))</f>
        <v>Phones</v>
      </c>
      <c r="L320" t="s">
        <v>1003</v>
      </c>
      <c r="M320" t="str">
        <f>IF('[1]Cleaned Text Field'!M320="","Unknown",'[1]Cleaned Text Field'!M320)</f>
        <v>Standard Class</v>
      </c>
      <c r="N320">
        <f>IF('[1]Cleaned Text Field'!N320="",0,'[1]Cleaned Text Field'!N320)</f>
        <v>3</v>
      </c>
      <c r="O320">
        <v>4149.46</v>
      </c>
      <c r="P320" s="5">
        <f>IF('[1]Cleaned Text Field'!P320="",0,'[1]Cleaned Text Field'!P320)</f>
        <v>0.1</v>
      </c>
      <c r="Q320">
        <v>11203.54</v>
      </c>
      <c r="R320">
        <v>8452.93</v>
      </c>
      <c r="S320">
        <v>2750.61</v>
      </c>
      <c r="T320" t="str">
        <f>PROPER(TRIM([1]raw_orders!T320))</f>
        <v>Paid</v>
      </c>
      <c r="U320" t="str">
        <f>PROPER(TRIM([1]raw_orders!U320))</f>
        <v>Completed</v>
      </c>
      <c r="V320" s="6">
        <f t="shared" si="32"/>
        <v>0.24551257905983287</v>
      </c>
      <c r="W320" t="str">
        <f t="shared" si="33"/>
        <v>April</v>
      </c>
      <c r="X320">
        <f t="shared" si="34"/>
        <v>2024</v>
      </c>
      <c r="Y320">
        <f t="shared" si="35"/>
        <v>5</v>
      </c>
      <c r="Z320" s="7">
        <f t="shared" si="36"/>
        <v>0.1</v>
      </c>
      <c r="AA320">
        <f t="shared" si="37"/>
        <v>11203.542000000001</v>
      </c>
      <c r="AB320">
        <f t="shared" si="38"/>
        <v>2750.6100000000006</v>
      </c>
      <c r="AC320" t="str">
        <f t="shared" si="39"/>
        <v>Clean</v>
      </c>
    </row>
    <row r="321" spans="1:29">
      <c r="A321" t="s">
        <v>1004</v>
      </c>
      <c r="B321" s="4">
        <v>45525</v>
      </c>
      <c r="C321" s="4">
        <v>45529</v>
      </c>
      <c r="D321" t="s">
        <v>1005</v>
      </c>
      <c r="E321" t="str">
        <f>PROPER(TRIM([1]raw_orders!E321))</f>
        <v>Diya Patel</v>
      </c>
      <c r="F321" t="str">
        <f>PROPER(TRIM([1]raw_orders!F321))</f>
        <v>Consumer</v>
      </c>
      <c r="G321" t="str">
        <f>IF('[1]Cleaned Text Field'!G321="","Unknown",'[1]Cleaned Text Field'!G321)</f>
        <v>West</v>
      </c>
      <c r="H321" t="str">
        <f>PROPER(TRIM([1]raw_orders!H321))</f>
        <v>Gujarat</v>
      </c>
      <c r="I321" t="str">
        <f>PROPER(TRIM([1]raw_orders!I321))</f>
        <v>Ahmedabad</v>
      </c>
      <c r="J321" t="str">
        <f>PROPER(TRIM([1]raw_orders!J321))</f>
        <v>Office Supplies</v>
      </c>
      <c r="K321" t="str">
        <f>PROPER(TRIM([1]raw_orders!K321))</f>
        <v>Binders</v>
      </c>
      <c r="L321" t="s">
        <v>1006</v>
      </c>
      <c r="M321" t="str">
        <f>IF('[1]Cleaned Text Field'!M321="","Unknown",'[1]Cleaned Text Field'!M321)</f>
        <v>First Class</v>
      </c>
      <c r="N321">
        <f>IF('[1]Cleaned Text Field'!N321="",0,'[1]Cleaned Text Field'!N321)</f>
        <v>1</v>
      </c>
      <c r="O321">
        <v>270.27999999999997</v>
      </c>
      <c r="P321" s="5">
        <f>IF('[1]Cleaned Text Field'!P321="",0,'[1]Cleaned Text Field'!P321)</f>
        <v>0</v>
      </c>
      <c r="Q321">
        <v>270.27999999999997</v>
      </c>
      <c r="R321">
        <v>156.34</v>
      </c>
      <c r="S321">
        <v>113.94</v>
      </c>
      <c r="T321" t="str">
        <f>PROPER(TRIM([1]raw_orders!T321))</f>
        <v>Paid</v>
      </c>
      <c r="U321" t="str">
        <f>PROPER(TRIM([1]raw_orders!U321))</f>
        <v>Completed</v>
      </c>
      <c r="V321" s="6">
        <f t="shared" si="32"/>
        <v>0.42156282373834547</v>
      </c>
      <c r="W321" t="str">
        <f t="shared" si="33"/>
        <v>August</v>
      </c>
      <c r="X321">
        <f t="shared" si="34"/>
        <v>2024</v>
      </c>
      <c r="Y321">
        <f t="shared" si="35"/>
        <v>4</v>
      </c>
      <c r="Z321" s="7">
        <f t="shared" si="36"/>
        <v>0</v>
      </c>
      <c r="AA321">
        <f t="shared" si="37"/>
        <v>270.27999999999997</v>
      </c>
      <c r="AB321">
        <f t="shared" si="38"/>
        <v>113.93999999999997</v>
      </c>
      <c r="AC321" t="str">
        <f t="shared" si="39"/>
        <v>Clean</v>
      </c>
    </row>
    <row r="322" spans="1:29">
      <c r="A322" t="s">
        <v>1007</v>
      </c>
      <c r="B322" s="4">
        <v>45630</v>
      </c>
      <c r="C322" s="4">
        <v>45632</v>
      </c>
      <c r="D322" t="s">
        <v>1008</v>
      </c>
      <c r="E322" t="str">
        <f>PROPER(TRIM([1]raw_orders!E322))</f>
        <v>Aarav Sharma</v>
      </c>
      <c r="F322" t="str">
        <f>PROPER(TRIM([1]raw_orders!F322))</f>
        <v>Home Office</v>
      </c>
      <c r="G322" t="str">
        <f>IF('[1]Cleaned Text Field'!G322="","Unknown",'[1]Cleaned Text Field'!G322)</f>
        <v>East</v>
      </c>
      <c r="H322" t="str">
        <f>PROPER(TRIM([1]raw_orders!H322))</f>
        <v>West Bengal</v>
      </c>
      <c r="I322" t="str">
        <f>PROPER(TRIM([1]raw_orders!I322))</f>
        <v>Kolkata</v>
      </c>
      <c r="J322" t="str">
        <f>PROPER(TRIM([1]raw_orders!J322))</f>
        <v>Office Supplies</v>
      </c>
      <c r="K322" t="str">
        <f>PROPER(TRIM([1]raw_orders!K322))</f>
        <v>Art</v>
      </c>
      <c r="L322" t="s">
        <v>1009</v>
      </c>
      <c r="M322" t="str">
        <f>IF('[1]Cleaned Text Field'!M322="","Unknown",'[1]Cleaned Text Field'!M322)</f>
        <v>Second Class</v>
      </c>
      <c r="N322">
        <f>IF('[1]Cleaned Text Field'!N322="",0,'[1]Cleaned Text Field'!N322)</f>
        <v>3</v>
      </c>
      <c r="O322">
        <v>876.14</v>
      </c>
      <c r="P322" s="5" t="str">
        <f>IF('[1]Cleaned Text Field'!P322="",0,'[1]Cleaned Text Field'!P322)</f>
        <v>70%</v>
      </c>
      <c r="Q322">
        <v>2628.42</v>
      </c>
      <c r="R322">
        <v>1541.54</v>
      </c>
      <c r="S322">
        <v>1086.8800000000001</v>
      </c>
      <c r="T322" t="str">
        <f>PROPER(TRIM([1]raw_orders!T322))</f>
        <v>Pending</v>
      </c>
      <c r="U322" t="str">
        <f>PROPER(TRIM([1]raw_orders!U322))</f>
        <v>Returned</v>
      </c>
      <c r="V322" s="6">
        <f t="shared" si="32"/>
        <v>0.41351077833831734</v>
      </c>
      <c r="W322" t="str">
        <f t="shared" si="33"/>
        <v>December</v>
      </c>
      <c r="X322">
        <f t="shared" si="34"/>
        <v>2024</v>
      </c>
      <c r="Y322">
        <f t="shared" si="35"/>
        <v>2</v>
      </c>
      <c r="Z322" s="7">
        <f>VALUE(SUBSTITUTE(P322,"%",""))/100</f>
        <v>0.7</v>
      </c>
      <c r="AA322">
        <f t="shared" si="37"/>
        <v>788.52600000000018</v>
      </c>
      <c r="AB322">
        <f t="shared" si="38"/>
        <v>1086.8800000000001</v>
      </c>
      <c r="AC322" t="str">
        <f t="shared" si="39"/>
        <v>Clean</v>
      </c>
    </row>
    <row r="323" spans="1:29">
      <c r="A323" t="s">
        <v>1010</v>
      </c>
      <c r="B323" s="4">
        <v>45466</v>
      </c>
      <c r="C323" s="4">
        <v>45473</v>
      </c>
      <c r="D323" t="s">
        <v>1011</v>
      </c>
      <c r="E323" t="str">
        <f>PROPER(TRIM([1]raw_orders!E323))</f>
        <v>Neha Gupta</v>
      </c>
      <c r="F323" t="str">
        <f>PROPER(TRIM([1]raw_orders!F323))</f>
        <v>Small Business</v>
      </c>
      <c r="G323" t="str">
        <f>IF('[1]Cleaned Text Field'!G323="","Unknown",'[1]Cleaned Text Field'!G323)</f>
        <v>West</v>
      </c>
      <c r="H323" t="str">
        <f>PROPER(TRIM([1]raw_orders!H323))</f>
        <v>Goa</v>
      </c>
      <c r="I323" t="str">
        <f>PROPER(TRIM([1]raw_orders!I323))</f>
        <v>Panaji</v>
      </c>
      <c r="J323" t="str">
        <f>PROPER(TRIM([1]raw_orders!J323))</f>
        <v>Technology</v>
      </c>
      <c r="K323" t="str">
        <f>PROPER(TRIM([1]raw_orders!K323))</f>
        <v>Accessories</v>
      </c>
      <c r="L323" t="s">
        <v>1012</v>
      </c>
      <c r="M323" t="str">
        <f>IF('[1]Cleaned Text Field'!M323="","Unknown",'[1]Cleaned Text Field'!M323)</f>
        <v>Same Day</v>
      </c>
      <c r="N323">
        <f>IF('[1]Cleaned Text Field'!N323="",0,'[1]Cleaned Text Field'!N323)</f>
        <v>4</v>
      </c>
      <c r="O323">
        <v>674.82</v>
      </c>
      <c r="P323" s="5">
        <f>IF('[1]Cleaned Text Field'!P323="",0,'[1]Cleaned Text Field'!P323)</f>
        <v>0</v>
      </c>
      <c r="Q323">
        <v>2699.28</v>
      </c>
      <c r="R323">
        <v>1759.76</v>
      </c>
      <c r="S323">
        <v>939.52</v>
      </c>
      <c r="T323" t="str">
        <f>PROPER(TRIM([1]raw_orders!T323))</f>
        <v>Failed</v>
      </c>
      <c r="U323" t="str">
        <f>PROPER(TRIM([1]raw_orders!U323))</f>
        <v>Cancelled</v>
      </c>
      <c r="V323" s="6">
        <f t="shared" ref="V323:V386" si="40">IF(Q323=0,0,S323/Q323)</f>
        <v>0.34806318722029578</v>
      </c>
      <c r="W323" t="str">
        <f t="shared" ref="W323:W386" si="41">TEXT(B323,"mmmm")</f>
        <v>June</v>
      </c>
      <c r="X323">
        <f t="shared" ref="X323:X386" si="42">YEAR(B323)</f>
        <v>2024</v>
      </c>
      <c r="Y323">
        <f t="shared" ref="Y323:Y386" si="43">C323-B323</f>
        <v>7</v>
      </c>
      <c r="Z323" s="7">
        <f t="shared" ref="Z323:Z386" si="44">P323</f>
        <v>0</v>
      </c>
      <c r="AA323">
        <f t="shared" ref="AA323:AA386" si="45">N323*O323*(1-P323)</f>
        <v>2699.28</v>
      </c>
      <c r="AB323">
        <f t="shared" ref="AB323:AB386" si="46">Q323-R323</f>
        <v>939.52000000000021</v>
      </c>
      <c r="AC323" t="str">
        <f t="shared" ref="AC323:AC386" si="47">IF(OR(B323="",C323="",AA323&lt;=0),"Invalid",IF(Y323&lt;0,"Warning",IF(Z323&gt;100%,"Warning","Clean")))</f>
        <v>Clean</v>
      </c>
    </row>
    <row r="324" spans="1:29">
      <c r="A324" t="s">
        <v>1013</v>
      </c>
      <c r="B324" s="4">
        <v>45608</v>
      </c>
      <c r="C324" s="4">
        <v>45637</v>
      </c>
      <c r="D324" t="s">
        <v>1014</v>
      </c>
      <c r="E324" t="str">
        <f>PROPER(TRIM([1]raw_orders!E324))</f>
        <v>Isha Nair</v>
      </c>
      <c r="F324" t="str">
        <f>PROPER(TRIM([1]raw_orders!F324))</f>
        <v>Consumer</v>
      </c>
      <c r="G324" t="str">
        <f>IF('[1]Cleaned Text Field'!G324="","Unknown",'[1]Cleaned Text Field'!G324)</f>
        <v>North</v>
      </c>
      <c r="H324" t="str">
        <f>PROPER(TRIM([1]raw_orders!H324))</f>
        <v>Uttar Pradesh</v>
      </c>
      <c r="I324" t="str">
        <f>PROPER(TRIM([1]raw_orders!I324))</f>
        <v>Noida</v>
      </c>
      <c r="J324" t="str">
        <f>PROPER(TRIM([1]raw_orders!J324))</f>
        <v>Technology</v>
      </c>
      <c r="K324" t="str">
        <f>PROPER(TRIM([1]raw_orders!K324))</f>
        <v>Phones</v>
      </c>
      <c r="L324" t="s">
        <v>1015</v>
      </c>
      <c r="M324" t="str">
        <f>IF('[1]Cleaned Text Field'!M324="","Unknown",'[1]Cleaned Text Field'!M324)</f>
        <v>Second Class</v>
      </c>
      <c r="N324">
        <f>IF('[1]Cleaned Text Field'!N324="",0,'[1]Cleaned Text Field'!N324)</f>
        <v>6</v>
      </c>
      <c r="O324">
        <v>1369.48</v>
      </c>
      <c r="P324" s="5">
        <f>IF('[1]Cleaned Text Field'!P324="",0,'[1]Cleaned Text Field'!P324)</f>
        <v>0.15</v>
      </c>
      <c r="Q324">
        <v>6984.35</v>
      </c>
      <c r="R324">
        <v>4023.63</v>
      </c>
      <c r="S324">
        <v>2960.72</v>
      </c>
      <c r="T324" t="str">
        <f>PROPER(TRIM([1]raw_orders!T324))</f>
        <v>Paid</v>
      </c>
      <c r="U324" t="str">
        <f>PROPER(TRIM([1]raw_orders!U324))</f>
        <v>Completed</v>
      </c>
      <c r="V324" s="6">
        <f t="shared" si="40"/>
        <v>0.42390773658250225</v>
      </c>
      <c r="W324" t="str">
        <f t="shared" si="41"/>
        <v>November</v>
      </c>
      <c r="X324">
        <f t="shared" si="42"/>
        <v>2024</v>
      </c>
      <c r="Y324">
        <f t="shared" si="43"/>
        <v>29</v>
      </c>
      <c r="Z324" s="7">
        <f t="shared" si="44"/>
        <v>0.15</v>
      </c>
      <c r="AA324">
        <f t="shared" si="45"/>
        <v>6984.3480000000009</v>
      </c>
      <c r="AB324">
        <f t="shared" si="46"/>
        <v>2960.7200000000003</v>
      </c>
      <c r="AC324" t="str">
        <f t="shared" si="47"/>
        <v>Clean</v>
      </c>
    </row>
    <row r="325" spans="1:29">
      <c r="A325" t="s">
        <v>1016</v>
      </c>
      <c r="B325" s="4">
        <v>45347</v>
      </c>
      <c r="C325" s="4">
        <v>45351</v>
      </c>
      <c r="D325" t="s">
        <v>1017</v>
      </c>
      <c r="E325" t="str">
        <f>PROPER(TRIM([1]raw_orders!E325))</f>
        <v>Isha Nair</v>
      </c>
      <c r="F325" t="str">
        <f>PROPER(TRIM([1]raw_orders!F325))</f>
        <v>Small Business</v>
      </c>
      <c r="G325" t="str">
        <f>IF('[1]Cleaned Text Field'!G325="","Unknown",'[1]Cleaned Text Field'!G325)</f>
        <v>West</v>
      </c>
      <c r="H325" t="str">
        <f>PROPER(TRIM([1]raw_orders!H325))</f>
        <v>Goa</v>
      </c>
      <c r="I325" t="str">
        <f>PROPER(TRIM([1]raw_orders!I325))</f>
        <v>Panaji</v>
      </c>
      <c r="J325" t="str">
        <f>PROPER(TRIM([1]raw_orders!J325))</f>
        <v>Furniture</v>
      </c>
      <c r="K325" t="str">
        <f>PROPER(TRIM([1]raw_orders!K325))</f>
        <v>Furnishings</v>
      </c>
      <c r="L325" t="s">
        <v>118</v>
      </c>
      <c r="M325" t="str">
        <f>IF('[1]Cleaned Text Field'!M325="","Unknown",'[1]Cleaned Text Field'!M325)</f>
        <v>Standard Class</v>
      </c>
      <c r="N325">
        <f>IF('[1]Cleaned Text Field'!N325="",0,'[1]Cleaned Text Field'!N325)</f>
        <v>9</v>
      </c>
      <c r="O325">
        <v>1331.46</v>
      </c>
      <c r="P325" s="5">
        <f>IF('[1]Cleaned Text Field'!P325="",0,'[1]Cleaned Text Field'!P325)</f>
        <v>0.15</v>
      </c>
      <c r="Q325">
        <v>10185.67</v>
      </c>
      <c r="R325">
        <v>6479.31</v>
      </c>
      <c r="S325">
        <v>3706.36</v>
      </c>
      <c r="T325" t="str">
        <f>PROPER(TRIM([1]raw_orders!T325))</f>
        <v>Paid</v>
      </c>
      <c r="U325" t="str">
        <f>PROPER(TRIM([1]raw_orders!U325))</f>
        <v>Completed</v>
      </c>
      <c r="V325" s="6">
        <f t="shared" si="40"/>
        <v>0.36387984295583897</v>
      </c>
      <c r="W325" t="str">
        <f t="shared" si="41"/>
        <v>February</v>
      </c>
      <c r="X325">
        <f t="shared" si="42"/>
        <v>2024</v>
      </c>
      <c r="Y325">
        <f t="shared" si="43"/>
        <v>4</v>
      </c>
      <c r="Z325" s="7">
        <f t="shared" si="44"/>
        <v>0.15</v>
      </c>
      <c r="AA325">
        <f t="shared" si="45"/>
        <v>10185.669</v>
      </c>
      <c r="AB325">
        <f t="shared" si="46"/>
        <v>3706.3599999999997</v>
      </c>
      <c r="AC325" t="str">
        <f t="shared" si="47"/>
        <v>Clean</v>
      </c>
    </row>
    <row r="326" spans="1:29">
      <c r="A326" t="s">
        <v>1018</v>
      </c>
      <c r="B326" s="4">
        <v>45869</v>
      </c>
      <c r="C326" s="4">
        <v>45696</v>
      </c>
      <c r="D326" t="s">
        <v>1019</v>
      </c>
      <c r="E326" t="str">
        <f>PROPER(TRIM([1]raw_orders!E326))</f>
        <v>Rohan Mehta</v>
      </c>
      <c r="F326" t="str">
        <f>PROPER(TRIM([1]raw_orders!F326))</f>
        <v>Home Office</v>
      </c>
      <c r="G326" t="str">
        <f>IF('[1]Cleaned Text Field'!G326="","Unknown",'[1]Cleaned Text Field'!G326)</f>
        <v>South</v>
      </c>
      <c r="H326" t="str">
        <f>PROPER(TRIM([1]raw_orders!H326))</f>
        <v>Andhra Pradesh</v>
      </c>
      <c r="I326" t="str">
        <f>PROPER(TRIM([1]raw_orders!I326))</f>
        <v>Vijayawada</v>
      </c>
      <c r="J326" t="str">
        <f>PROPER(TRIM([1]raw_orders!J326))</f>
        <v>Office Supplies</v>
      </c>
      <c r="K326" t="str">
        <f>PROPER(TRIM([1]raw_orders!K326))</f>
        <v>Labels</v>
      </c>
      <c r="L326" t="s">
        <v>1020</v>
      </c>
      <c r="M326" t="str">
        <f>IF('[1]Cleaned Text Field'!M326="","Unknown",'[1]Cleaned Text Field'!M326)</f>
        <v>Same Day</v>
      </c>
      <c r="N326">
        <f>IF('[1]Cleaned Text Field'!N326="",0,'[1]Cleaned Text Field'!N326)</f>
        <v>1</v>
      </c>
      <c r="O326">
        <v>1947.88</v>
      </c>
      <c r="P326" s="5">
        <f>IF('[1]Cleaned Text Field'!P326="",0,'[1]Cleaned Text Field'!P326)</f>
        <v>0.15</v>
      </c>
      <c r="Q326">
        <v>1655.7</v>
      </c>
      <c r="R326">
        <v>1354.8</v>
      </c>
      <c r="S326">
        <v>300.89999999999998</v>
      </c>
      <c r="T326" t="str">
        <f>PROPER(TRIM([1]raw_orders!T326))</f>
        <v>Paid</v>
      </c>
      <c r="U326" t="str">
        <f>PROPER(TRIM([1]raw_orders!U326))</f>
        <v>Returned</v>
      </c>
      <c r="V326" s="6">
        <f t="shared" si="40"/>
        <v>0.18173582170683092</v>
      </c>
      <c r="W326" t="str">
        <f t="shared" si="41"/>
        <v>July</v>
      </c>
      <c r="X326">
        <f t="shared" si="42"/>
        <v>2025</v>
      </c>
      <c r="Y326">
        <f t="shared" si="43"/>
        <v>-173</v>
      </c>
      <c r="Z326" s="7">
        <f t="shared" si="44"/>
        <v>0.15</v>
      </c>
      <c r="AA326">
        <f t="shared" si="45"/>
        <v>1655.6980000000001</v>
      </c>
      <c r="AB326">
        <f t="shared" si="46"/>
        <v>300.90000000000009</v>
      </c>
      <c r="AC326" t="str">
        <f t="shared" si="47"/>
        <v>Warning</v>
      </c>
    </row>
    <row r="327" spans="1:29">
      <c r="A327" t="s">
        <v>1021</v>
      </c>
      <c r="B327" s="4">
        <v>45916</v>
      </c>
      <c r="C327" s="4">
        <v>45922</v>
      </c>
      <c r="D327" t="s">
        <v>1022</v>
      </c>
      <c r="E327" t="str">
        <f>PROPER(TRIM([1]raw_orders!E327))</f>
        <v>Sneha Kapoor</v>
      </c>
      <c r="F327" t="str">
        <f>PROPER(TRIM([1]raw_orders!F327))</f>
        <v>Home Office</v>
      </c>
      <c r="G327" t="str">
        <f>IF('[1]Cleaned Text Field'!G327="","Unknown",'[1]Cleaned Text Field'!G327)</f>
        <v>East</v>
      </c>
      <c r="H327" t="str">
        <f>PROPER(TRIM([1]raw_orders!H327))</f>
        <v>West Bengal</v>
      </c>
      <c r="I327" t="str">
        <f>PROPER(TRIM([1]raw_orders!I327))</f>
        <v>Kolkata</v>
      </c>
      <c r="J327" t="str">
        <f>PROPER(TRIM([1]raw_orders!J327))</f>
        <v>Technology</v>
      </c>
      <c r="K327" t="str">
        <f>PROPER(TRIM([1]raw_orders!K327))</f>
        <v>Copiers</v>
      </c>
      <c r="L327" t="s">
        <v>1023</v>
      </c>
      <c r="M327" t="str">
        <f>IF('[1]Cleaned Text Field'!M327="","Unknown",'[1]Cleaned Text Field'!M327)</f>
        <v>Second Class</v>
      </c>
      <c r="N327">
        <f>IF('[1]Cleaned Text Field'!N327="",0,'[1]Cleaned Text Field'!N327)</f>
        <v>5</v>
      </c>
      <c r="O327">
        <v>3671.2</v>
      </c>
      <c r="P327" s="5">
        <f>IF('[1]Cleaned Text Field'!P327="",0,'[1]Cleaned Text Field'!P327)</f>
        <v>0.15</v>
      </c>
      <c r="Q327">
        <v>15602.6</v>
      </c>
      <c r="R327">
        <v>11908.52</v>
      </c>
      <c r="S327">
        <v>3694.08</v>
      </c>
      <c r="T327" t="str">
        <f>PROPER(TRIM([1]raw_orders!T327))</f>
        <v>Paid</v>
      </c>
      <c r="U327" t="str">
        <f>PROPER(TRIM([1]raw_orders!U327))</f>
        <v>Completed</v>
      </c>
      <c r="V327" s="6">
        <f t="shared" si="40"/>
        <v>0.236760539910015</v>
      </c>
      <c r="W327" t="str">
        <f t="shared" si="41"/>
        <v>September</v>
      </c>
      <c r="X327">
        <f t="shared" si="42"/>
        <v>2025</v>
      </c>
      <c r="Y327">
        <f t="shared" si="43"/>
        <v>6</v>
      </c>
      <c r="Z327" s="7">
        <f t="shared" si="44"/>
        <v>0.15</v>
      </c>
      <c r="AA327">
        <f t="shared" si="45"/>
        <v>15602.6</v>
      </c>
      <c r="AB327">
        <f t="shared" si="46"/>
        <v>3694.08</v>
      </c>
      <c r="AC327" t="str">
        <f t="shared" si="47"/>
        <v>Clean</v>
      </c>
    </row>
    <row r="328" spans="1:29">
      <c r="A328" t="s">
        <v>1024</v>
      </c>
      <c r="B328" s="4">
        <v>45860</v>
      </c>
      <c r="C328" s="4">
        <v>45860</v>
      </c>
      <c r="D328" t="s">
        <v>1025</v>
      </c>
      <c r="E328" t="str">
        <f>PROPER(TRIM([1]raw_orders!E328))</f>
        <v>Sneha Kapoor</v>
      </c>
      <c r="F328" t="str">
        <f>PROPER(TRIM([1]raw_orders!F328))</f>
        <v>Corporate</v>
      </c>
      <c r="G328" t="str">
        <f>IF('[1]Cleaned Text Field'!G328="","Unknown",'[1]Cleaned Text Field'!G328)</f>
        <v>East</v>
      </c>
      <c r="H328" t="str">
        <f>PROPER(TRIM([1]raw_orders!H328))</f>
        <v>Jharkhand</v>
      </c>
      <c r="I328" t="str">
        <f>PROPER(TRIM([1]raw_orders!I328))</f>
        <v>Ranchi</v>
      </c>
      <c r="J328" t="str">
        <f>PROPER(TRIM([1]raw_orders!J328))</f>
        <v>Furniture</v>
      </c>
      <c r="K328" t="str">
        <f>PROPER(TRIM([1]raw_orders!K328))</f>
        <v>Furnishings</v>
      </c>
      <c r="L328" t="s">
        <v>1026</v>
      </c>
      <c r="M328" t="str">
        <f>IF('[1]Cleaned Text Field'!M328="","Unknown",'[1]Cleaned Text Field'!M328)</f>
        <v>Same Day</v>
      </c>
      <c r="N328">
        <f>IF('[1]Cleaned Text Field'!N328="",0,'[1]Cleaned Text Field'!N328)</f>
        <v>5</v>
      </c>
      <c r="O328">
        <v>3187.05</v>
      </c>
      <c r="P328" s="5">
        <f>IF('[1]Cleaned Text Field'!P328="",0,'[1]Cleaned Text Field'!P328)</f>
        <v>0.05</v>
      </c>
      <c r="Q328">
        <v>15138.49</v>
      </c>
      <c r="R328">
        <v>11235.72</v>
      </c>
      <c r="S328">
        <v>3902.77</v>
      </c>
      <c r="T328" t="str">
        <f>PROPER(TRIM([1]raw_orders!T328))</f>
        <v>Paid</v>
      </c>
      <c r="U328" t="str">
        <f>PROPER(TRIM([1]raw_orders!U328))</f>
        <v>Completed</v>
      </c>
      <c r="V328" s="6">
        <f t="shared" si="40"/>
        <v>0.25780444416847387</v>
      </c>
      <c r="W328" t="str">
        <f t="shared" si="41"/>
        <v>July</v>
      </c>
      <c r="X328">
        <f t="shared" si="42"/>
        <v>2025</v>
      </c>
      <c r="Y328">
        <f t="shared" si="43"/>
        <v>0</v>
      </c>
      <c r="Z328" s="7">
        <f t="shared" si="44"/>
        <v>0.05</v>
      </c>
      <c r="AA328">
        <f t="shared" si="45"/>
        <v>15138.487499999999</v>
      </c>
      <c r="AB328">
        <f t="shared" si="46"/>
        <v>3902.7700000000004</v>
      </c>
      <c r="AC328" t="str">
        <f t="shared" si="47"/>
        <v>Clean</v>
      </c>
    </row>
    <row r="329" spans="1:29">
      <c r="A329" t="s">
        <v>1027</v>
      </c>
      <c r="B329" s="4">
        <v>45497</v>
      </c>
      <c r="C329" s="4">
        <v>45500</v>
      </c>
      <c r="D329" t="s">
        <v>1028</v>
      </c>
      <c r="E329" t="str">
        <f>PROPER(TRIM([1]raw_orders!E329))</f>
        <v>Isha Nair</v>
      </c>
      <c r="F329" t="str">
        <f>PROPER(TRIM([1]raw_orders!F329))</f>
        <v>Consumer</v>
      </c>
      <c r="G329" t="str">
        <f>IF('[1]Cleaned Text Field'!G329="","Unknown",'[1]Cleaned Text Field'!G329)</f>
        <v>West</v>
      </c>
      <c r="H329" t="str">
        <f>PROPER(TRIM([1]raw_orders!H329))</f>
        <v>Rajasthan</v>
      </c>
      <c r="I329" t="str">
        <f>PROPER(TRIM([1]raw_orders!I329))</f>
        <v>Udaipur</v>
      </c>
      <c r="J329" t="str">
        <f>PROPER(TRIM([1]raw_orders!J329))</f>
        <v>Technology</v>
      </c>
      <c r="K329" t="str">
        <f>PROPER(TRIM([1]raw_orders!K329))</f>
        <v>Accessories</v>
      </c>
      <c r="L329" t="s">
        <v>1029</v>
      </c>
      <c r="M329" t="str">
        <f>IF('[1]Cleaned Text Field'!M329="","Unknown",'[1]Cleaned Text Field'!M329)</f>
        <v>Second Class</v>
      </c>
      <c r="N329">
        <f>IF('[1]Cleaned Text Field'!N329="",0,'[1]Cleaned Text Field'!N329)</f>
        <v>3</v>
      </c>
      <c r="O329">
        <v>1834.55</v>
      </c>
      <c r="P329" s="5">
        <f>IF('[1]Cleaned Text Field'!P329="",0,'[1]Cleaned Text Field'!P329)</f>
        <v>0.2</v>
      </c>
      <c r="Q329">
        <v>4402.92</v>
      </c>
      <c r="R329">
        <v>2993.94</v>
      </c>
      <c r="S329">
        <v>1408.98</v>
      </c>
      <c r="T329" t="str">
        <f>PROPER(TRIM([1]raw_orders!T329))</f>
        <v>Pending</v>
      </c>
      <c r="U329" t="str">
        <f>PROPER(TRIM([1]raw_orders!U329))</f>
        <v>Cancelled</v>
      </c>
      <c r="V329" s="6">
        <f t="shared" si="40"/>
        <v>0.32001035676323897</v>
      </c>
      <c r="W329" t="str">
        <f t="shared" si="41"/>
        <v>July</v>
      </c>
      <c r="X329">
        <f t="shared" si="42"/>
        <v>2024</v>
      </c>
      <c r="Y329">
        <f t="shared" si="43"/>
        <v>3</v>
      </c>
      <c r="Z329" s="7">
        <f t="shared" si="44"/>
        <v>0.2</v>
      </c>
      <c r="AA329">
        <f t="shared" si="45"/>
        <v>4402.92</v>
      </c>
      <c r="AB329">
        <f t="shared" si="46"/>
        <v>1408.98</v>
      </c>
      <c r="AC329" t="str">
        <f t="shared" si="47"/>
        <v>Clean</v>
      </c>
    </row>
    <row r="330" spans="1:29">
      <c r="A330" t="s">
        <v>1030</v>
      </c>
      <c r="B330" s="4">
        <v>45806</v>
      </c>
      <c r="C330" s="4">
        <v>45812</v>
      </c>
      <c r="D330" t="s">
        <v>1031</v>
      </c>
      <c r="E330" t="str">
        <f>PROPER(TRIM([1]raw_orders!E330))</f>
        <v>Diya Patel</v>
      </c>
      <c r="F330" t="str">
        <f>PROPER(TRIM([1]raw_orders!F330))</f>
        <v>Consumer</v>
      </c>
      <c r="G330" t="str">
        <f>IF('[1]Cleaned Text Field'!G330="","Unknown",'[1]Cleaned Text Field'!G330)</f>
        <v>West</v>
      </c>
      <c r="H330" t="str">
        <f>PROPER(TRIM([1]raw_orders!H330))</f>
        <v>Maharashtra</v>
      </c>
      <c r="I330" t="str">
        <f>PROPER(TRIM([1]raw_orders!I330))</f>
        <v>Mumbai</v>
      </c>
      <c r="J330" t="str">
        <f>PROPER(TRIM([1]raw_orders!J330))</f>
        <v>Office Supplies</v>
      </c>
      <c r="K330" t="str">
        <f>PROPER(TRIM([1]raw_orders!K330))</f>
        <v>Storage</v>
      </c>
      <c r="L330" t="s">
        <v>1032</v>
      </c>
      <c r="M330" t="str">
        <f>IF('[1]Cleaned Text Field'!M330="","Unknown",'[1]Cleaned Text Field'!M330)</f>
        <v>First Class</v>
      </c>
      <c r="N330">
        <f>IF('[1]Cleaned Text Field'!N330="",0,'[1]Cleaned Text Field'!N330)</f>
        <v>6</v>
      </c>
      <c r="O330">
        <v>3100.68</v>
      </c>
      <c r="P330" s="5">
        <f>IF('[1]Cleaned Text Field'!P330="",0,'[1]Cleaned Text Field'!P330)</f>
        <v>0</v>
      </c>
      <c r="Q330">
        <v>18604.080000000002</v>
      </c>
      <c r="R330">
        <v>15834.3</v>
      </c>
      <c r="S330">
        <v>2769.78</v>
      </c>
      <c r="T330" t="str">
        <f>PROPER(TRIM([1]raw_orders!T330))</f>
        <v>Paid</v>
      </c>
      <c r="U330" t="str">
        <f>PROPER(TRIM([1]raw_orders!U330))</f>
        <v>Completed</v>
      </c>
      <c r="V330" s="6">
        <f t="shared" si="40"/>
        <v>0.14888024562354063</v>
      </c>
      <c r="W330" t="str">
        <f t="shared" si="41"/>
        <v>May</v>
      </c>
      <c r="X330">
        <f t="shared" si="42"/>
        <v>2025</v>
      </c>
      <c r="Y330">
        <f t="shared" si="43"/>
        <v>6</v>
      </c>
      <c r="Z330" s="7">
        <f t="shared" si="44"/>
        <v>0</v>
      </c>
      <c r="AA330">
        <f t="shared" si="45"/>
        <v>18604.079999999998</v>
      </c>
      <c r="AB330">
        <f t="shared" si="46"/>
        <v>2769.7800000000025</v>
      </c>
      <c r="AC330" t="str">
        <f t="shared" si="47"/>
        <v>Clean</v>
      </c>
    </row>
    <row r="331" spans="1:29">
      <c r="A331" t="s">
        <v>1033</v>
      </c>
      <c r="B331" s="4">
        <v>45789</v>
      </c>
      <c r="C331" s="4">
        <v>45795</v>
      </c>
      <c r="D331" t="s">
        <v>1034</v>
      </c>
      <c r="E331" t="str">
        <f>PROPER(TRIM([1]raw_orders!E331))</f>
        <v>Neha Gupta</v>
      </c>
      <c r="F331" t="str">
        <f>PROPER(TRIM([1]raw_orders!F331))</f>
        <v>Small Business</v>
      </c>
      <c r="G331" t="str">
        <f>IF('[1]Cleaned Text Field'!G331="","Unknown",'[1]Cleaned Text Field'!G331)</f>
        <v>West</v>
      </c>
      <c r="H331" t="str">
        <f>PROPER(TRIM([1]raw_orders!H331))</f>
        <v>Maharashtra</v>
      </c>
      <c r="I331" t="str">
        <f>PROPER(TRIM([1]raw_orders!I331))</f>
        <v>Mumbai</v>
      </c>
      <c r="J331" t="str">
        <f>PROPER(TRIM([1]raw_orders!J331))</f>
        <v>Office Supplies</v>
      </c>
      <c r="K331" t="str">
        <f>PROPER(TRIM([1]raw_orders!K331))</f>
        <v>Storage</v>
      </c>
      <c r="L331" t="s">
        <v>1035</v>
      </c>
      <c r="M331" t="str">
        <f>IF('[1]Cleaned Text Field'!M331="","Unknown",'[1]Cleaned Text Field'!M331)</f>
        <v>Standard Class</v>
      </c>
      <c r="N331">
        <f>IF('[1]Cleaned Text Field'!N331="",0,'[1]Cleaned Text Field'!N331)</f>
        <v>4</v>
      </c>
      <c r="O331">
        <v>4053.03</v>
      </c>
      <c r="P331" s="5">
        <f>IF('[1]Cleaned Text Field'!P331="",0,'[1]Cleaned Text Field'!P331)</f>
        <v>0.05</v>
      </c>
      <c r="Q331">
        <v>15401.51</v>
      </c>
      <c r="R331">
        <v>8650.42</v>
      </c>
      <c r="S331">
        <v>6751.09</v>
      </c>
      <c r="T331" t="str">
        <f>PROPER(TRIM([1]raw_orders!T331))</f>
        <v>Paid</v>
      </c>
      <c r="U331" t="str">
        <f>PROPER(TRIM([1]raw_orders!U331))</f>
        <v>Completed</v>
      </c>
      <c r="V331" s="6">
        <f t="shared" si="40"/>
        <v>0.4383394874918109</v>
      </c>
      <c r="W331" t="str">
        <f t="shared" si="41"/>
        <v>May</v>
      </c>
      <c r="X331">
        <f t="shared" si="42"/>
        <v>2025</v>
      </c>
      <c r="Y331">
        <f t="shared" si="43"/>
        <v>6</v>
      </c>
      <c r="Z331" s="7">
        <f t="shared" si="44"/>
        <v>0.05</v>
      </c>
      <c r="AA331">
        <f t="shared" si="45"/>
        <v>15401.513999999999</v>
      </c>
      <c r="AB331">
        <f t="shared" si="46"/>
        <v>6751.09</v>
      </c>
      <c r="AC331" t="str">
        <f t="shared" si="47"/>
        <v>Clean</v>
      </c>
    </row>
    <row r="332" spans="1:29">
      <c r="A332" t="s">
        <v>1036</v>
      </c>
      <c r="B332" s="4">
        <v>45428</v>
      </c>
      <c r="C332" s="4">
        <v>45436</v>
      </c>
      <c r="D332" t="s">
        <v>1037</v>
      </c>
      <c r="E332" t="str">
        <f>PROPER(TRIM([1]raw_orders!E332))</f>
        <v>Arjun Bose</v>
      </c>
      <c r="F332" t="str">
        <f>PROPER(TRIM([1]raw_orders!F332))</f>
        <v>Home Office</v>
      </c>
      <c r="G332" t="str">
        <f>IF('[1]Cleaned Text Field'!G332="","Unknown",'[1]Cleaned Text Field'!G332)</f>
        <v>North</v>
      </c>
      <c r="H332" t="str">
        <f>PROPER(TRIM([1]raw_orders!H332))</f>
        <v>Punjab</v>
      </c>
      <c r="I332" t="str">
        <f>PROPER(TRIM([1]raw_orders!I332))</f>
        <v>Ludhiana</v>
      </c>
      <c r="J332" t="str">
        <f>PROPER(TRIM([1]raw_orders!J332))</f>
        <v>Technology</v>
      </c>
      <c r="K332" t="str">
        <f>PROPER(TRIM([1]raw_orders!K332))</f>
        <v>Accessories</v>
      </c>
      <c r="L332" t="s">
        <v>1038</v>
      </c>
      <c r="M332" t="str">
        <f>IF('[1]Cleaned Text Field'!M332="","Unknown",'[1]Cleaned Text Field'!M332)</f>
        <v>Same Day</v>
      </c>
      <c r="N332">
        <f>IF('[1]Cleaned Text Field'!N332="",0,'[1]Cleaned Text Field'!N332)</f>
        <v>1</v>
      </c>
      <c r="O332">
        <v>783.09</v>
      </c>
      <c r="P332" s="5">
        <f>IF('[1]Cleaned Text Field'!P332="",0,'[1]Cleaned Text Field'!P332)</f>
        <v>0</v>
      </c>
      <c r="Q332">
        <v>783.09</v>
      </c>
      <c r="R332">
        <v>503.89</v>
      </c>
      <c r="S332">
        <v>279.2</v>
      </c>
      <c r="T332" t="str">
        <f>PROPER(TRIM([1]raw_orders!T332))</f>
        <v>Failed</v>
      </c>
      <c r="U332" t="str">
        <f>PROPER(TRIM([1]raw_orders!U332))</f>
        <v>Cancelled</v>
      </c>
      <c r="V332" s="6">
        <f t="shared" si="40"/>
        <v>0.35653628573982554</v>
      </c>
      <c r="W332" t="str">
        <f t="shared" si="41"/>
        <v>May</v>
      </c>
      <c r="X332">
        <f t="shared" si="42"/>
        <v>2024</v>
      </c>
      <c r="Y332">
        <f t="shared" si="43"/>
        <v>8</v>
      </c>
      <c r="Z332" s="7">
        <f t="shared" si="44"/>
        <v>0</v>
      </c>
      <c r="AA332">
        <f t="shared" si="45"/>
        <v>783.09</v>
      </c>
      <c r="AB332">
        <f t="shared" si="46"/>
        <v>279.20000000000005</v>
      </c>
      <c r="AC332" t="str">
        <f t="shared" si="47"/>
        <v>Clean</v>
      </c>
    </row>
    <row r="333" spans="1:29">
      <c r="A333" t="s">
        <v>1039</v>
      </c>
      <c r="B333" s="4">
        <v>45394</v>
      </c>
      <c r="C333" s="4">
        <v>45632</v>
      </c>
      <c r="D333" t="s">
        <v>1040</v>
      </c>
      <c r="E333" t="str">
        <f>PROPER(TRIM([1]raw_orders!E333))</f>
        <v>Sneha Kapoor</v>
      </c>
      <c r="F333" t="str">
        <f>PROPER(TRIM([1]raw_orders!F333))</f>
        <v>Home Office</v>
      </c>
      <c r="G333" t="str">
        <f>IF('[1]Cleaned Text Field'!G333="","Unknown",'[1]Cleaned Text Field'!G333)</f>
        <v>East</v>
      </c>
      <c r="H333" t="str">
        <f>PROPER(TRIM([1]raw_orders!H333))</f>
        <v>Odisha</v>
      </c>
      <c r="I333" t="str">
        <f>PROPER(TRIM([1]raw_orders!I333))</f>
        <v>Bhubaneswar</v>
      </c>
      <c r="J333" t="str">
        <f>PROPER(TRIM([1]raw_orders!J333))</f>
        <v>Office Supplies</v>
      </c>
      <c r="K333" t="str">
        <f>PROPER(TRIM([1]raw_orders!K333))</f>
        <v>Binders</v>
      </c>
      <c r="L333" t="s">
        <v>1041</v>
      </c>
      <c r="M333" t="str">
        <f>IF('[1]Cleaned Text Field'!M333="","Unknown",'[1]Cleaned Text Field'!M333)</f>
        <v>Second Class</v>
      </c>
      <c r="N333">
        <f>IF('[1]Cleaned Text Field'!N333="",0,'[1]Cleaned Text Field'!N333)</f>
        <v>4</v>
      </c>
      <c r="O333">
        <v>2685.66</v>
      </c>
      <c r="P333" s="5">
        <f>IF('[1]Cleaned Text Field'!P333="",0,'[1]Cleaned Text Field'!P333)</f>
        <v>0</v>
      </c>
      <c r="Q333">
        <v>10742.64</v>
      </c>
      <c r="R333">
        <v>6477.37</v>
      </c>
      <c r="S333">
        <v>4265.2700000000004</v>
      </c>
      <c r="T333" t="str">
        <f>PROPER(TRIM([1]raw_orders!T333))</f>
        <v>Paid</v>
      </c>
      <c r="U333" t="str">
        <f>PROPER(TRIM([1]raw_orders!U333))</f>
        <v>Returned</v>
      </c>
      <c r="V333" s="6">
        <f t="shared" si="40"/>
        <v>0.3970411370017054</v>
      </c>
      <c r="W333" t="str">
        <f t="shared" si="41"/>
        <v>April</v>
      </c>
      <c r="X333">
        <f t="shared" si="42"/>
        <v>2024</v>
      </c>
      <c r="Y333">
        <f t="shared" si="43"/>
        <v>238</v>
      </c>
      <c r="Z333" s="7">
        <f t="shared" si="44"/>
        <v>0</v>
      </c>
      <c r="AA333">
        <f t="shared" si="45"/>
        <v>10742.64</v>
      </c>
      <c r="AB333">
        <f t="shared" si="46"/>
        <v>4265.2699999999995</v>
      </c>
      <c r="AC333" t="str">
        <f t="shared" si="47"/>
        <v>Clean</v>
      </c>
    </row>
    <row r="334" spans="1:29">
      <c r="A334" t="s">
        <v>1042</v>
      </c>
      <c r="B334" s="4">
        <v>45804</v>
      </c>
      <c r="C334" s="4">
        <v>45805</v>
      </c>
      <c r="D334" t="s">
        <v>1043</v>
      </c>
      <c r="E334" t="str">
        <f>PROPER(TRIM([1]raw_orders!E334))</f>
        <v>Aarav Sharma</v>
      </c>
      <c r="F334" t="str">
        <f>PROPER(TRIM([1]raw_orders!F334))</f>
        <v>Consumer</v>
      </c>
      <c r="G334" t="str">
        <f>IF('[1]Cleaned Text Field'!G334="","Unknown",'[1]Cleaned Text Field'!G334)</f>
        <v>South</v>
      </c>
      <c r="H334" t="str">
        <f>PROPER(TRIM([1]raw_orders!H334))</f>
        <v>Andhra Pradesh</v>
      </c>
      <c r="I334" t="str">
        <f>PROPER(TRIM([1]raw_orders!I334))</f>
        <v>Vijayawada</v>
      </c>
      <c r="J334" t="str">
        <f>PROPER(TRIM([1]raw_orders!J334))</f>
        <v>Technology</v>
      </c>
      <c r="K334" t="str">
        <f>PROPER(TRIM([1]raw_orders!K334))</f>
        <v>Machines</v>
      </c>
      <c r="L334" t="s">
        <v>1044</v>
      </c>
      <c r="M334" t="str">
        <f>IF('[1]Cleaned Text Field'!M334="","Unknown",'[1]Cleaned Text Field'!M334)</f>
        <v>Second Class</v>
      </c>
      <c r="N334">
        <f>IF('[1]Cleaned Text Field'!N334="",0,'[1]Cleaned Text Field'!N334)</f>
        <v>2</v>
      </c>
      <c r="O334">
        <v>3911.96</v>
      </c>
      <c r="P334" s="5">
        <f>IF('[1]Cleaned Text Field'!P334="",0,'[1]Cleaned Text Field'!P334)</f>
        <v>0</v>
      </c>
      <c r="Q334">
        <v>7823.92</v>
      </c>
      <c r="R334">
        <v>6034.63</v>
      </c>
      <c r="S334">
        <v>1789.29</v>
      </c>
      <c r="T334" t="str">
        <f>PROPER(TRIM([1]raw_orders!T334))</f>
        <v>Paid</v>
      </c>
      <c r="U334" t="str">
        <f>PROPER(TRIM([1]raw_orders!U334))</f>
        <v>Completed</v>
      </c>
      <c r="V334" s="6">
        <f t="shared" si="40"/>
        <v>0.22869482305545047</v>
      </c>
      <c r="W334" t="str">
        <f t="shared" si="41"/>
        <v>May</v>
      </c>
      <c r="X334">
        <f t="shared" si="42"/>
        <v>2025</v>
      </c>
      <c r="Y334">
        <f t="shared" si="43"/>
        <v>1</v>
      </c>
      <c r="Z334" s="7">
        <f t="shared" si="44"/>
        <v>0</v>
      </c>
      <c r="AA334">
        <f t="shared" si="45"/>
        <v>7823.92</v>
      </c>
      <c r="AB334">
        <f t="shared" si="46"/>
        <v>1789.29</v>
      </c>
      <c r="AC334" t="str">
        <f t="shared" si="47"/>
        <v>Clean</v>
      </c>
    </row>
    <row r="335" spans="1:29">
      <c r="A335" t="s">
        <v>1045</v>
      </c>
      <c r="B335" s="4">
        <v>45830</v>
      </c>
      <c r="C335" s="4">
        <v>45835</v>
      </c>
      <c r="D335" t="s">
        <v>1046</v>
      </c>
      <c r="E335" t="str">
        <f>PROPER(TRIM([1]raw_orders!E335))</f>
        <v>Rohan Mehta</v>
      </c>
      <c r="F335" t="str">
        <f>PROPER(TRIM([1]raw_orders!F335))</f>
        <v>Home Office</v>
      </c>
      <c r="G335" t="str">
        <f>IF('[1]Cleaned Text Field'!G335="","Unknown",'[1]Cleaned Text Field'!G335)</f>
        <v>Unknown</v>
      </c>
      <c r="H335" t="str">
        <f>PROPER(TRIM([1]raw_orders!H335))</f>
        <v>Delhi</v>
      </c>
      <c r="I335" t="str">
        <f>PROPER(TRIM([1]raw_orders!I335))</f>
        <v>New Delhi</v>
      </c>
      <c r="J335" t="str">
        <f>PROPER(TRIM([1]raw_orders!J335))</f>
        <v>Technology</v>
      </c>
      <c r="K335" t="str">
        <f>PROPER(TRIM([1]raw_orders!K335))</f>
        <v>Phones</v>
      </c>
      <c r="L335" t="s">
        <v>1047</v>
      </c>
      <c r="M335" t="str">
        <f>IF('[1]Cleaned Text Field'!M335="","Unknown",'[1]Cleaned Text Field'!M335)</f>
        <v>First Class</v>
      </c>
      <c r="N335">
        <f>IF('[1]Cleaned Text Field'!N335="",0,'[1]Cleaned Text Field'!N335)</f>
        <v>2</v>
      </c>
      <c r="O335">
        <v>1468.05</v>
      </c>
      <c r="P335" s="5">
        <f>IF('[1]Cleaned Text Field'!P335="",0,'[1]Cleaned Text Field'!P335)</f>
        <v>0</v>
      </c>
      <c r="Q335">
        <v>2936.1</v>
      </c>
      <c r="R335">
        <v>1923.1</v>
      </c>
      <c r="S335">
        <v>1013</v>
      </c>
      <c r="T335" t="str">
        <f>PROPER(TRIM([1]raw_orders!T335))</f>
        <v>Paid</v>
      </c>
      <c r="U335" t="str">
        <f>PROPER(TRIM([1]raw_orders!U335))</f>
        <v>Completed</v>
      </c>
      <c r="V335" s="6">
        <f t="shared" si="40"/>
        <v>0.34501549674738602</v>
      </c>
      <c r="W335" t="str">
        <f t="shared" si="41"/>
        <v>June</v>
      </c>
      <c r="X335">
        <f t="shared" si="42"/>
        <v>2025</v>
      </c>
      <c r="Y335">
        <f t="shared" si="43"/>
        <v>5</v>
      </c>
      <c r="Z335" s="7">
        <f t="shared" si="44"/>
        <v>0</v>
      </c>
      <c r="AA335">
        <f t="shared" si="45"/>
        <v>2936.1</v>
      </c>
      <c r="AB335">
        <f t="shared" si="46"/>
        <v>1013</v>
      </c>
      <c r="AC335" t="str">
        <f t="shared" si="47"/>
        <v>Clean</v>
      </c>
    </row>
    <row r="336" spans="1:29">
      <c r="A336" t="s">
        <v>1048</v>
      </c>
      <c r="B336" s="4">
        <v>45547</v>
      </c>
      <c r="C336" s="4">
        <v>45552</v>
      </c>
      <c r="D336" t="s">
        <v>1049</v>
      </c>
      <c r="E336" t="str">
        <f>PROPER(TRIM([1]raw_orders!E336))</f>
        <v>Ananya Rao</v>
      </c>
      <c r="F336" t="str">
        <f>PROPER(TRIM([1]raw_orders!F336))</f>
        <v>Consumer</v>
      </c>
      <c r="G336" t="str">
        <f>IF('[1]Cleaned Text Field'!G336="","Unknown",'[1]Cleaned Text Field'!G336)</f>
        <v>East</v>
      </c>
      <c r="H336" t="str">
        <f>PROPER(TRIM([1]raw_orders!H336))</f>
        <v>Jharkhand</v>
      </c>
      <c r="I336" t="str">
        <f>PROPER(TRIM([1]raw_orders!I336))</f>
        <v>Ranchi</v>
      </c>
      <c r="J336" t="str">
        <f>PROPER(TRIM([1]raw_orders!J336))</f>
        <v>Office Supplies</v>
      </c>
      <c r="K336" t="str">
        <f>PROPER(TRIM([1]raw_orders!K336))</f>
        <v>Storage</v>
      </c>
      <c r="L336" t="s">
        <v>1050</v>
      </c>
      <c r="M336" t="str">
        <f>IF('[1]Cleaned Text Field'!M336="","Unknown",'[1]Cleaned Text Field'!M336)</f>
        <v>First Class</v>
      </c>
      <c r="N336">
        <f>IF('[1]Cleaned Text Field'!N336="",0,'[1]Cleaned Text Field'!N336)</f>
        <v>9</v>
      </c>
      <c r="O336">
        <v>1921.47</v>
      </c>
      <c r="P336" s="5">
        <f>IF('[1]Cleaned Text Field'!P336="",0,'[1]Cleaned Text Field'!P336)</f>
        <v>0.25</v>
      </c>
      <c r="Q336">
        <v>12969.92</v>
      </c>
      <c r="R336">
        <v>9398.4599999999991</v>
      </c>
      <c r="S336">
        <v>3571.46</v>
      </c>
      <c r="T336" t="str">
        <f>PROPER(TRIM([1]raw_orders!T336))</f>
        <v>Paid</v>
      </c>
      <c r="U336" t="str">
        <f>PROPER(TRIM([1]raw_orders!U336))</f>
        <v>Completed</v>
      </c>
      <c r="V336" s="6">
        <f t="shared" si="40"/>
        <v>0.27536484419333351</v>
      </c>
      <c r="W336" t="str">
        <f t="shared" si="41"/>
        <v>September</v>
      </c>
      <c r="X336">
        <f t="shared" si="42"/>
        <v>2024</v>
      </c>
      <c r="Y336">
        <f t="shared" si="43"/>
        <v>5</v>
      </c>
      <c r="Z336" s="7">
        <f t="shared" si="44"/>
        <v>0.25</v>
      </c>
      <c r="AA336">
        <f t="shared" si="45"/>
        <v>12969.922500000001</v>
      </c>
      <c r="AB336">
        <f t="shared" si="46"/>
        <v>3571.4600000000009</v>
      </c>
      <c r="AC336" t="str">
        <f t="shared" si="47"/>
        <v>Clean</v>
      </c>
    </row>
    <row r="337" spans="1:29">
      <c r="A337" t="s">
        <v>1051</v>
      </c>
      <c r="B337" s="4">
        <v>45824</v>
      </c>
      <c r="C337" s="4">
        <v>45826</v>
      </c>
      <c r="D337" t="s">
        <v>1052</v>
      </c>
      <c r="E337" t="str">
        <f>PROPER(TRIM([1]raw_orders!E337))</f>
        <v>Rahul Verma</v>
      </c>
      <c r="F337" t="str">
        <f>PROPER(TRIM([1]raw_orders!F337))</f>
        <v>Home Office</v>
      </c>
      <c r="G337" t="str">
        <f>IF('[1]Cleaned Text Field'!G337="","Unknown",'[1]Cleaned Text Field'!G337)</f>
        <v>West</v>
      </c>
      <c r="H337" t="str">
        <f>PROPER(TRIM([1]raw_orders!H337))</f>
        <v>Madhya Pradesh</v>
      </c>
      <c r="I337" t="str">
        <f>PROPER(TRIM([1]raw_orders!I337))</f>
        <v>Indore</v>
      </c>
      <c r="J337" t="str">
        <f>PROPER(TRIM([1]raw_orders!J337))</f>
        <v>Office Supplies</v>
      </c>
      <c r="K337" t="str">
        <f>PROPER(TRIM([1]raw_orders!K337))</f>
        <v>Paper</v>
      </c>
      <c r="L337" t="s">
        <v>1053</v>
      </c>
      <c r="M337" t="str">
        <f>IF('[1]Cleaned Text Field'!M337="","Unknown",'[1]Cleaned Text Field'!M337)</f>
        <v>First Class</v>
      </c>
      <c r="N337">
        <f>IF('[1]Cleaned Text Field'!N337="",0,'[1]Cleaned Text Field'!N337)</f>
        <v>3</v>
      </c>
      <c r="O337">
        <v>4289.37</v>
      </c>
      <c r="P337" s="5">
        <f>IF('[1]Cleaned Text Field'!P337="",0,'[1]Cleaned Text Field'!P337)</f>
        <v>0.1</v>
      </c>
      <c r="Q337">
        <v>11581.3</v>
      </c>
      <c r="R337">
        <v>6829.43</v>
      </c>
      <c r="S337">
        <v>4751.87</v>
      </c>
      <c r="T337" t="str">
        <f>PROPER(TRIM([1]raw_orders!T337))</f>
        <v>Paid</v>
      </c>
      <c r="U337" t="str">
        <f>PROPER(TRIM([1]raw_orders!U337))</f>
        <v>Completed</v>
      </c>
      <c r="V337" s="6">
        <f t="shared" si="40"/>
        <v>0.41030540612884564</v>
      </c>
      <c r="W337" t="str">
        <f t="shared" si="41"/>
        <v>June</v>
      </c>
      <c r="X337">
        <f t="shared" si="42"/>
        <v>2025</v>
      </c>
      <c r="Y337">
        <f t="shared" si="43"/>
        <v>2</v>
      </c>
      <c r="Z337" s="7">
        <f t="shared" si="44"/>
        <v>0.1</v>
      </c>
      <c r="AA337">
        <f t="shared" si="45"/>
        <v>11581.299000000001</v>
      </c>
      <c r="AB337">
        <f t="shared" si="46"/>
        <v>4751.869999999999</v>
      </c>
      <c r="AC337" t="str">
        <f t="shared" si="47"/>
        <v>Clean</v>
      </c>
    </row>
    <row r="338" spans="1:29">
      <c r="A338" t="s">
        <v>1054</v>
      </c>
      <c r="B338" s="4">
        <v>45368</v>
      </c>
      <c r="C338" s="4">
        <v>45372</v>
      </c>
      <c r="D338" t="s">
        <v>806</v>
      </c>
      <c r="E338" t="str">
        <f>PROPER(TRIM([1]raw_orders!E338))</f>
        <v>Aarav Sharma</v>
      </c>
      <c r="F338" t="str">
        <f>PROPER(TRIM([1]raw_orders!F338))</f>
        <v>Consumer</v>
      </c>
      <c r="G338" t="str">
        <f>IF('[1]Cleaned Text Field'!G338="","Unknown",'[1]Cleaned Text Field'!G338)</f>
        <v>North</v>
      </c>
      <c r="H338" t="str">
        <f>PROPER(TRIM([1]raw_orders!H338))</f>
        <v>Rajasthan</v>
      </c>
      <c r="I338" t="str">
        <f>PROPER(TRIM([1]raw_orders!I338))</f>
        <v>Jaipur</v>
      </c>
      <c r="J338" t="str">
        <f>PROPER(TRIM([1]raw_orders!J338))</f>
        <v>Technology</v>
      </c>
      <c r="K338" t="str">
        <f>PROPER(TRIM([1]raw_orders!K338))</f>
        <v>Copiers</v>
      </c>
      <c r="L338" t="s">
        <v>1055</v>
      </c>
      <c r="M338" t="str">
        <f>IF('[1]Cleaned Text Field'!M338="","Unknown",'[1]Cleaned Text Field'!M338)</f>
        <v>First Class</v>
      </c>
      <c r="N338">
        <f>IF('[1]Cleaned Text Field'!N338="",0,'[1]Cleaned Text Field'!N338)</f>
        <v>8</v>
      </c>
      <c r="O338">
        <v>1992.57</v>
      </c>
      <c r="P338" s="5">
        <f>IF('[1]Cleaned Text Field'!P338="",0,'[1]Cleaned Text Field'!P338)</f>
        <v>0</v>
      </c>
      <c r="Q338">
        <v>15940.56</v>
      </c>
      <c r="R338">
        <v>12347.15</v>
      </c>
      <c r="S338">
        <v>3593.41</v>
      </c>
      <c r="T338" t="str">
        <f>PROPER(TRIM([1]raw_orders!T338))</f>
        <v>Paid</v>
      </c>
      <c r="U338" t="str">
        <f>PROPER(TRIM([1]raw_orders!U338))</f>
        <v>Completed</v>
      </c>
      <c r="V338" s="6">
        <f t="shared" si="40"/>
        <v>0.2254255810335396</v>
      </c>
      <c r="W338" t="str">
        <f t="shared" si="41"/>
        <v>March</v>
      </c>
      <c r="X338">
        <f t="shared" si="42"/>
        <v>2024</v>
      </c>
      <c r="Y338">
        <f t="shared" si="43"/>
        <v>4</v>
      </c>
      <c r="Z338" s="7">
        <f t="shared" si="44"/>
        <v>0</v>
      </c>
      <c r="AA338">
        <f t="shared" si="45"/>
        <v>15940.56</v>
      </c>
      <c r="AB338">
        <f t="shared" si="46"/>
        <v>3593.41</v>
      </c>
      <c r="AC338" t="str">
        <f t="shared" si="47"/>
        <v>Clean</v>
      </c>
    </row>
    <row r="339" spans="1:29">
      <c r="A339" t="s">
        <v>1056</v>
      </c>
      <c r="B339" s="4">
        <v>45516</v>
      </c>
      <c r="C339" s="4">
        <v>45522</v>
      </c>
      <c r="D339" t="s">
        <v>1057</v>
      </c>
      <c r="E339" t="str">
        <f>PROPER(TRIM([1]raw_orders!E339))</f>
        <v>Ananya Rao</v>
      </c>
      <c r="F339" t="str">
        <f>PROPER(TRIM([1]raw_orders!F339))</f>
        <v>Consumer</v>
      </c>
      <c r="G339" t="str">
        <f>IF('[1]Cleaned Text Field'!G339="","Unknown",'[1]Cleaned Text Field'!G339)</f>
        <v>East</v>
      </c>
      <c r="H339" t="str">
        <f>PROPER(TRIM([1]raw_orders!H339))</f>
        <v>Assam</v>
      </c>
      <c r="I339" t="str">
        <f>PROPER(TRIM([1]raw_orders!I339))</f>
        <v>Guwahati</v>
      </c>
      <c r="J339" t="str">
        <f>PROPER(TRIM([1]raw_orders!J339))</f>
        <v>Office Supplies</v>
      </c>
      <c r="K339" t="str">
        <f>PROPER(TRIM([1]raw_orders!K339))</f>
        <v>Labels</v>
      </c>
      <c r="L339" t="s">
        <v>1058</v>
      </c>
      <c r="M339" t="str">
        <f>IF('[1]Cleaned Text Field'!M339="","Unknown",'[1]Cleaned Text Field'!M339)</f>
        <v>Same Day</v>
      </c>
      <c r="N339">
        <f>IF('[1]Cleaned Text Field'!N339="",0,'[1]Cleaned Text Field'!N339)</f>
        <v>6</v>
      </c>
      <c r="O339">
        <v>1181.74</v>
      </c>
      <c r="P339" s="5">
        <f>IF('[1]Cleaned Text Field'!P339="",0,'[1]Cleaned Text Field'!P339)</f>
        <v>0</v>
      </c>
      <c r="Q339">
        <v>7090.44</v>
      </c>
      <c r="R339">
        <v>5672.27</v>
      </c>
      <c r="S339">
        <v>1262.8699999999999</v>
      </c>
      <c r="T339" t="str">
        <f>PROPER(TRIM([1]raw_orders!T339))</f>
        <v>Paid</v>
      </c>
      <c r="U339" t="str">
        <f>PROPER(TRIM([1]raw_orders!U339))</f>
        <v>Completed</v>
      </c>
      <c r="V339" s="6">
        <f t="shared" si="40"/>
        <v>0.17810883386644552</v>
      </c>
      <c r="W339" t="str">
        <f t="shared" si="41"/>
        <v>August</v>
      </c>
      <c r="X339">
        <f t="shared" si="42"/>
        <v>2024</v>
      </c>
      <c r="Y339">
        <f t="shared" si="43"/>
        <v>6</v>
      </c>
      <c r="Z339" s="7">
        <f t="shared" si="44"/>
        <v>0</v>
      </c>
      <c r="AA339">
        <f t="shared" si="45"/>
        <v>7090.4400000000005</v>
      </c>
      <c r="AB339">
        <f t="shared" si="46"/>
        <v>1418.1699999999992</v>
      </c>
      <c r="AC339" t="str">
        <f t="shared" si="47"/>
        <v>Clean</v>
      </c>
    </row>
    <row r="340" spans="1:29">
      <c r="A340" t="s">
        <v>1059</v>
      </c>
      <c r="B340" s="4">
        <v>45516</v>
      </c>
      <c r="C340" s="4">
        <v>45634</v>
      </c>
      <c r="D340" t="s">
        <v>1060</v>
      </c>
      <c r="E340" t="str">
        <f>PROPER(TRIM([1]raw_orders!E340))</f>
        <v>Arjun Bose</v>
      </c>
      <c r="F340" t="str">
        <f>PROPER(TRIM([1]raw_orders!F340))</f>
        <v>Small Business</v>
      </c>
      <c r="G340" t="str">
        <f>IF('[1]Cleaned Text Field'!G340="","Unknown",'[1]Cleaned Text Field'!G340)</f>
        <v>South</v>
      </c>
      <c r="H340" t="str">
        <f>PROPER(TRIM([1]raw_orders!H340))</f>
        <v>Andhra Pradesh</v>
      </c>
      <c r="I340" t="str">
        <f>PROPER(TRIM([1]raw_orders!I340))</f>
        <v>Vijayawada</v>
      </c>
      <c r="J340" t="str">
        <f>PROPER(TRIM([1]raw_orders!J340))</f>
        <v>Technology</v>
      </c>
      <c r="K340" t="str">
        <f>PROPER(TRIM([1]raw_orders!K340))</f>
        <v>Accessories</v>
      </c>
      <c r="L340" t="s">
        <v>1061</v>
      </c>
      <c r="M340" t="str">
        <f>IF('[1]Cleaned Text Field'!M340="","Unknown",'[1]Cleaned Text Field'!M340)</f>
        <v>First Class</v>
      </c>
      <c r="N340">
        <f>IF('[1]Cleaned Text Field'!N340="",0,'[1]Cleaned Text Field'!N340)</f>
        <v>8</v>
      </c>
      <c r="O340">
        <v>4402.3599999999997</v>
      </c>
      <c r="P340" s="5">
        <f>IF('[1]Cleaned Text Field'!P340="",0,'[1]Cleaned Text Field'!P340)</f>
        <v>0.25</v>
      </c>
      <c r="Q340">
        <v>26414.16</v>
      </c>
      <c r="R340">
        <v>21822.53</v>
      </c>
      <c r="S340">
        <v>4591.63</v>
      </c>
      <c r="T340" t="str">
        <f>PROPER(TRIM([1]raw_orders!T340))</f>
        <v>Paid</v>
      </c>
      <c r="U340" t="str">
        <f>PROPER(TRIM([1]raw_orders!U340))</f>
        <v>Completed</v>
      </c>
      <c r="V340" s="6">
        <f t="shared" si="40"/>
        <v>0.17383214154832105</v>
      </c>
      <c r="W340" t="str">
        <f t="shared" si="41"/>
        <v>August</v>
      </c>
      <c r="X340">
        <f t="shared" si="42"/>
        <v>2024</v>
      </c>
      <c r="Y340">
        <f t="shared" si="43"/>
        <v>118</v>
      </c>
      <c r="Z340" s="7">
        <f t="shared" si="44"/>
        <v>0.25</v>
      </c>
      <c r="AA340">
        <f t="shared" si="45"/>
        <v>26414.159999999996</v>
      </c>
      <c r="AB340">
        <f t="shared" si="46"/>
        <v>4591.630000000001</v>
      </c>
      <c r="AC340" t="str">
        <f t="shared" si="47"/>
        <v>Clean</v>
      </c>
    </row>
    <row r="341" spans="1:29">
      <c r="A341" t="s">
        <v>1062</v>
      </c>
      <c r="B341" s="4">
        <v>45708</v>
      </c>
      <c r="C341" s="4">
        <v>45710</v>
      </c>
      <c r="D341" t="s">
        <v>1063</v>
      </c>
      <c r="E341" t="str">
        <f>PROPER(TRIM([1]raw_orders!E341))</f>
        <v>Neha Gupta</v>
      </c>
      <c r="F341" t="str">
        <f>PROPER(TRIM([1]raw_orders!F341))</f>
        <v>Corporate</v>
      </c>
      <c r="G341" t="str">
        <f>IF('[1]Cleaned Text Field'!G341="","Unknown",'[1]Cleaned Text Field'!G341)</f>
        <v>East</v>
      </c>
      <c r="H341" t="str">
        <f>PROPER(TRIM([1]raw_orders!H341))</f>
        <v>Jharkhand</v>
      </c>
      <c r="I341" t="str">
        <f>PROPER(TRIM([1]raw_orders!I341))</f>
        <v>Ranchi</v>
      </c>
      <c r="J341" t="str">
        <f>PROPER(TRIM([1]raw_orders!J341))</f>
        <v>Furniture</v>
      </c>
      <c r="K341" t="str">
        <f>PROPER(TRIM([1]raw_orders!K341))</f>
        <v>Bookcases</v>
      </c>
      <c r="L341" t="s">
        <v>1064</v>
      </c>
      <c r="M341" t="str">
        <f>IF('[1]Cleaned Text Field'!M341="","Unknown",'[1]Cleaned Text Field'!M341)</f>
        <v>Standard Class</v>
      </c>
      <c r="N341">
        <f>IF('[1]Cleaned Text Field'!N341="",0,'[1]Cleaned Text Field'!N341)</f>
        <v>8</v>
      </c>
      <c r="O341">
        <v>3265.76</v>
      </c>
      <c r="P341" s="5">
        <f>IF('[1]Cleaned Text Field'!P341="",0,'[1]Cleaned Text Field'!P341)</f>
        <v>0.2</v>
      </c>
      <c r="Q341">
        <v>20900.86</v>
      </c>
      <c r="R341">
        <v>12513.14</v>
      </c>
      <c r="S341">
        <v>8387.7199999999993</v>
      </c>
      <c r="T341" t="str">
        <f>PROPER(TRIM([1]raw_orders!T341))</f>
        <v>Paid</v>
      </c>
      <c r="U341" t="str">
        <f>PROPER(TRIM([1]raw_orders!U341))</f>
        <v>Completed</v>
      </c>
      <c r="V341" s="6">
        <f t="shared" si="40"/>
        <v>0.40130980256314808</v>
      </c>
      <c r="W341" t="str">
        <f t="shared" si="41"/>
        <v>February</v>
      </c>
      <c r="X341">
        <f t="shared" si="42"/>
        <v>2025</v>
      </c>
      <c r="Y341">
        <f t="shared" si="43"/>
        <v>2</v>
      </c>
      <c r="Z341" s="7">
        <f t="shared" si="44"/>
        <v>0.2</v>
      </c>
      <c r="AA341">
        <f t="shared" si="45"/>
        <v>20900.864000000001</v>
      </c>
      <c r="AB341">
        <f t="shared" si="46"/>
        <v>8387.7200000000012</v>
      </c>
      <c r="AC341" t="str">
        <f t="shared" si="47"/>
        <v>Clean</v>
      </c>
    </row>
    <row r="342" spans="1:29">
      <c r="A342" t="s">
        <v>1065</v>
      </c>
      <c r="B342" s="4">
        <v>45312</v>
      </c>
      <c r="C342" s="4">
        <v>45320</v>
      </c>
      <c r="D342" t="s">
        <v>1066</v>
      </c>
      <c r="E342" t="str">
        <f>PROPER(TRIM([1]raw_orders!E342))</f>
        <v>Neha Gupta</v>
      </c>
      <c r="F342" t="str">
        <f>PROPER(TRIM([1]raw_orders!F342))</f>
        <v>Consumer</v>
      </c>
      <c r="G342" t="str">
        <f>IF('[1]Cleaned Text Field'!G342="","Unknown",'[1]Cleaned Text Field'!G342)</f>
        <v>South</v>
      </c>
      <c r="H342" t="str">
        <f>PROPER(TRIM([1]raw_orders!H342))</f>
        <v>Karnataka</v>
      </c>
      <c r="I342" t="str">
        <f>PROPER(TRIM([1]raw_orders!I342))</f>
        <v>Bengaluru</v>
      </c>
      <c r="J342" t="str">
        <f>PROPER(TRIM([1]raw_orders!J342))</f>
        <v>Office Supplies</v>
      </c>
      <c r="K342" t="str">
        <f>PROPER(TRIM([1]raw_orders!K342))</f>
        <v>Binders</v>
      </c>
      <c r="L342" t="s">
        <v>1067</v>
      </c>
      <c r="M342" t="str">
        <f>IF('[1]Cleaned Text Field'!M342="","Unknown",'[1]Cleaned Text Field'!M342)</f>
        <v>Standard Class</v>
      </c>
      <c r="N342">
        <f>IF('[1]Cleaned Text Field'!N342="",0,'[1]Cleaned Text Field'!N342)</f>
        <v>5</v>
      </c>
      <c r="O342">
        <v>4058.08</v>
      </c>
      <c r="P342" s="5">
        <f>IF('[1]Cleaned Text Field'!P342="",0,'[1]Cleaned Text Field'!P342)</f>
        <v>0.1</v>
      </c>
      <c r="Q342">
        <v>18261.36</v>
      </c>
      <c r="R342">
        <v>11399.94</v>
      </c>
      <c r="S342">
        <v>6861.42</v>
      </c>
      <c r="T342" t="str">
        <f>PROPER(TRIM([1]raw_orders!T342))</f>
        <v>Paid</v>
      </c>
      <c r="U342" t="str">
        <f>PROPER(TRIM([1]raw_orders!U342))</f>
        <v>Completed</v>
      </c>
      <c r="V342" s="6">
        <f t="shared" si="40"/>
        <v>0.3757343374206521</v>
      </c>
      <c r="W342" t="str">
        <f t="shared" si="41"/>
        <v>January</v>
      </c>
      <c r="X342">
        <f t="shared" si="42"/>
        <v>2024</v>
      </c>
      <c r="Y342">
        <f t="shared" si="43"/>
        <v>8</v>
      </c>
      <c r="Z342" s="7">
        <f t="shared" si="44"/>
        <v>0.1</v>
      </c>
      <c r="AA342">
        <f t="shared" si="45"/>
        <v>18261.36</v>
      </c>
      <c r="AB342">
        <f t="shared" si="46"/>
        <v>6861.42</v>
      </c>
      <c r="AC342" t="str">
        <f t="shared" si="47"/>
        <v>Clean</v>
      </c>
    </row>
    <row r="343" spans="1:29">
      <c r="A343" t="s">
        <v>1068</v>
      </c>
      <c r="B343" s="4">
        <v>45908</v>
      </c>
      <c r="C343" s="4">
        <v>45909</v>
      </c>
      <c r="D343" t="s">
        <v>1069</v>
      </c>
      <c r="E343" t="str">
        <f>PROPER(TRIM([1]raw_orders!E343))</f>
        <v>Rohan Mehta</v>
      </c>
      <c r="F343" t="str">
        <f>PROPER(TRIM([1]raw_orders!F343))</f>
        <v>Home Office</v>
      </c>
      <c r="G343" t="str">
        <f>IF('[1]Cleaned Text Field'!G343="","Unknown",'[1]Cleaned Text Field'!G343)</f>
        <v>West</v>
      </c>
      <c r="H343" t="str">
        <f>PROPER(TRIM([1]raw_orders!H343))</f>
        <v>Gujarat</v>
      </c>
      <c r="I343" t="str">
        <f>PROPER(TRIM([1]raw_orders!I343))</f>
        <v>Ahmedabad</v>
      </c>
      <c r="J343" t="str">
        <f>PROPER(TRIM([1]raw_orders!J343))</f>
        <v>Furniture</v>
      </c>
      <c r="K343" t="str">
        <f>PROPER(TRIM([1]raw_orders!K343))</f>
        <v>Chairs</v>
      </c>
      <c r="L343" t="s">
        <v>1070</v>
      </c>
      <c r="M343" t="str">
        <f>IF('[1]Cleaned Text Field'!M343="","Unknown",'[1]Cleaned Text Field'!M343)</f>
        <v>Second Class</v>
      </c>
      <c r="N343">
        <f>IF('[1]Cleaned Text Field'!N343="",0,'[1]Cleaned Text Field'!N343)</f>
        <v>2</v>
      </c>
      <c r="O343">
        <v>3960.33</v>
      </c>
      <c r="P343" s="5">
        <f>IF('[1]Cleaned Text Field'!P343="",0,'[1]Cleaned Text Field'!P343)</f>
        <v>0.05</v>
      </c>
      <c r="Q343">
        <v>7524.63</v>
      </c>
      <c r="R343">
        <v>6229.6</v>
      </c>
      <c r="S343">
        <v>1295.03</v>
      </c>
      <c r="T343" t="str">
        <f>PROPER(TRIM([1]raw_orders!T343))</f>
        <v>Paid</v>
      </c>
      <c r="U343" t="str">
        <f>PROPER(TRIM([1]raw_orders!U343))</f>
        <v>Completed</v>
      </c>
      <c r="V343" s="6">
        <f t="shared" si="40"/>
        <v>0.17210547229564777</v>
      </c>
      <c r="W343" t="str">
        <f t="shared" si="41"/>
        <v>September</v>
      </c>
      <c r="X343">
        <f t="shared" si="42"/>
        <v>2025</v>
      </c>
      <c r="Y343">
        <f t="shared" si="43"/>
        <v>1</v>
      </c>
      <c r="Z343" s="7">
        <f t="shared" si="44"/>
        <v>0.05</v>
      </c>
      <c r="AA343">
        <f t="shared" si="45"/>
        <v>7524.6269999999995</v>
      </c>
      <c r="AB343">
        <f t="shared" si="46"/>
        <v>1295.0299999999997</v>
      </c>
      <c r="AC343" t="str">
        <f t="shared" si="47"/>
        <v>Clean</v>
      </c>
    </row>
    <row r="344" spans="1:29">
      <c r="A344" t="s">
        <v>1071</v>
      </c>
      <c r="B344" s="4">
        <v>45862</v>
      </c>
      <c r="C344" s="4">
        <v>45665</v>
      </c>
      <c r="D344" t="s">
        <v>1072</v>
      </c>
      <c r="E344" t="str">
        <f>PROPER(TRIM([1]raw_orders!E344))</f>
        <v>Kabir Singh</v>
      </c>
      <c r="F344" t="str">
        <f>PROPER(TRIM([1]raw_orders!F344))</f>
        <v>Small Business</v>
      </c>
      <c r="G344" t="str">
        <f>IF('[1]Cleaned Text Field'!G344="","Unknown",'[1]Cleaned Text Field'!G344)</f>
        <v>East</v>
      </c>
      <c r="H344" t="str">
        <f>PROPER(TRIM([1]raw_orders!H344))</f>
        <v>Jharkhand</v>
      </c>
      <c r="I344" t="str">
        <f>PROPER(TRIM([1]raw_orders!I344))</f>
        <v>Ranchi</v>
      </c>
      <c r="J344" t="str">
        <f>PROPER(TRIM([1]raw_orders!J344))</f>
        <v>Office Supplies</v>
      </c>
      <c r="K344" t="str">
        <f>PROPER(TRIM([1]raw_orders!K344))</f>
        <v>Binders</v>
      </c>
      <c r="L344" t="s">
        <v>1073</v>
      </c>
      <c r="M344" t="str">
        <f>IF('[1]Cleaned Text Field'!M344="","Unknown",'[1]Cleaned Text Field'!M344)</f>
        <v>First Class</v>
      </c>
      <c r="N344">
        <f>IF('[1]Cleaned Text Field'!N344="",0,'[1]Cleaned Text Field'!N344)</f>
        <v>8</v>
      </c>
      <c r="O344">
        <v>1528.92</v>
      </c>
      <c r="P344" s="5">
        <f>IF('[1]Cleaned Text Field'!P344="",0,'[1]Cleaned Text Field'!P344)</f>
        <v>0</v>
      </c>
      <c r="Q344">
        <v>12231.36</v>
      </c>
      <c r="R344">
        <v>8766.9</v>
      </c>
      <c r="S344">
        <v>3464.46</v>
      </c>
      <c r="T344" t="str">
        <f>PROPER(TRIM([1]raw_orders!T344))</f>
        <v>Paid</v>
      </c>
      <c r="U344" t="str">
        <f>PROPER(TRIM([1]raw_orders!U344))</f>
        <v>Completed</v>
      </c>
      <c r="V344" s="6">
        <f t="shared" si="40"/>
        <v>0.28324405462679536</v>
      </c>
      <c r="W344" t="str">
        <f t="shared" si="41"/>
        <v>July</v>
      </c>
      <c r="X344">
        <f t="shared" si="42"/>
        <v>2025</v>
      </c>
      <c r="Y344">
        <f t="shared" si="43"/>
        <v>-197</v>
      </c>
      <c r="Z344" s="7">
        <f t="shared" si="44"/>
        <v>0</v>
      </c>
      <c r="AA344">
        <f t="shared" si="45"/>
        <v>12231.36</v>
      </c>
      <c r="AB344">
        <f t="shared" si="46"/>
        <v>3464.4600000000009</v>
      </c>
      <c r="AC344" t="str">
        <f t="shared" si="47"/>
        <v>Warning</v>
      </c>
    </row>
    <row r="345" spans="1:29">
      <c r="A345" t="s">
        <v>1074</v>
      </c>
      <c r="B345" s="4">
        <v>45933</v>
      </c>
      <c r="C345" s="4">
        <v>45938</v>
      </c>
      <c r="D345" t="s">
        <v>1075</v>
      </c>
      <c r="E345" t="str">
        <f>PROPER(TRIM([1]raw_orders!E345))</f>
        <v>Aarav Sharma</v>
      </c>
      <c r="F345" t="str">
        <f>PROPER(TRIM([1]raw_orders!F345))</f>
        <v>Corporate</v>
      </c>
      <c r="G345" t="str">
        <f>IF('[1]Cleaned Text Field'!G345="","Unknown",'[1]Cleaned Text Field'!G345)</f>
        <v>West</v>
      </c>
      <c r="H345" t="str">
        <f>PROPER(TRIM([1]raw_orders!H345))</f>
        <v>Madhya Pradesh</v>
      </c>
      <c r="I345" t="str">
        <f>PROPER(TRIM([1]raw_orders!I345))</f>
        <v>Indore</v>
      </c>
      <c r="J345" t="str">
        <f>PROPER(TRIM([1]raw_orders!J345))</f>
        <v>Technology</v>
      </c>
      <c r="K345" t="str">
        <f>PROPER(TRIM([1]raw_orders!K345))</f>
        <v>Machines</v>
      </c>
      <c r="L345" t="s">
        <v>1076</v>
      </c>
      <c r="M345" t="str">
        <f>IF('[1]Cleaned Text Field'!M345="","Unknown",'[1]Cleaned Text Field'!M345)</f>
        <v>Same Day</v>
      </c>
      <c r="N345">
        <f>IF('[1]Cleaned Text Field'!N345="",0,'[1]Cleaned Text Field'!N345)</f>
        <v>9</v>
      </c>
      <c r="O345">
        <v>3837</v>
      </c>
      <c r="P345" s="5">
        <f>IF('[1]Cleaned Text Field'!P345="",0,'[1]Cleaned Text Field'!P345)</f>
        <v>0.1</v>
      </c>
      <c r="Q345">
        <v>31079.7</v>
      </c>
      <c r="R345">
        <v>17758.25</v>
      </c>
      <c r="S345">
        <v>13321.45</v>
      </c>
      <c r="T345" t="str">
        <f>PROPER(TRIM([1]raw_orders!T345))</f>
        <v>Paid</v>
      </c>
      <c r="U345" t="str">
        <f>PROPER(TRIM([1]raw_orders!U345))</f>
        <v>Completed</v>
      </c>
      <c r="V345" s="6">
        <f t="shared" si="40"/>
        <v>0.4286222196481948</v>
      </c>
      <c r="W345" t="str">
        <f t="shared" si="41"/>
        <v>October</v>
      </c>
      <c r="X345">
        <f t="shared" si="42"/>
        <v>2025</v>
      </c>
      <c r="Y345">
        <f t="shared" si="43"/>
        <v>5</v>
      </c>
      <c r="Z345" s="7">
        <f t="shared" si="44"/>
        <v>0.1</v>
      </c>
      <c r="AA345">
        <f t="shared" si="45"/>
        <v>31079.7</v>
      </c>
      <c r="AB345">
        <f t="shared" si="46"/>
        <v>13321.45</v>
      </c>
      <c r="AC345" t="str">
        <f t="shared" si="47"/>
        <v>Clean</v>
      </c>
    </row>
    <row r="346" spans="1:29">
      <c r="A346" t="s">
        <v>1077</v>
      </c>
      <c r="B346" s="4">
        <v>45599</v>
      </c>
      <c r="C346" s="4">
        <v>45599</v>
      </c>
      <c r="D346" t="s">
        <v>1078</v>
      </c>
      <c r="E346" t="str">
        <f>PROPER(TRIM([1]raw_orders!E346))</f>
        <v>Priya Menon</v>
      </c>
      <c r="F346" t="str">
        <f>PROPER(TRIM([1]raw_orders!F346))</f>
        <v>Consumer</v>
      </c>
      <c r="G346" t="str">
        <f>IF('[1]Cleaned Text Field'!G346="","Unknown",'[1]Cleaned Text Field'!G346)</f>
        <v>North</v>
      </c>
      <c r="H346" t="str">
        <f>PROPER(TRIM([1]raw_orders!H346))</f>
        <v>Punjab</v>
      </c>
      <c r="I346" t="str">
        <f>PROPER(TRIM([1]raw_orders!I346))</f>
        <v>Ludhiana</v>
      </c>
      <c r="J346" t="str">
        <f>PROPER(TRIM([1]raw_orders!J346))</f>
        <v>Furniture</v>
      </c>
      <c r="K346" t="str">
        <f>PROPER(TRIM([1]raw_orders!K346))</f>
        <v>Bookcases</v>
      </c>
      <c r="L346" t="s">
        <v>1079</v>
      </c>
      <c r="M346" t="str">
        <f>IF('[1]Cleaned Text Field'!M346="","Unknown",'[1]Cleaned Text Field'!M346)</f>
        <v>Same Day</v>
      </c>
      <c r="N346">
        <f>IF('[1]Cleaned Text Field'!N346="",0,'[1]Cleaned Text Field'!N346)</f>
        <v>9</v>
      </c>
      <c r="O346">
        <v>3456.38</v>
      </c>
      <c r="P346" s="5">
        <f>IF('[1]Cleaned Text Field'!P346="",0,'[1]Cleaned Text Field'!P346)</f>
        <v>0</v>
      </c>
      <c r="Q346">
        <v>31107.42</v>
      </c>
      <c r="R346">
        <v>20146.66</v>
      </c>
      <c r="S346">
        <v>10960.76</v>
      </c>
      <c r="T346" t="str">
        <f>PROPER(TRIM([1]raw_orders!T346))</f>
        <v>Pending</v>
      </c>
      <c r="U346" t="str">
        <f>PROPER(TRIM([1]raw_orders!U346))</f>
        <v>Returned</v>
      </c>
      <c r="V346" s="6">
        <f t="shared" si="40"/>
        <v>0.3523519468988428</v>
      </c>
      <c r="W346" t="str">
        <f t="shared" si="41"/>
        <v>November</v>
      </c>
      <c r="X346">
        <f t="shared" si="42"/>
        <v>2024</v>
      </c>
      <c r="Y346">
        <f t="shared" si="43"/>
        <v>0</v>
      </c>
      <c r="Z346" s="7">
        <f t="shared" si="44"/>
        <v>0</v>
      </c>
      <c r="AA346">
        <f t="shared" si="45"/>
        <v>31107.420000000002</v>
      </c>
      <c r="AB346">
        <f t="shared" si="46"/>
        <v>10960.759999999998</v>
      </c>
      <c r="AC346" t="str">
        <f t="shared" si="47"/>
        <v>Clean</v>
      </c>
    </row>
    <row r="347" spans="1:29">
      <c r="A347" t="s">
        <v>1080</v>
      </c>
      <c r="B347" s="4">
        <v>45549</v>
      </c>
      <c r="C347" s="4">
        <v>45557</v>
      </c>
      <c r="D347" t="s">
        <v>1081</v>
      </c>
      <c r="E347" t="str">
        <f>PROPER(TRIM([1]raw_orders!E347))</f>
        <v>Karan Malhotra</v>
      </c>
      <c r="F347" t="str">
        <f>PROPER(TRIM([1]raw_orders!F347))</f>
        <v>Consumer</v>
      </c>
      <c r="G347" t="str">
        <f>IF('[1]Cleaned Text Field'!G347="","Unknown",'[1]Cleaned Text Field'!G347)</f>
        <v>West</v>
      </c>
      <c r="H347" t="str">
        <f>PROPER(TRIM([1]raw_orders!H347))</f>
        <v>Madhya Pradesh</v>
      </c>
      <c r="I347" t="str">
        <f>PROPER(TRIM([1]raw_orders!I347))</f>
        <v>Indore</v>
      </c>
      <c r="J347" t="str">
        <f>PROPER(TRIM([1]raw_orders!J347))</f>
        <v>Furniture</v>
      </c>
      <c r="K347" t="str">
        <f>PROPER(TRIM([1]raw_orders!K347))</f>
        <v>Furnishings</v>
      </c>
      <c r="L347" t="s">
        <v>1082</v>
      </c>
      <c r="M347" t="str">
        <f>IF('[1]Cleaned Text Field'!M347="","Unknown",'[1]Cleaned Text Field'!M347)</f>
        <v>Second Class</v>
      </c>
      <c r="N347">
        <f>IF('[1]Cleaned Text Field'!N347="",0,'[1]Cleaned Text Field'!N347)</f>
        <v>2</v>
      </c>
      <c r="O347">
        <v>2765.3</v>
      </c>
      <c r="P347" s="5">
        <f>IF('[1]Cleaned Text Field'!P347="",0,'[1]Cleaned Text Field'!P347)</f>
        <v>0</v>
      </c>
      <c r="Q347">
        <v>5530.6</v>
      </c>
      <c r="R347">
        <v>4453.1099999999997</v>
      </c>
      <c r="S347">
        <v>1077.49</v>
      </c>
      <c r="T347" t="str">
        <f>PROPER(TRIM([1]raw_orders!T347))</f>
        <v>Paid</v>
      </c>
      <c r="U347" t="str">
        <f>PROPER(TRIM([1]raw_orders!U347))</f>
        <v>Completed</v>
      </c>
      <c r="V347" s="6">
        <f t="shared" si="40"/>
        <v>0.1948233464723538</v>
      </c>
      <c r="W347" t="str">
        <f t="shared" si="41"/>
        <v>September</v>
      </c>
      <c r="X347">
        <f t="shared" si="42"/>
        <v>2024</v>
      </c>
      <c r="Y347">
        <f t="shared" si="43"/>
        <v>8</v>
      </c>
      <c r="Z347" s="7">
        <f t="shared" si="44"/>
        <v>0</v>
      </c>
      <c r="AA347">
        <f t="shared" si="45"/>
        <v>5530.6</v>
      </c>
      <c r="AB347">
        <f t="shared" si="46"/>
        <v>1077.4900000000007</v>
      </c>
      <c r="AC347" t="str">
        <f t="shared" si="47"/>
        <v>Clean</v>
      </c>
    </row>
    <row r="348" spans="1:29">
      <c r="A348" t="s">
        <v>1083</v>
      </c>
      <c r="B348" s="4">
        <v>45860</v>
      </c>
      <c r="C348" s="4">
        <v>45866</v>
      </c>
      <c r="D348" t="s">
        <v>1084</v>
      </c>
      <c r="E348" t="str">
        <f>PROPER(TRIM([1]raw_orders!E348))</f>
        <v>Rahul Verma</v>
      </c>
      <c r="F348" t="str">
        <f>PROPER(TRIM([1]raw_orders!F348))</f>
        <v>Corporate</v>
      </c>
      <c r="G348" t="str">
        <f>IF('[1]Cleaned Text Field'!G348="","Unknown",'[1]Cleaned Text Field'!G348)</f>
        <v>South</v>
      </c>
      <c r="H348" t="str">
        <f>PROPER(TRIM([1]raw_orders!H348))</f>
        <v>Kerala</v>
      </c>
      <c r="I348" t="str">
        <f>PROPER(TRIM([1]raw_orders!I348))</f>
        <v>Kochi</v>
      </c>
      <c r="J348" t="str">
        <f>PROPER(TRIM([1]raw_orders!J348))</f>
        <v>Furniture</v>
      </c>
      <c r="K348" t="str">
        <f>PROPER(TRIM([1]raw_orders!K348))</f>
        <v>Chairs</v>
      </c>
      <c r="L348" t="s">
        <v>1085</v>
      </c>
      <c r="M348" t="str">
        <f>IF('[1]Cleaned Text Field'!M348="","Unknown",'[1]Cleaned Text Field'!M348)</f>
        <v>Second Class</v>
      </c>
      <c r="N348">
        <f>IF('[1]Cleaned Text Field'!N348="",0,'[1]Cleaned Text Field'!N348)</f>
        <v>6</v>
      </c>
      <c r="O348">
        <v>1607.46</v>
      </c>
      <c r="P348" s="5">
        <f>IF('[1]Cleaned Text Field'!P348="",0,'[1]Cleaned Text Field'!P348)</f>
        <v>0.2</v>
      </c>
      <c r="Q348">
        <v>7715.81</v>
      </c>
      <c r="R348">
        <v>4258.42</v>
      </c>
      <c r="S348">
        <v>3457.39</v>
      </c>
      <c r="T348" t="str">
        <f>PROPER(TRIM([1]raw_orders!T348))</f>
        <v>Paid</v>
      </c>
      <c r="U348" t="str">
        <f>PROPER(TRIM([1]raw_orders!U348))</f>
        <v>Completed</v>
      </c>
      <c r="V348" s="6">
        <f t="shared" si="40"/>
        <v>0.44809164559521292</v>
      </c>
      <c r="W348" t="str">
        <f t="shared" si="41"/>
        <v>July</v>
      </c>
      <c r="X348">
        <f t="shared" si="42"/>
        <v>2025</v>
      </c>
      <c r="Y348">
        <f t="shared" si="43"/>
        <v>6</v>
      </c>
      <c r="Z348" s="7">
        <f t="shared" si="44"/>
        <v>0.2</v>
      </c>
      <c r="AA348">
        <f t="shared" si="45"/>
        <v>7715.8080000000009</v>
      </c>
      <c r="AB348">
        <f t="shared" si="46"/>
        <v>3457.3900000000003</v>
      </c>
      <c r="AC348" t="str">
        <f t="shared" si="47"/>
        <v>Clean</v>
      </c>
    </row>
    <row r="349" spans="1:29">
      <c r="A349" t="s">
        <v>1086</v>
      </c>
      <c r="B349" s="4">
        <v>45303</v>
      </c>
      <c r="C349" s="4">
        <v>45634</v>
      </c>
      <c r="D349" t="s">
        <v>1087</v>
      </c>
      <c r="E349" t="str">
        <f>PROPER(TRIM([1]raw_orders!E349))</f>
        <v>Aarav Sharma</v>
      </c>
      <c r="F349" t="str">
        <f>PROPER(TRIM([1]raw_orders!F349))</f>
        <v>Small Business</v>
      </c>
      <c r="G349" t="str">
        <f>IF('[1]Cleaned Text Field'!G349="","Unknown",'[1]Cleaned Text Field'!G349)</f>
        <v>West</v>
      </c>
      <c r="H349" t="str">
        <f>PROPER(TRIM([1]raw_orders!H349))</f>
        <v>Goa</v>
      </c>
      <c r="I349" t="str">
        <f>PROPER(TRIM([1]raw_orders!I349))</f>
        <v>Panaji</v>
      </c>
      <c r="J349" t="str">
        <f>PROPER(TRIM([1]raw_orders!J349))</f>
        <v>Furniture</v>
      </c>
      <c r="K349" t="str">
        <f>PROPER(TRIM([1]raw_orders!K349))</f>
        <v>Chairs</v>
      </c>
      <c r="L349" t="s">
        <v>1088</v>
      </c>
      <c r="M349" t="str">
        <f>IF('[1]Cleaned Text Field'!M349="","Unknown",'[1]Cleaned Text Field'!M349)</f>
        <v>Second Class</v>
      </c>
      <c r="N349">
        <f>IF('[1]Cleaned Text Field'!N349="",0,'[1]Cleaned Text Field'!N349)</f>
        <v>5</v>
      </c>
      <c r="O349">
        <v>2981.49</v>
      </c>
      <c r="P349" s="5">
        <f>IF('[1]Cleaned Text Field'!P349="",0,'[1]Cleaned Text Field'!P349)</f>
        <v>0.2</v>
      </c>
      <c r="Q349">
        <v>11925.96</v>
      </c>
      <c r="R349">
        <v>10103.51</v>
      </c>
      <c r="S349">
        <v>1822.45</v>
      </c>
      <c r="T349" t="str">
        <f>PROPER(TRIM([1]raw_orders!T349))</f>
        <v>Refunded</v>
      </c>
      <c r="U349" t="str">
        <f>PROPER(TRIM([1]raw_orders!U349))</f>
        <v>Returned</v>
      </c>
      <c r="V349" s="6">
        <f t="shared" si="40"/>
        <v>0.15281369382422885</v>
      </c>
      <c r="W349" t="str">
        <f t="shared" si="41"/>
        <v>January</v>
      </c>
      <c r="X349">
        <f t="shared" si="42"/>
        <v>2024</v>
      </c>
      <c r="Y349">
        <f t="shared" si="43"/>
        <v>331</v>
      </c>
      <c r="Z349" s="7">
        <f t="shared" si="44"/>
        <v>0.2</v>
      </c>
      <c r="AA349">
        <f t="shared" si="45"/>
        <v>11925.96</v>
      </c>
      <c r="AB349">
        <f t="shared" si="46"/>
        <v>1822.4499999999989</v>
      </c>
      <c r="AC349" t="str">
        <f t="shared" si="47"/>
        <v>Clean</v>
      </c>
    </row>
    <row r="350" spans="1:29">
      <c r="A350" t="s">
        <v>1089</v>
      </c>
      <c r="B350" s="4">
        <v>45445</v>
      </c>
      <c r="C350" s="4">
        <v>45450</v>
      </c>
      <c r="D350" t="s">
        <v>1090</v>
      </c>
      <c r="E350" t="str">
        <f>PROPER(TRIM([1]raw_orders!E350))</f>
        <v>Aarav Sharma</v>
      </c>
      <c r="F350" t="str">
        <f>PROPER(TRIM([1]raw_orders!F350))</f>
        <v>Corporate</v>
      </c>
      <c r="G350" t="str">
        <f>IF('[1]Cleaned Text Field'!G350="","Unknown",'[1]Cleaned Text Field'!G350)</f>
        <v>South</v>
      </c>
      <c r="H350" t="str">
        <f>PROPER(TRIM([1]raw_orders!H350))</f>
        <v>Karnataka</v>
      </c>
      <c r="I350" t="str">
        <f>PROPER(TRIM([1]raw_orders!I350))</f>
        <v>Bengaluru</v>
      </c>
      <c r="J350" t="str">
        <f>PROPER(TRIM([1]raw_orders!J350))</f>
        <v>Technology</v>
      </c>
      <c r="K350" t="str">
        <f>PROPER(TRIM([1]raw_orders!K350))</f>
        <v>Phones</v>
      </c>
      <c r="L350" t="s">
        <v>1091</v>
      </c>
      <c r="M350" t="str">
        <f>IF('[1]Cleaned Text Field'!M350="","Unknown",'[1]Cleaned Text Field'!M350)</f>
        <v>Same Day</v>
      </c>
      <c r="N350">
        <f>IF('[1]Cleaned Text Field'!N350="",0,'[1]Cleaned Text Field'!N350)</f>
        <v>9</v>
      </c>
      <c r="O350">
        <v>2860.26</v>
      </c>
      <c r="P350" s="5">
        <f>IF('[1]Cleaned Text Field'!P350="",0,'[1]Cleaned Text Field'!P350)</f>
        <v>0.25</v>
      </c>
      <c r="Q350">
        <v>19306.759999999998</v>
      </c>
      <c r="R350">
        <v>14442.38</v>
      </c>
      <c r="S350">
        <v>4864.38</v>
      </c>
      <c r="T350" t="str">
        <f>PROPER(TRIM([1]raw_orders!T350))</f>
        <v>Paid</v>
      </c>
      <c r="U350" t="str">
        <f>PROPER(TRIM([1]raw_orders!U350))</f>
        <v>Completed</v>
      </c>
      <c r="V350" s="6">
        <f t="shared" si="40"/>
        <v>0.25195216597709819</v>
      </c>
      <c r="W350" t="str">
        <f t="shared" si="41"/>
        <v>June</v>
      </c>
      <c r="X350">
        <f t="shared" si="42"/>
        <v>2024</v>
      </c>
      <c r="Y350">
        <f t="shared" si="43"/>
        <v>5</v>
      </c>
      <c r="Z350" s="7">
        <f t="shared" si="44"/>
        <v>0.25</v>
      </c>
      <c r="AA350">
        <f t="shared" si="45"/>
        <v>19306.755000000005</v>
      </c>
      <c r="AB350">
        <f t="shared" si="46"/>
        <v>4864.3799999999992</v>
      </c>
      <c r="AC350" t="str">
        <f t="shared" si="47"/>
        <v>Clean</v>
      </c>
    </row>
    <row r="351" spans="1:29">
      <c r="A351" t="s">
        <v>1092</v>
      </c>
      <c r="B351" s="4">
        <v>45927</v>
      </c>
      <c r="C351" s="4">
        <v>45929</v>
      </c>
      <c r="D351" t="s">
        <v>1093</v>
      </c>
      <c r="E351" t="str">
        <f>PROPER(TRIM([1]raw_orders!E351))</f>
        <v>Kabir Singh</v>
      </c>
      <c r="F351" t="str">
        <f>PROPER(TRIM([1]raw_orders!F351))</f>
        <v>Home Office</v>
      </c>
      <c r="G351" t="str">
        <f>IF('[1]Cleaned Text Field'!G351="","Unknown",'[1]Cleaned Text Field'!G351)</f>
        <v>East</v>
      </c>
      <c r="H351" t="str">
        <f>PROPER(TRIM([1]raw_orders!H351))</f>
        <v>Jharkhand</v>
      </c>
      <c r="I351" t="str">
        <f>PROPER(TRIM([1]raw_orders!I351))</f>
        <v>Ranchi</v>
      </c>
      <c r="J351" t="str">
        <f>PROPER(TRIM([1]raw_orders!J351))</f>
        <v>Furniture</v>
      </c>
      <c r="K351" t="str">
        <f>PROPER(TRIM([1]raw_orders!K351))</f>
        <v>Furnishings</v>
      </c>
      <c r="L351" t="s">
        <v>1094</v>
      </c>
      <c r="M351" t="str">
        <f>IF('[1]Cleaned Text Field'!M351="","Unknown",'[1]Cleaned Text Field'!M351)</f>
        <v>Second Class</v>
      </c>
      <c r="N351">
        <f>IF('[1]Cleaned Text Field'!N351="",0,'[1]Cleaned Text Field'!N351)</f>
        <v>9</v>
      </c>
      <c r="O351">
        <v>2867.55</v>
      </c>
      <c r="P351" s="5">
        <f>IF('[1]Cleaned Text Field'!P351="",0,'[1]Cleaned Text Field'!P351)</f>
        <v>0.25</v>
      </c>
      <c r="Q351">
        <v>19355.96</v>
      </c>
      <c r="R351">
        <v>15012.45</v>
      </c>
      <c r="S351">
        <v>4017.4</v>
      </c>
      <c r="T351" t="str">
        <f>PROPER(TRIM([1]raw_orders!T351))</f>
        <v>Paid</v>
      </c>
      <c r="U351" t="str">
        <f>PROPER(TRIM([1]raw_orders!U351))</f>
        <v>Completed</v>
      </c>
      <c r="V351" s="6">
        <f t="shared" si="40"/>
        <v>0.20755364239231741</v>
      </c>
      <c r="W351" t="str">
        <f t="shared" si="41"/>
        <v>September</v>
      </c>
      <c r="X351">
        <f t="shared" si="42"/>
        <v>2025</v>
      </c>
      <c r="Y351">
        <f t="shared" si="43"/>
        <v>2</v>
      </c>
      <c r="Z351" s="7">
        <f t="shared" si="44"/>
        <v>0.25</v>
      </c>
      <c r="AA351">
        <f t="shared" si="45"/>
        <v>19355.962500000001</v>
      </c>
      <c r="AB351">
        <f t="shared" si="46"/>
        <v>4343.5099999999984</v>
      </c>
      <c r="AC351" t="str">
        <f t="shared" si="47"/>
        <v>Clean</v>
      </c>
    </row>
    <row r="352" spans="1:29">
      <c r="A352" t="s">
        <v>1095</v>
      </c>
      <c r="B352" s="4">
        <v>45474</v>
      </c>
      <c r="C352" s="4">
        <v>45305</v>
      </c>
      <c r="D352" t="s">
        <v>1096</v>
      </c>
      <c r="E352" t="str">
        <f>PROPER(TRIM([1]raw_orders!E352))</f>
        <v>Sneha Kapoor</v>
      </c>
      <c r="F352" t="str">
        <f>PROPER(TRIM([1]raw_orders!F352))</f>
        <v>Small Business</v>
      </c>
      <c r="G352" t="str">
        <f>IF('[1]Cleaned Text Field'!G352="","Unknown",'[1]Cleaned Text Field'!G352)</f>
        <v>East</v>
      </c>
      <c r="H352" t="str">
        <f>PROPER(TRIM([1]raw_orders!H352))</f>
        <v>Jharkhand</v>
      </c>
      <c r="I352" t="str">
        <f>PROPER(TRIM([1]raw_orders!I352))</f>
        <v>Ranchi</v>
      </c>
      <c r="J352" t="str">
        <f>PROPER(TRIM([1]raw_orders!J352))</f>
        <v>Furniture</v>
      </c>
      <c r="K352" t="str">
        <f>PROPER(TRIM([1]raw_orders!K352))</f>
        <v>Furnishings</v>
      </c>
      <c r="L352" t="s">
        <v>1097</v>
      </c>
      <c r="M352" t="str">
        <f>IF('[1]Cleaned Text Field'!M352="","Unknown",'[1]Cleaned Text Field'!M352)</f>
        <v>Second Class</v>
      </c>
      <c r="N352">
        <f>IF('[1]Cleaned Text Field'!N352="",0,'[1]Cleaned Text Field'!N352)</f>
        <v>4</v>
      </c>
      <c r="O352">
        <v>3309.54</v>
      </c>
      <c r="P352" s="5">
        <f>IF('[1]Cleaned Text Field'!P352="",0,'[1]Cleaned Text Field'!P352)</f>
        <v>0.1</v>
      </c>
      <c r="Q352">
        <v>11914.34</v>
      </c>
      <c r="R352">
        <v>9771.24</v>
      </c>
      <c r="S352">
        <v>2143.1</v>
      </c>
      <c r="T352" t="str">
        <f>PROPER(TRIM([1]raw_orders!T352))</f>
        <v>Refunded</v>
      </c>
      <c r="U352" t="str">
        <f>PROPER(TRIM([1]raw_orders!U352))</f>
        <v>Returned</v>
      </c>
      <c r="V352" s="6">
        <f t="shared" si="40"/>
        <v>0.1798756792235239</v>
      </c>
      <c r="W352" t="str">
        <f t="shared" si="41"/>
        <v>July</v>
      </c>
      <c r="X352">
        <f t="shared" si="42"/>
        <v>2024</v>
      </c>
      <c r="Y352">
        <f t="shared" si="43"/>
        <v>-169</v>
      </c>
      <c r="Z352" s="7">
        <f t="shared" si="44"/>
        <v>0.1</v>
      </c>
      <c r="AA352">
        <f t="shared" si="45"/>
        <v>11914.344000000001</v>
      </c>
      <c r="AB352">
        <f t="shared" si="46"/>
        <v>2143.1000000000004</v>
      </c>
      <c r="AC352" t="str">
        <f t="shared" si="47"/>
        <v>Warning</v>
      </c>
    </row>
    <row r="353" spans="1:29">
      <c r="A353" t="s">
        <v>1098</v>
      </c>
      <c r="B353" s="4">
        <v>45800</v>
      </c>
      <c r="C353" s="4">
        <v>45804</v>
      </c>
      <c r="D353" t="s">
        <v>1099</v>
      </c>
      <c r="E353" t="str">
        <f>PROPER(TRIM([1]raw_orders!E353))</f>
        <v>Vikram Iyer</v>
      </c>
      <c r="F353" t="str">
        <f>PROPER(TRIM([1]raw_orders!F353))</f>
        <v>Small Business</v>
      </c>
      <c r="G353" t="str">
        <f>IF('[1]Cleaned Text Field'!G353="","Unknown",'[1]Cleaned Text Field'!G353)</f>
        <v>South</v>
      </c>
      <c r="H353" t="str">
        <f>PROPER(TRIM([1]raw_orders!H353))</f>
        <v>Telangana</v>
      </c>
      <c r="I353" t="str">
        <f>PROPER(TRIM([1]raw_orders!I353))</f>
        <v>Hyderabad</v>
      </c>
      <c r="J353" t="str">
        <f>PROPER(TRIM([1]raw_orders!J353))</f>
        <v>Office Supplies</v>
      </c>
      <c r="K353" t="str">
        <f>PROPER(TRIM([1]raw_orders!K353))</f>
        <v>Storage</v>
      </c>
      <c r="L353" t="s">
        <v>1100</v>
      </c>
      <c r="M353" t="str">
        <f>IF('[1]Cleaned Text Field'!M353="","Unknown",'[1]Cleaned Text Field'!M353)</f>
        <v>First Class</v>
      </c>
      <c r="N353">
        <f>IF('[1]Cleaned Text Field'!N353="",0,'[1]Cleaned Text Field'!N353)</f>
        <v>6</v>
      </c>
      <c r="O353">
        <v>719.44</v>
      </c>
      <c r="P353" s="5">
        <f>IF('[1]Cleaned Text Field'!P353="",0,'[1]Cleaned Text Field'!P353)</f>
        <v>0.25</v>
      </c>
      <c r="Q353">
        <v>3237.48</v>
      </c>
      <c r="R353">
        <v>2118.34</v>
      </c>
      <c r="S353">
        <v>1119.1400000000001</v>
      </c>
      <c r="T353" t="str">
        <f>PROPER(TRIM([1]raw_orders!T353))</f>
        <v>Pending</v>
      </c>
      <c r="U353" t="str">
        <f>PROPER(TRIM([1]raw_orders!U353))</f>
        <v>Cancelled</v>
      </c>
      <c r="V353" s="6">
        <f t="shared" si="40"/>
        <v>0.34568244437031276</v>
      </c>
      <c r="W353" t="str">
        <f t="shared" si="41"/>
        <v>May</v>
      </c>
      <c r="X353">
        <f t="shared" si="42"/>
        <v>2025</v>
      </c>
      <c r="Y353">
        <f t="shared" si="43"/>
        <v>4</v>
      </c>
      <c r="Z353" s="7">
        <f t="shared" si="44"/>
        <v>0.25</v>
      </c>
      <c r="AA353">
        <f t="shared" si="45"/>
        <v>3237.4800000000005</v>
      </c>
      <c r="AB353">
        <f t="shared" si="46"/>
        <v>1119.1399999999999</v>
      </c>
      <c r="AC353" t="str">
        <f t="shared" si="47"/>
        <v>Clean</v>
      </c>
    </row>
    <row r="354" spans="1:29">
      <c r="A354" t="s">
        <v>1101</v>
      </c>
      <c r="B354" s="4">
        <v>45884</v>
      </c>
      <c r="C354" s="4">
        <v>45886</v>
      </c>
      <c r="D354" t="s">
        <v>1102</v>
      </c>
      <c r="E354" t="str">
        <f>PROPER(TRIM([1]raw_orders!E354))</f>
        <v>Diya Patel</v>
      </c>
      <c r="F354" t="str">
        <f>PROPER(TRIM([1]raw_orders!F354))</f>
        <v>Small Business</v>
      </c>
      <c r="G354" t="str">
        <f>IF('[1]Cleaned Text Field'!G354="","Unknown",'[1]Cleaned Text Field'!G354)</f>
        <v>East</v>
      </c>
      <c r="H354" t="str">
        <f>PROPER(TRIM([1]raw_orders!H354))</f>
        <v>Assam</v>
      </c>
      <c r="I354" t="str">
        <f>PROPER(TRIM([1]raw_orders!I354))</f>
        <v>Guwahati</v>
      </c>
      <c r="J354" t="str">
        <f>PROPER(TRIM([1]raw_orders!J354))</f>
        <v>Technology</v>
      </c>
      <c r="K354" t="str">
        <f>PROPER(TRIM([1]raw_orders!K354))</f>
        <v>Copiers</v>
      </c>
      <c r="L354" t="s">
        <v>1103</v>
      </c>
      <c r="M354" t="str">
        <f>IF('[1]Cleaned Text Field'!M354="","Unknown",'[1]Cleaned Text Field'!M354)</f>
        <v>First Class</v>
      </c>
      <c r="N354">
        <f>IF('[1]Cleaned Text Field'!N354="",0,'[1]Cleaned Text Field'!N354)</f>
        <v>5</v>
      </c>
      <c r="O354">
        <v>2862.6</v>
      </c>
      <c r="P354" s="5">
        <f>IF('[1]Cleaned Text Field'!P354="",0,'[1]Cleaned Text Field'!P354)</f>
        <v>0.25</v>
      </c>
      <c r="Q354">
        <v>10734.75</v>
      </c>
      <c r="R354">
        <v>6475.73</v>
      </c>
      <c r="S354">
        <v>4259.0200000000004</v>
      </c>
      <c r="T354" t="str">
        <f>PROPER(TRIM([1]raw_orders!T354))</f>
        <v>Paid</v>
      </c>
      <c r="U354" t="str">
        <f>PROPER(TRIM([1]raw_orders!U354))</f>
        <v>Completed</v>
      </c>
      <c r="V354" s="6">
        <f t="shared" si="40"/>
        <v>0.39675073942103917</v>
      </c>
      <c r="W354" t="str">
        <f t="shared" si="41"/>
        <v>August</v>
      </c>
      <c r="X354">
        <f t="shared" si="42"/>
        <v>2025</v>
      </c>
      <c r="Y354">
        <f t="shared" si="43"/>
        <v>2</v>
      </c>
      <c r="Z354" s="7">
        <f t="shared" si="44"/>
        <v>0.25</v>
      </c>
      <c r="AA354">
        <f t="shared" si="45"/>
        <v>10734.75</v>
      </c>
      <c r="AB354">
        <f t="shared" si="46"/>
        <v>4259.0200000000004</v>
      </c>
      <c r="AC354" t="str">
        <f t="shared" si="47"/>
        <v>Clean</v>
      </c>
    </row>
    <row r="355" spans="1:29">
      <c r="A355" t="s">
        <v>1104</v>
      </c>
      <c r="B355" s="4">
        <v>45709</v>
      </c>
      <c r="C355" s="4">
        <v>45715</v>
      </c>
      <c r="D355" t="s">
        <v>1105</v>
      </c>
      <c r="E355" t="str">
        <f>PROPER(TRIM([1]raw_orders!E355))</f>
        <v>Ananya Rao</v>
      </c>
      <c r="F355" t="str">
        <f>PROPER(TRIM([1]raw_orders!F355))</f>
        <v>Consumer</v>
      </c>
      <c r="G355" t="str">
        <f>IF('[1]Cleaned Text Field'!G355="","Unknown",'[1]Cleaned Text Field'!G355)</f>
        <v>North</v>
      </c>
      <c r="H355" t="str">
        <f>PROPER(TRIM([1]raw_orders!H355))</f>
        <v>Rajasthan</v>
      </c>
      <c r="I355" t="str">
        <f>PROPER(TRIM([1]raw_orders!I355))</f>
        <v>Jaipur</v>
      </c>
      <c r="J355" t="str">
        <f>PROPER(TRIM([1]raw_orders!J355))</f>
        <v>Office Supplies</v>
      </c>
      <c r="K355" t="str">
        <f>PROPER(TRIM([1]raw_orders!K355))</f>
        <v>Art</v>
      </c>
      <c r="L355" t="s">
        <v>1106</v>
      </c>
      <c r="M355" t="str">
        <f>IF('[1]Cleaned Text Field'!M355="","Unknown",'[1]Cleaned Text Field'!M355)</f>
        <v>Same Day</v>
      </c>
      <c r="N355">
        <f>IF('[1]Cleaned Text Field'!N355="",0,'[1]Cleaned Text Field'!N355)</f>
        <v>9</v>
      </c>
      <c r="O355">
        <v>1431.67</v>
      </c>
      <c r="P355" s="5">
        <f>IF('[1]Cleaned Text Field'!P355="",0,'[1]Cleaned Text Field'!P355)</f>
        <v>0.2</v>
      </c>
      <c r="Q355">
        <v>10308.02</v>
      </c>
      <c r="R355">
        <v>5822.31</v>
      </c>
      <c r="S355">
        <v>4485.71</v>
      </c>
      <c r="T355" t="str">
        <f>PROPER(TRIM([1]raw_orders!T355))</f>
        <v>Paid</v>
      </c>
      <c r="U355" t="str">
        <f>PROPER(TRIM([1]raw_orders!U355))</f>
        <v>Completed</v>
      </c>
      <c r="V355" s="6">
        <f t="shared" si="40"/>
        <v>0.43516698648237001</v>
      </c>
      <c r="W355" t="str">
        <f t="shared" si="41"/>
        <v>February</v>
      </c>
      <c r="X355">
        <f t="shared" si="42"/>
        <v>2025</v>
      </c>
      <c r="Y355">
        <f t="shared" si="43"/>
        <v>6</v>
      </c>
      <c r="Z355" s="7">
        <f t="shared" si="44"/>
        <v>0.2</v>
      </c>
      <c r="AA355">
        <f t="shared" si="45"/>
        <v>10308.024000000001</v>
      </c>
      <c r="AB355">
        <f t="shared" si="46"/>
        <v>4485.71</v>
      </c>
      <c r="AC355" t="str">
        <f t="shared" si="47"/>
        <v>Clean</v>
      </c>
    </row>
    <row r="356" spans="1:29">
      <c r="A356" t="s">
        <v>1107</v>
      </c>
      <c r="B356" s="4">
        <v>45653</v>
      </c>
      <c r="C356" s="4">
        <v>45657</v>
      </c>
      <c r="D356" t="s">
        <v>1108</v>
      </c>
      <c r="E356" t="str">
        <f>PROPER(TRIM([1]raw_orders!E356))</f>
        <v>Kabir Singh</v>
      </c>
      <c r="F356" t="str">
        <f>PROPER(TRIM([1]raw_orders!F356))</f>
        <v>Corporate</v>
      </c>
      <c r="G356" t="str">
        <f>IF('[1]Cleaned Text Field'!G356="","Unknown",'[1]Cleaned Text Field'!G356)</f>
        <v>North</v>
      </c>
      <c r="H356" t="str">
        <f>PROPER(TRIM([1]raw_orders!H356))</f>
        <v>Punjab</v>
      </c>
      <c r="I356" t="str">
        <f>PROPER(TRIM([1]raw_orders!I356))</f>
        <v>Ludhiana</v>
      </c>
      <c r="J356" t="str">
        <f>PROPER(TRIM([1]raw_orders!J356))</f>
        <v>Furniture</v>
      </c>
      <c r="K356" t="str">
        <f>PROPER(TRIM([1]raw_orders!K356))</f>
        <v>Furnishings</v>
      </c>
      <c r="L356" t="s">
        <v>1109</v>
      </c>
      <c r="M356" t="str">
        <f>IF('[1]Cleaned Text Field'!M356="","Unknown",'[1]Cleaned Text Field'!M356)</f>
        <v>Standard Class</v>
      </c>
      <c r="N356">
        <f>IF('[1]Cleaned Text Field'!N356="",0,'[1]Cleaned Text Field'!N356)</f>
        <v>6</v>
      </c>
      <c r="O356">
        <v>3346.78</v>
      </c>
      <c r="P356" s="5">
        <f>IF('[1]Cleaned Text Field'!P356="",0,'[1]Cleaned Text Field'!P356)</f>
        <v>-0.06</v>
      </c>
      <c r="Q356">
        <v>20080.68</v>
      </c>
      <c r="R356">
        <v>12908.84</v>
      </c>
      <c r="S356">
        <v>7171.84</v>
      </c>
      <c r="T356" t="str">
        <f>PROPER(TRIM([1]raw_orders!T356))</f>
        <v>Pending</v>
      </c>
      <c r="U356" t="str">
        <f>PROPER(TRIM([1]raw_orders!U356))</f>
        <v>Cancelled</v>
      </c>
      <c r="V356" s="6">
        <f t="shared" si="40"/>
        <v>0.35715125185003693</v>
      </c>
      <c r="W356" t="str">
        <f t="shared" si="41"/>
        <v>December</v>
      </c>
      <c r="X356">
        <f t="shared" si="42"/>
        <v>2024</v>
      </c>
      <c r="Y356">
        <f t="shared" si="43"/>
        <v>4</v>
      </c>
      <c r="Z356" s="7">
        <f t="shared" si="44"/>
        <v>-0.06</v>
      </c>
      <c r="AA356">
        <f t="shared" si="45"/>
        <v>21285.520800000002</v>
      </c>
      <c r="AB356">
        <f t="shared" si="46"/>
        <v>7171.84</v>
      </c>
      <c r="AC356" t="str">
        <f t="shared" si="47"/>
        <v>Clean</v>
      </c>
    </row>
    <row r="357" spans="1:29">
      <c r="A357" t="s">
        <v>1110</v>
      </c>
      <c r="B357" s="4">
        <v>45631</v>
      </c>
      <c r="C357" s="4">
        <v>45421</v>
      </c>
      <c r="D357" t="s">
        <v>1111</v>
      </c>
      <c r="E357" t="str">
        <f>PROPER(TRIM([1]raw_orders!E357))</f>
        <v>Priya Menon</v>
      </c>
      <c r="F357" t="str">
        <f>PROPER(TRIM([1]raw_orders!F357))</f>
        <v>Corporate</v>
      </c>
      <c r="G357" t="str">
        <f>IF('[1]Cleaned Text Field'!G357="","Unknown",'[1]Cleaned Text Field'!G357)</f>
        <v>West</v>
      </c>
      <c r="H357" t="str">
        <f>PROPER(TRIM([1]raw_orders!H357))</f>
        <v>Rajasthan</v>
      </c>
      <c r="I357" t="str">
        <f>PROPER(TRIM([1]raw_orders!I357))</f>
        <v>Udaipur</v>
      </c>
      <c r="J357" t="str">
        <f>PROPER(TRIM([1]raw_orders!J357))</f>
        <v>Furniture</v>
      </c>
      <c r="K357" t="str">
        <f>PROPER(TRIM([1]raw_orders!K357))</f>
        <v>Tables</v>
      </c>
      <c r="L357" t="s">
        <v>1112</v>
      </c>
      <c r="M357" t="str">
        <f>IF('[1]Cleaned Text Field'!M357="","Unknown",'[1]Cleaned Text Field'!M357)</f>
        <v>Standard Class</v>
      </c>
      <c r="N357">
        <f>IF('[1]Cleaned Text Field'!N357="",0,'[1]Cleaned Text Field'!N357)</f>
        <v>5</v>
      </c>
      <c r="O357">
        <v>3203.48</v>
      </c>
      <c r="P357" s="5">
        <f>IF('[1]Cleaned Text Field'!P357="",0,'[1]Cleaned Text Field'!P357)</f>
        <v>0</v>
      </c>
      <c r="Q357">
        <v>16017.4</v>
      </c>
      <c r="R357">
        <v>9557.7999999999993</v>
      </c>
      <c r="S357">
        <v>6459.6</v>
      </c>
      <c r="T357" t="str">
        <f>PROPER(TRIM([1]raw_orders!T357))</f>
        <v>Pending</v>
      </c>
      <c r="U357" t="str">
        <f>PROPER(TRIM([1]raw_orders!U357))</f>
        <v>Cancelled</v>
      </c>
      <c r="V357" s="6">
        <f t="shared" si="40"/>
        <v>0.40328642601171227</v>
      </c>
      <c r="W357" t="str">
        <f t="shared" si="41"/>
        <v>December</v>
      </c>
      <c r="X357">
        <f t="shared" si="42"/>
        <v>2024</v>
      </c>
      <c r="Y357">
        <f t="shared" si="43"/>
        <v>-210</v>
      </c>
      <c r="Z357" s="7">
        <f t="shared" si="44"/>
        <v>0</v>
      </c>
      <c r="AA357">
        <f t="shared" si="45"/>
        <v>16017.4</v>
      </c>
      <c r="AB357">
        <f t="shared" si="46"/>
        <v>6459.6</v>
      </c>
      <c r="AC357" t="str">
        <f t="shared" si="47"/>
        <v>Warning</v>
      </c>
    </row>
    <row r="358" spans="1:29">
      <c r="A358" t="s">
        <v>1113</v>
      </c>
      <c r="B358" s="4">
        <v>45835</v>
      </c>
      <c r="C358" s="4">
        <v>45837</v>
      </c>
      <c r="D358" t="s">
        <v>1114</v>
      </c>
      <c r="E358" t="str">
        <f>PROPER(TRIM([1]raw_orders!E358))</f>
        <v>Rohan Mehta</v>
      </c>
      <c r="F358" t="str">
        <f>PROPER(TRIM([1]raw_orders!F358))</f>
        <v>Home Office</v>
      </c>
      <c r="G358" t="str">
        <f>IF('[1]Cleaned Text Field'!G358="","Unknown",'[1]Cleaned Text Field'!G358)</f>
        <v>South</v>
      </c>
      <c r="H358" t="str">
        <f>PROPER(TRIM([1]raw_orders!H358))</f>
        <v>Telangana</v>
      </c>
      <c r="I358" t="str">
        <f>PROPER(TRIM([1]raw_orders!I358))</f>
        <v>Hyderabad</v>
      </c>
      <c r="J358" t="str">
        <f>PROPER(TRIM([1]raw_orders!J358))</f>
        <v>Furniture</v>
      </c>
      <c r="K358" t="str">
        <f>PROPER(TRIM([1]raw_orders!K358))</f>
        <v>Chairs</v>
      </c>
      <c r="L358" t="s">
        <v>1115</v>
      </c>
      <c r="M358" t="str">
        <f>IF('[1]Cleaned Text Field'!M358="","Unknown",'[1]Cleaned Text Field'!M358)</f>
        <v>First Class</v>
      </c>
      <c r="N358">
        <f>IF('[1]Cleaned Text Field'!N358="",0,'[1]Cleaned Text Field'!N358)</f>
        <v>5</v>
      </c>
      <c r="O358">
        <v>621.70000000000005</v>
      </c>
      <c r="P358" s="5">
        <f>IF('[1]Cleaned Text Field'!P358="",0,'[1]Cleaned Text Field'!P358)</f>
        <v>0.2</v>
      </c>
      <c r="Q358">
        <v>2486.8000000000002</v>
      </c>
      <c r="R358">
        <v>2131.73</v>
      </c>
      <c r="S358">
        <v>355.07</v>
      </c>
      <c r="T358" t="str">
        <f>PROPER(TRIM([1]raw_orders!T358))</f>
        <v>Pending</v>
      </c>
      <c r="U358" t="str">
        <f>PROPER(TRIM([1]raw_orders!U358))</f>
        <v>Returned</v>
      </c>
      <c r="V358" s="6">
        <f t="shared" si="40"/>
        <v>0.14278188837059674</v>
      </c>
      <c r="W358" t="str">
        <f t="shared" si="41"/>
        <v>June</v>
      </c>
      <c r="X358">
        <f t="shared" si="42"/>
        <v>2025</v>
      </c>
      <c r="Y358">
        <f t="shared" si="43"/>
        <v>2</v>
      </c>
      <c r="Z358" s="7">
        <f t="shared" si="44"/>
        <v>0.2</v>
      </c>
      <c r="AA358">
        <f t="shared" si="45"/>
        <v>2486.8000000000002</v>
      </c>
      <c r="AB358">
        <f t="shared" si="46"/>
        <v>355.07000000000016</v>
      </c>
      <c r="AC358" t="str">
        <f t="shared" si="47"/>
        <v>Clean</v>
      </c>
    </row>
    <row r="359" spans="1:29">
      <c r="A359" t="s">
        <v>1116</v>
      </c>
      <c r="B359" s="4">
        <v>45678</v>
      </c>
      <c r="C359" s="4">
        <v>45686</v>
      </c>
      <c r="D359" t="s">
        <v>1117</v>
      </c>
      <c r="E359" t="str">
        <f>PROPER(TRIM([1]raw_orders!E359))</f>
        <v>Mira Das</v>
      </c>
      <c r="F359" t="str">
        <f>PROPER(TRIM([1]raw_orders!F359))</f>
        <v>Home Office</v>
      </c>
      <c r="G359" t="str">
        <f>IF('[1]Cleaned Text Field'!G359="","Unknown",'[1]Cleaned Text Field'!G359)</f>
        <v>South</v>
      </c>
      <c r="H359" t="str">
        <f>PROPER(TRIM([1]raw_orders!H359))</f>
        <v>Andhra Pradesh</v>
      </c>
      <c r="I359" t="str">
        <f>PROPER(TRIM([1]raw_orders!I359))</f>
        <v>Vijayawada</v>
      </c>
      <c r="J359" t="str">
        <f>PROPER(TRIM([1]raw_orders!J359))</f>
        <v>Technology</v>
      </c>
      <c r="K359" t="str">
        <f>PROPER(TRIM([1]raw_orders!K359))</f>
        <v>Machines</v>
      </c>
      <c r="L359" t="s">
        <v>1118</v>
      </c>
      <c r="M359" t="str">
        <f>IF('[1]Cleaned Text Field'!M359="","Unknown",'[1]Cleaned Text Field'!M359)</f>
        <v>Second Class</v>
      </c>
      <c r="N359">
        <f>IF('[1]Cleaned Text Field'!N359="",0,'[1]Cleaned Text Field'!N359)</f>
        <v>8</v>
      </c>
      <c r="O359">
        <v>546.13</v>
      </c>
      <c r="P359" s="5">
        <f>IF('[1]Cleaned Text Field'!P359="",0,'[1]Cleaned Text Field'!P359)</f>
        <v>0</v>
      </c>
      <c r="Q359">
        <v>4369.04</v>
      </c>
      <c r="R359">
        <v>3716.88</v>
      </c>
      <c r="S359">
        <v>652.16</v>
      </c>
      <c r="T359" t="str">
        <f>PROPER(TRIM([1]raw_orders!T359))</f>
        <v>Paid</v>
      </c>
      <c r="U359" t="str">
        <f>PROPER(TRIM([1]raw_orders!U359))</f>
        <v>Cancelled</v>
      </c>
      <c r="V359" s="6">
        <f t="shared" si="40"/>
        <v>0.14926848918755606</v>
      </c>
      <c r="W359" t="str">
        <f t="shared" si="41"/>
        <v>January</v>
      </c>
      <c r="X359">
        <f t="shared" si="42"/>
        <v>2025</v>
      </c>
      <c r="Y359">
        <f t="shared" si="43"/>
        <v>8</v>
      </c>
      <c r="Z359" s="7">
        <f t="shared" si="44"/>
        <v>0</v>
      </c>
      <c r="AA359">
        <f t="shared" si="45"/>
        <v>4369.04</v>
      </c>
      <c r="AB359">
        <f t="shared" si="46"/>
        <v>652.15999999999985</v>
      </c>
      <c r="AC359" t="str">
        <f t="shared" si="47"/>
        <v>Clean</v>
      </c>
    </row>
    <row r="360" spans="1:29">
      <c r="A360" t="s">
        <v>1119</v>
      </c>
      <c r="B360" s="4">
        <v>45878</v>
      </c>
      <c r="C360" s="4">
        <v>45876</v>
      </c>
      <c r="D360" t="s">
        <v>1120</v>
      </c>
      <c r="E360" t="str">
        <f>PROPER(TRIM([1]raw_orders!E360))</f>
        <v>Vikram Iyer</v>
      </c>
      <c r="F360" t="str">
        <f>PROPER(TRIM([1]raw_orders!F360))</f>
        <v>Home Office</v>
      </c>
      <c r="G360" t="str">
        <f>IF('[1]Cleaned Text Field'!G360="","Unknown",'[1]Cleaned Text Field'!G360)</f>
        <v>West</v>
      </c>
      <c r="H360" t="str">
        <f>PROPER(TRIM([1]raw_orders!H360))</f>
        <v>Gujarat</v>
      </c>
      <c r="I360" t="str">
        <f>PROPER(TRIM([1]raw_orders!I360))</f>
        <v>Ahmedabad</v>
      </c>
      <c r="J360" t="str">
        <f>PROPER(TRIM([1]raw_orders!J360))</f>
        <v>Furniture</v>
      </c>
      <c r="K360" t="str">
        <f>PROPER(TRIM([1]raw_orders!K360))</f>
        <v>Bookcases</v>
      </c>
      <c r="L360" t="s">
        <v>1121</v>
      </c>
      <c r="M360" t="str">
        <f>IF('[1]Cleaned Text Field'!M360="","Unknown",'[1]Cleaned Text Field'!M360)</f>
        <v>Second Class</v>
      </c>
      <c r="N360">
        <f>IF('[1]Cleaned Text Field'!N360="",0,'[1]Cleaned Text Field'!N360)</f>
        <v>5</v>
      </c>
      <c r="O360">
        <v>1253.92</v>
      </c>
      <c r="P360" s="5">
        <f>IF('[1]Cleaned Text Field'!P360="",0,'[1]Cleaned Text Field'!P360)</f>
        <v>0.05</v>
      </c>
      <c r="Q360">
        <v>5956.12</v>
      </c>
      <c r="R360">
        <v>4379.18</v>
      </c>
      <c r="S360">
        <v>1576.94</v>
      </c>
      <c r="T360" t="str">
        <f>PROPER(TRIM([1]raw_orders!T360))</f>
        <v>Pending</v>
      </c>
      <c r="U360" t="str">
        <f>PROPER(TRIM([1]raw_orders!U360))</f>
        <v>Returned</v>
      </c>
      <c r="V360" s="6">
        <f t="shared" si="40"/>
        <v>0.26475960860425918</v>
      </c>
      <c r="W360" t="str">
        <f t="shared" si="41"/>
        <v>August</v>
      </c>
      <c r="X360">
        <f t="shared" si="42"/>
        <v>2025</v>
      </c>
      <c r="Y360">
        <f t="shared" si="43"/>
        <v>-2</v>
      </c>
      <c r="Z360" s="7">
        <f t="shared" si="44"/>
        <v>0.05</v>
      </c>
      <c r="AA360">
        <f t="shared" si="45"/>
        <v>5956.12</v>
      </c>
      <c r="AB360">
        <f t="shared" si="46"/>
        <v>1576.9399999999996</v>
      </c>
      <c r="AC360" t="str">
        <f t="shared" si="47"/>
        <v>Warning</v>
      </c>
    </row>
    <row r="361" spans="1:29">
      <c r="A361" t="s">
        <v>1122</v>
      </c>
      <c r="B361" s="4">
        <v>45525</v>
      </c>
      <c r="C361" s="4">
        <v>45526</v>
      </c>
      <c r="D361" t="s">
        <v>1123</v>
      </c>
      <c r="E361" t="str">
        <f>PROPER(TRIM([1]raw_orders!E361))</f>
        <v>Isha Nair</v>
      </c>
      <c r="F361" t="str">
        <f>PROPER(TRIM([1]raw_orders!F361))</f>
        <v>Consumer</v>
      </c>
      <c r="G361" t="str">
        <f>IF('[1]Cleaned Text Field'!G361="","Unknown",'[1]Cleaned Text Field'!G361)</f>
        <v>South</v>
      </c>
      <c r="H361" t="str">
        <f>PROPER(TRIM([1]raw_orders!H361))</f>
        <v>Tamil Nadu</v>
      </c>
      <c r="I361" t="str">
        <f>PROPER(TRIM([1]raw_orders!I361))</f>
        <v>Chennai</v>
      </c>
      <c r="J361" t="str">
        <f>PROPER(TRIM([1]raw_orders!J361))</f>
        <v>Technology</v>
      </c>
      <c r="K361" t="str">
        <f>PROPER(TRIM([1]raw_orders!K361))</f>
        <v>Phones</v>
      </c>
      <c r="L361" t="s">
        <v>1124</v>
      </c>
      <c r="M361" t="str">
        <f>IF('[1]Cleaned Text Field'!M361="","Unknown",'[1]Cleaned Text Field'!M361)</f>
        <v>Same Day</v>
      </c>
      <c r="N361">
        <f>IF('[1]Cleaned Text Field'!N361="",0,'[1]Cleaned Text Field'!N361)</f>
        <v>9</v>
      </c>
      <c r="O361">
        <v>616.96</v>
      </c>
      <c r="P361" s="5">
        <f>IF('[1]Cleaned Text Field'!P361="",0,'[1]Cleaned Text Field'!P361)</f>
        <v>0.1</v>
      </c>
      <c r="Q361">
        <v>4997.38</v>
      </c>
      <c r="R361">
        <v>2971.39</v>
      </c>
      <c r="S361">
        <v>2025.99</v>
      </c>
      <c r="T361" t="str">
        <f>PROPER(TRIM([1]raw_orders!T361))</f>
        <v>Paid</v>
      </c>
      <c r="U361" t="str">
        <f>PROPER(TRIM([1]raw_orders!U361))</f>
        <v>Completed</v>
      </c>
      <c r="V361" s="6">
        <f t="shared" si="40"/>
        <v>0.40541043506797564</v>
      </c>
      <c r="W361" t="str">
        <f t="shared" si="41"/>
        <v>August</v>
      </c>
      <c r="X361">
        <f t="shared" si="42"/>
        <v>2024</v>
      </c>
      <c r="Y361">
        <f t="shared" si="43"/>
        <v>1</v>
      </c>
      <c r="Z361" s="7">
        <f t="shared" si="44"/>
        <v>0.1</v>
      </c>
      <c r="AA361">
        <f t="shared" si="45"/>
        <v>4997.3760000000002</v>
      </c>
      <c r="AB361">
        <f t="shared" si="46"/>
        <v>2025.9900000000002</v>
      </c>
      <c r="AC361" t="str">
        <f t="shared" si="47"/>
        <v>Clean</v>
      </c>
    </row>
    <row r="362" spans="1:29">
      <c r="A362" t="s">
        <v>1125</v>
      </c>
      <c r="B362" s="4">
        <v>45460</v>
      </c>
      <c r="C362" s="4">
        <v>45463</v>
      </c>
      <c r="D362" t="s">
        <v>1126</v>
      </c>
      <c r="E362" t="str">
        <f>PROPER(TRIM([1]raw_orders!E362))</f>
        <v>Sneha Kapoor</v>
      </c>
      <c r="F362" t="str">
        <f>PROPER(TRIM([1]raw_orders!F362))</f>
        <v>Small Business</v>
      </c>
      <c r="G362" t="str">
        <f>IF('[1]Cleaned Text Field'!G362="","Unknown",'[1]Cleaned Text Field'!G362)</f>
        <v>West</v>
      </c>
      <c r="H362" t="str">
        <f>PROPER(TRIM([1]raw_orders!H362))</f>
        <v>Gujarat</v>
      </c>
      <c r="I362" t="str">
        <f>PROPER(TRIM([1]raw_orders!I362))</f>
        <v>Ahmedabad</v>
      </c>
      <c r="J362" t="str">
        <f>PROPER(TRIM([1]raw_orders!J362))</f>
        <v>Furniture</v>
      </c>
      <c r="K362" t="str">
        <f>PROPER(TRIM([1]raw_orders!K362))</f>
        <v>Furnishings</v>
      </c>
      <c r="L362" t="s">
        <v>1127</v>
      </c>
      <c r="M362" t="str">
        <f>IF('[1]Cleaned Text Field'!M362="","Unknown",'[1]Cleaned Text Field'!M362)</f>
        <v>Standard Class</v>
      </c>
      <c r="N362">
        <f>IF('[1]Cleaned Text Field'!N362="",0,'[1]Cleaned Text Field'!N362)</f>
        <v>7</v>
      </c>
      <c r="O362">
        <v>3155.25</v>
      </c>
      <c r="P362" s="5">
        <f>IF('[1]Cleaned Text Field'!P362="",0,'[1]Cleaned Text Field'!P362)</f>
        <v>0.2</v>
      </c>
      <c r="Q362">
        <v>17669.400000000001</v>
      </c>
      <c r="R362">
        <v>13718.77</v>
      </c>
      <c r="S362">
        <v>3950.63</v>
      </c>
      <c r="T362" t="str">
        <f>PROPER(TRIM([1]raw_orders!T362))</f>
        <v>Refunded</v>
      </c>
      <c r="U362" t="str">
        <f>PROPER(TRIM([1]raw_orders!U362))</f>
        <v>Cancelled</v>
      </c>
      <c r="V362" s="6">
        <f t="shared" si="40"/>
        <v>0.22358597349089385</v>
      </c>
      <c r="W362" t="str">
        <f t="shared" si="41"/>
        <v>June</v>
      </c>
      <c r="X362">
        <f t="shared" si="42"/>
        <v>2024</v>
      </c>
      <c r="Y362">
        <f t="shared" si="43"/>
        <v>3</v>
      </c>
      <c r="Z362" s="7">
        <f t="shared" si="44"/>
        <v>0.2</v>
      </c>
      <c r="AA362">
        <f t="shared" si="45"/>
        <v>17669.400000000001</v>
      </c>
      <c r="AB362">
        <f t="shared" si="46"/>
        <v>3950.630000000001</v>
      </c>
      <c r="AC362" t="str">
        <f t="shared" si="47"/>
        <v>Clean</v>
      </c>
    </row>
    <row r="363" spans="1:29">
      <c r="A363" t="s">
        <v>1128</v>
      </c>
      <c r="B363" s="4">
        <v>45661</v>
      </c>
      <c r="C363" s="4">
        <v>45749</v>
      </c>
      <c r="D363" t="s">
        <v>1129</v>
      </c>
      <c r="E363" t="str">
        <f>PROPER(TRIM([1]raw_orders!E363))</f>
        <v>Rohan Mehta</v>
      </c>
      <c r="F363" t="str">
        <f>PROPER(TRIM([1]raw_orders!F363))</f>
        <v>Corporate</v>
      </c>
      <c r="G363" t="str">
        <f>IF('[1]Cleaned Text Field'!G363="","Unknown",'[1]Cleaned Text Field'!G363)</f>
        <v>East</v>
      </c>
      <c r="H363" t="str">
        <f>PROPER(TRIM([1]raw_orders!H363))</f>
        <v>Odisha</v>
      </c>
      <c r="I363" t="str">
        <f>PROPER(TRIM([1]raw_orders!I363))</f>
        <v>Bhubaneswar</v>
      </c>
      <c r="J363" t="str">
        <f>PROPER(TRIM([1]raw_orders!J363))</f>
        <v>Furniture</v>
      </c>
      <c r="K363" t="str">
        <f>PROPER(TRIM([1]raw_orders!K363))</f>
        <v>Chairs</v>
      </c>
      <c r="L363" t="s">
        <v>1130</v>
      </c>
      <c r="M363" t="str">
        <f>IF('[1]Cleaned Text Field'!M363="","Unknown",'[1]Cleaned Text Field'!M363)</f>
        <v>Second Class</v>
      </c>
      <c r="N363">
        <f>IF('[1]Cleaned Text Field'!N363="",0,'[1]Cleaned Text Field'!N363)</f>
        <v>9</v>
      </c>
      <c r="O363">
        <v>4165.58</v>
      </c>
      <c r="P363" s="5">
        <f>IF('[1]Cleaned Text Field'!P363="",0,'[1]Cleaned Text Field'!P363)</f>
        <v>0.05</v>
      </c>
      <c r="Q363">
        <v>35615.71</v>
      </c>
      <c r="R363">
        <v>20389.71</v>
      </c>
      <c r="S363">
        <v>15226</v>
      </c>
      <c r="T363" t="str">
        <f>PROPER(TRIM([1]raw_orders!T363))</f>
        <v>Pending</v>
      </c>
      <c r="U363" t="str">
        <f>PROPER(TRIM([1]raw_orders!U363))</f>
        <v>Returned</v>
      </c>
      <c r="V363" s="6">
        <f t="shared" si="40"/>
        <v>0.42750797330728491</v>
      </c>
      <c r="W363" t="str">
        <f t="shared" si="41"/>
        <v>January</v>
      </c>
      <c r="X363">
        <f t="shared" si="42"/>
        <v>2025</v>
      </c>
      <c r="Y363">
        <f t="shared" si="43"/>
        <v>88</v>
      </c>
      <c r="Z363" s="7">
        <f t="shared" si="44"/>
        <v>0.05</v>
      </c>
      <c r="AA363">
        <f t="shared" si="45"/>
        <v>35615.709000000003</v>
      </c>
      <c r="AB363">
        <f t="shared" si="46"/>
        <v>15226</v>
      </c>
      <c r="AC363" t="str">
        <f t="shared" si="47"/>
        <v>Clean</v>
      </c>
    </row>
    <row r="364" spans="1:29">
      <c r="A364" t="s">
        <v>1131</v>
      </c>
      <c r="B364" s="4">
        <v>45527</v>
      </c>
      <c r="C364" s="4">
        <v>45529</v>
      </c>
      <c r="D364" t="s">
        <v>1132</v>
      </c>
      <c r="E364" t="str">
        <f>PROPER(TRIM([1]raw_orders!E364))</f>
        <v>Vikram Iyer</v>
      </c>
      <c r="F364" t="str">
        <f>PROPER(TRIM([1]raw_orders!F364))</f>
        <v>Consumer</v>
      </c>
      <c r="G364" t="str">
        <f>IF('[1]Cleaned Text Field'!G364="","Unknown",'[1]Cleaned Text Field'!G364)</f>
        <v>West</v>
      </c>
      <c r="H364" t="str">
        <f>PROPER(TRIM([1]raw_orders!H364))</f>
        <v>Goa</v>
      </c>
      <c r="I364" t="str">
        <f>PROPER(TRIM([1]raw_orders!I364))</f>
        <v>Panaji</v>
      </c>
      <c r="J364" t="str">
        <f>PROPER(TRIM([1]raw_orders!J364))</f>
        <v>Technology</v>
      </c>
      <c r="K364" t="str">
        <f>PROPER(TRIM([1]raw_orders!K364))</f>
        <v>Machines</v>
      </c>
      <c r="L364" t="s">
        <v>1133</v>
      </c>
      <c r="M364" t="str">
        <f>IF('[1]Cleaned Text Field'!M364="","Unknown",'[1]Cleaned Text Field'!M364)</f>
        <v>Same Day</v>
      </c>
      <c r="N364">
        <f>IF('[1]Cleaned Text Field'!N364="",0,'[1]Cleaned Text Field'!N364)</f>
        <v>4</v>
      </c>
      <c r="O364">
        <v>491.16</v>
      </c>
      <c r="P364" s="5">
        <f>IF('[1]Cleaned Text Field'!P364="",0,'[1]Cleaned Text Field'!P364)</f>
        <v>0.05</v>
      </c>
      <c r="Q364">
        <v>1866.41</v>
      </c>
      <c r="R364">
        <v>1576.49</v>
      </c>
      <c r="S364">
        <v>289.92</v>
      </c>
      <c r="T364" t="str">
        <f>PROPER(TRIM([1]raw_orders!T364))</f>
        <v>Paid</v>
      </c>
      <c r="U364" t="str">
        <f>PROPER(TRIM([1]raw_orders!U364))</f>
        <v>Completed</v>
      </c>
      <c r="V364" s="6">
        <f t="shared" si="40"/>
        <v>0.15533564436538597</v>
      </c>
      <c r="W364" t="str">
        <f t="shared" si="41"/>
        <v>August</v>
      </c>
      <c r="X364">
        <f t="shared" si="42"/>
        <v>2024</v>
      </c>
      <c r="Y364">
        <f t="shared" si="43"/>
        <v>2</v>
      </c>
      <c r="Z364" s="7">
        <f t="shared" si="44"/>
        <v>0.05</v>
      </c>
      <c r="AA364">
        <f t="shared" si="45"/>
        <v>1866.4079999999999</v>
      </c>
      <c r="AB364">
        <f t="shared" si="46"/>
        <v>289.92000000000007</v>
      </c>
      <c r="AC364" t="str">
        <f t="shared" si="47"/>
        <v>Clean</v>
      </c>
    </row>
    <row r="365" spans="1:29">
      <c r="A365" t="s">
        <v>1134</v>
      </c>
      <c r="B365" s="4">
        <v>45845</v>
      </c>
      <c r="C365" s="4">
        <v>45850</v>
      </c>
      <c r="D365" t="s">
        <v>1135</v>
      </c>
      <c r="E365" t="str">
        <f>PROPER(TRIM([1]raw_orders!E365))</f>
        <v>Diya Patel</v>
      </c>
      <c r="F365" t="str">
        <f>PROPER(TRIM([1]raw_orders!F365))</f>
        <v>Corporate</v>
      </c>
      <c r="G365" t="str">
        <f>IF('[1]Cleaned Text Field'!G365="","Unknown",'[1]Cleaned Text Field'!G365)</f>
        <v>East</v>
      </c>
      <c r="H365" t="str">
        <f>PROPER(TRIM([1]raw_orders!H365))</f>
        <v>West Bengal</v>
      </c>
      <c r="I365" t="str">
        <f>PROPER(TRIM([1]raw_orders!I365))</f>
        <v>Kolkata</v>
      </c>
      <c r="J365" t="str">
        <f>PROPER(TRIM([1]raw_orders!J365))</f>
        <v>Furniture</v>
      </c>
      <c r="K365" t="str">
        <f>PROPER(TRIM([1]raw_orders!K365))</f>
        <v>Tables</v>
      </c>
      <c r="L365" t="s">
        <v>1136</v>
      </c>
      <c r="M365" t="str">
        <f>IF('[1]Cleaned Text Field'!M365="","Unknown",'[1]Cleaned Text Field'!M365)</f>
        <v>Second Class</v>
      </c>
      <c r="N365">
        <f>IF('[1]Cleaned Text Field'!N365="",0,'[1]Cleaned Text Field'!N365)</f>
        <v>5</v>
      </c>
      <c r="O365">
        <v>1831.37</v>
      </c>
      <c r="P365" s="5">
        <f>IF('[1]Cleaned Text Field'!P365="",0,'[1]Cleaned Text Field'!P365)</f>
        <v>0.25</v>
      </c>
      <c r="Q365">
        <v>6867.64</v>
      </c>
      <c r="R365">
        <v>5205.3599999999997</v>
      </c>
      <c r="S365">
        <v>1662.28</v>
      </c>
      <c r="T365" t="str">
        <f>PROPER(TRIM([1]raw_orders!T365))</f>
        <v>Paid</v>
      </c>
      <c r="U365" t="str">
        <f>PROPER(TRIM([1]raw_orders!U365))</f>
        <v>Completed</v>
      </c>
      <c r="V365" s="6">
        <f t="shared" si="40"/>
        <v>0.24204530231637067</v>
      </c>
      <c r="W365" t="str">
        <f t="shared" si="41"/>
        <v>July</v>
      </c>
      <c r="X365">
        <f t="shared" si="42"/>
        <v>2025</v>
      </c>
      <c r="Y365">
        <f t="shared" si="43"/>
        <v>5</v>
      </c>
      <c r="Z365" s="7">
        <f t="shared" si="44"/>
        <v>0.25</v>
      </c>
      <c r="AA365">
        <f t="shared" si="45"/>
        <v>6867.6374999999989</v>
      </c>
      <c r="AB365">
        <f t="shared" si="46"/>
        <v>1662.2800000000007</v>
      </c>
      <c r="AC365" t="str">
        <f t="shared" si="47"/>
        <v>Clean</v>
      </c>
    </row>
    <row r="366" spans="1:29">
      <c r="A366" t="s">
        <v>1137</v>
      </c>
      <c r="B366" s="4">
        <v>45737</v>
      </c>
      <c r="C366" s="4">
        <v>45740</v>
      </c>
      <c r="D366" t="s">
        <v>1138</v>
      </c>
      <c r="E366" t="str">
        <f>PROPER(TRIM([1]raw_orders!E366))</f>
        <v>Aarav Sharma</v>
      </c>
      <c r="F366" t="str">
        <f>PROPER(TRIM([1]raw_orders!F366))</f>
        <v>Small Business</v>
      </c>
      <c r="G366" t="str">
        <f>IF('[1]Cleaned Text Field'!G366="","Unknown",'[1]Cleaned Text Field'!G366)</f>
        <v>South</v>
      </c>
      <c r="H366" t="str">
        <f>PROPER(TRIM([1]raw_orders!H366))</f>
        <v>Andhra Pradesh</v>
      </c>
      <c r="I366" t="str">
        <f>PROPER(TRIM([1]raw_orders!I366))</f>
        <v>Vijayawada</v>
      </c>
      <c r="J366" t="str">
        <f>PROPER(TRIM([1]raw_orders!J366))</f>
        <v>Furniture</v>
      </c>
      <c r="K366" t="str">
        <f>PROPER(TRIM([1]raw_orders!K366))</f>
        <v>Chairs</v>
      </c>
      <c r="L366" t="s">
        <v>1139</v>
      </c>
      <c r="M366" t="str">
        <f>IF('[1]Cleaned Text Field'!M366="","Unknown",'[1]Cleaned Text Field'!M366)</f>
        <v>Second Class</v>
      </c>
      <c r="N366">
        <f>IF('[1]Cleaned Text Field'!N366="",0,'[1]Cleaned Text Field'!N366)</f>
        <v>5</v>
      </c>
      <c r="O366">
        <v>1239.1500000000001</v>
      </c>
      <c r="P366" s="5">
        <f>IF('[1]Cleaned Text Field'!P366="",0,'[1]Cleaned Text Field'!P366)</f>
        <v>0</v>
      </c>
      <c r="Q366">
        <v>6195.75</v>
      </c>
      <c r="R366">
        <v>3967.02</v>
      </c>
      <c r="S366">
        <v>2228.73</v>
      </c>
      <c r="T366" t="str">
        <f>PROPER(TRIM([1]raw_orders!T366))</f>
        <v>Paid</v>
      </c>
      <c r="U366" t="str">
        <f>PROPER(TRIM([1]raw_orders!U366))</f>
        <v>Completed</v>
      </c>
      <c r="V366" s="6">
        <f t="shared" si="40"/>
        <v>0.35971916232901585</v>
      </c>
      <c r="W366" t="str">
        <f t="shared" si="41"/>
        <v>March</v>
      </c>
      <c r="X366">
        <f t="shared" si="42"/>
        <v>2025</v>
      </c>
      <c r="Y366">
        <f t="shared" si="43"/>
        <v>3</v>
      </c>
      <c r="Z366" s="7">
        <f t="shared" si="44"/>
        <v>0</v>
      </c>
      <c r="AA366">
        <f t="shared" si="45"/>
        <v>6195.75</v>
      </c>
      <c r="AB366">
        <f t="shared" si="46"/>
        <v>2228.73</v>
      </c>
      <c r="AC366" t="str">
        <f t="shared" si="47"/>
        <v>Clean</v>
      </c>
    </row>
    <row r="367" spans="1:29">
      <c r="A367" t="s">
        <v>1140</v>
      </c>
      <c r="B367" s="4">
        <v>45458</v>
      </c>
      <c r="C367" s="4">
        <v>45464</v>
      </c>
      <c r="D367" t="s">
        <v>1141</v>
      </c>
      <c r="E367" t="str">
        <f>PROPER(TRIM([1]raw_orders!E367))</f>
        <v>Aditi Sen</v>
      </c>
      <c r="F367" t="str">
        <f>PROPER(TRIM([1]raw_orders!F367))</f>
        <v>Corporate</v>
      </c>
      <c r="G367" t="str">
        <f>IF('[1]Cleaned Text Field'!G367="","Unknown",'[1]Cleaned Text Field'!G367)</f>
        <v>West</v>
      </c>
      <c r="H367" t="str">
        <f>PROPER(TRIM([1]raw_orders!H367))</f>
        <v>Goa</v>
      </c>
      <c r="I367" t="str">
        <f>PROPER(TRIM([1]raw_orders!I367))</f>
        <v>Panaji</v>
      </c>
      <c r="J367" t="str">
        <f>PROPER(TRIM([1]raw_orders!J367))</f>
        <v>Technology</v>
      </c>
      <c r="K367" t="str">
        <f>PROPER(TRIM([1]raw_orders!K367))</f>
        <v>Accessories</v>
      </c>
      <c r="L367" t="s">
        <v>1142</v>
      </c>
      <c r="M367" t="str">
        <f>IF('[1]Cleaned Text Field'!M367="","Unknown",'[1]Cleaned Text Field'!M367)</f>
        <v>First Class</v>
      </c>
      <c r="N367">
        <f>IF('[1]Cleaned Text Field'!N367="",0,'[1]Cleaned Text Field'!N367)</f>
        <v>8</v>
      </c>
      <c r="O367">
        <v>1706.4</v>
      </c>
      <c r="P367" s="5">
        <f>IF('[1]Cleaned Text Field'!P367="",0,'[1]Cleaned Text Field'!P367)</f>
        <v>0</v>
      </c>
      <c r="Q367">
        <v>12968.64</v>
      </c>
      <c r="R367">
        <v>10119.61</v>
      </c>
      <c r="S367">
        <v>2849.03</v>
      </c>
      <c r="T367" t="str">
        <f>PROPER(TRIM([1]raw_orders!T367))</f>
        <v>Paid</v>
      </c>
      <c r="U367" t="str">
        <f>PROPER(TRIM([1]raw_orders!U367))</f>
        <v>Completed</v>
      </c>
      <c r="V367" s="6">
        <f t="shared" si="40"/>
        <v>0.21968610432551142</v>
      </c>
      <c r="W367" t="str">
        <f t="shared" si="41"/>
        <v>June</v>
      </c>
      <c r="X367">
        <f t="shared" si="42"/>
        <v>2024</v>
      </c>
      <c r="Y367">
        <f t="shared" si="43"/>
        <v>6</v>
      </c>
      <c r="Z367" s="7">
        <f t="shared" si="44"/>
        <v>0</v>
      </c>
      <c r="AA367">
        <f t="shared" si="45"/>
        <v>13651.2</v>
      </c>
      <c r="AB367">
        <f t="shared" si="46"/>
        <v>2849.0299999999988</v>
      </c>
      <c r="AC367" t="str">
        <f t="shared" si="47"/>
        <v>Clean</v>
      </c>
    </row>
    <row r="368" spans="1:29">
      <c r="A368" t="s">
        <v>1143</v>
      </c>
      <c r="B368" s="4">
        <v>45673</v>
      </c>
      <c r="C368" s="4">
        <v>45679</v>
      </c>
      <c r="D368" t="s">
        <v>1144</v>
      </c>
      <c r="E368" t="str">
        <f>PROPER(TRIM([1]raw_orders!E368))</f>
        <v>Sneha Kapoor</v>
      </c>
      <c r="F368" t="str">
        <f>PROPER(TRIM([1]raw_orders!F368))</f>
        <v>Corporate</v>
      </c>
      <c r="G368" t="str">
        <f>IF('[1]Cleaned Text Field'!G368="","Unknown",'[1]Cleaned Text Field'!G368)</f>
        <v>North</v>
      </c>
      <c r="H368" t="str">
        <f>PROPER(TRIM([1]raw_orders!H368))</f>
        <v>Rajasthan</v>
      </c>
      <c r="I368" t="str">
        <f>PROPER(TRIM([1]raw_orders!I368))</f>
        <v>Jaipur</v>
      </c>
      <c r="J368" t="str">
        <f>PROPER(TRIM([1]raw_orders!J368))</f>
        <v>Furniture</v>
      </c>
      <c r="K368" t="str">
        <f>PROPER(TRIM([1]raw_orders!K368))</f>
        <v>Tables</v>
      </c>
      <c r="L368" t="s">
        <v>1145</v>
      </c>
      <c r="M368" t="str">
        <f>IF('[1]Cleaned Text Field'!M368="","Unknown",'[1]Cleaned Text Field'!M368)</f>
        <v>Same Day</v>
      </c>
      <c r="N368">
        <f>IF('[1]Cleaned Text Field'!N368="",0,'[1]Cleaned Text Field'!N368)</f>
        <v>2</v>
      </c>
      <c r="O368">
        <v>4418.28</v>
      </c>
      <c r="P368" s="5">
        <f>IF('[1]Cleaned Text Field'!P368="",0,'[1]Cleaned Text Field'!P368)</f>
        <v>0</v>
      </c>
      <c r="Q368">
        <v>8836.56</v>
      </c>
      <c r="R368">
        <v>5867.75</v>
      </c>
      <c r="S368">
        <v>2968.81</v>
      </c>
      <c r="T368" t="str">
        <f>PROPER(TRIM([1]raw_orders!T368))</f>
        <v>Paid</v>
      </c>
      <c r="U368" t="str">
        <f>PROPER(TRIM([1]raw_orders!U368))</f>
        <v>Completed</v>
      </c>
      <c r="V368" s="6">
        <f t="shared" si="40"/>
        <v>0.33596897435201029</v>
      </c>
      <c r="W368" t="str">
        <f t="shared" si="41"/>
        <v>January</v>
      </c>
      <c r="X368">
        <f t="shared" si="42"/>
        <v>2025</v>
      </c>
      <c r="Y368">
        <f t="shared" si="43"/>
        <v>6</v>
      </c>
      <c r="Z368" s="7">
        <f t="shared" si="44"/>
        <v>0</v>
      </c>
      <c r="AA368">
        <f t="shared" si="45"/>
        <v>8836.56</v>
      </c>
      <c r="AB368">
        <f t="shared" si="46"/>
        <v>2968.8099999999995</v>
      </c>
      <c r="AC368" t="str">
        <f t="shared" si="47"/>
        <v>Clean</v>
      </c>
    </row>
    <row r="369" spans="1:29">
      <c r="A369" t="s">
        <v>1146</v>
      </c>
      <c r="B369" s="4">
        <v>45366</v>
      </c>
      <c r="C369" s="4">
        <v>45367</v>
      </c>
      <c r="D369" t="s">
        <v>1147</v>
      </c>
      <c r="E369" t="str">
        <f>PROPER(TRIM([1]raw_orders!E369))</f>
        <v>Rohan Mehta</v>
      </c>
      <c r="F369" t="str">
        <f>PROPER(TRIM([1]raw_orders!F369))</f>
        <v>Consumer</v>
      </c>
      <c r="G369" t="str">
        <f>IF('[1]Cleaned Text Field'!G369="","Unknown",'[1]Cleaned Text Field'!G369)</f>
        <v>North</v>
      </c>
      <c r="H369" t="str">
        <f>PROPER(TRIM([1]raw_orders!H369))</f>
        <v>Delhi</v>
      </c>
      <c r="I369" t="str">
        <f>PROPER(TRIM([1]raw_orders!I369))</f>
        <v>New Delhi</v>
      </c>
      <c r="J369" t="str">
        <f>PROPER(TRIM([1]raw_orders!J369))</f>
        <v>Office Supplies</v>
      </c>
      <c r="K369" t="str">
        <f>PROPER(TRIM([1]raw_orders!K369))</f>
        <v>Art</v>
      </c>
      <c r="L369" t="s">
        <v>1148</v>
      </c>
      <c r="M369" t="str">
        <f>IF('[1]Cleaned Text Field'!M369="","Unknown",'[1]Cleaned Text Field'!M369)</f>
        <v>Standard Class</v>
      </c>
      <c r="N369">
        <f>IF('[1]Cleaned Text Field'!N369="",0,'[1]Cleaned Text Field'!N369)</f>
        <v>6</v>
      </c>
      <c r="O369">
        <v>3815.09</v>
      </c>
      <c r="P369" s="5">
        <f>IF('[1]Cleaned Text Field'!P369="",0,'[1]Cleaned Text Field'!P369)</f>
        <v>0.15</v>
      </c>
      <c r="Q369">
        <v>19456.96</v>
      </c>
      <c r="R369">
        <v>14520.06</v>
      </c>
      <c r="S369">
        <v>4936.8999999999996</v>
      </c>
      <c r="T369" t="str">
        <f>PROPER(TRIM([1]raw_orders!T369))</f>
        <v>Failed</v>
      </c>
      <c r="U369" t="str">
        <f>PROPER(TRIM([1]raw_orders!U369))</f>
        <v>Cancelled</v>
      </c>
      <c r="V369" s="6">
        <f t="shared" si="40"/>
        <v>0.25373439632912848</v>
      </c>
      <c r="W369" t="str">
        <f t="shared" si="41"/>
        <v>March</v>
      </c>
      <c r="X369">
        <f t="shared" si="42"/>
        <v>2024</v>
      </c>
      <c r="Y369">
        <f t="shared" si="43"/>
        <v>1</v>
      </c>
      <c r="Z369" s="7">
        <f t="shared" si="44"/>
        <v>0.15</v>
      </c>
      <c r="AA369">
        <f t="shared" si="45"/>
        <v>19456.958999999999</v>
      </c>
      <c r="AB369">
        <f t="shared" si="46"/>
        <v>4936.8999999999996</v>
      </c>
      <c r="AC369" t="str">
        <f t="shared" si="47"/>
        <v>Clean</v>
      </c>
    </row>
    <row r="370" spans="1:29">
      <c r="A370" t="s">
        <v>1149</v>
      </c>
      <c r="B370" s="4">
        <v>45815</v>
      </c>
      <c r="C370" s="4">
        <v>45815</v>
      </c>
      <c r="D370" t="s">
        <v>1150</v>
      </c>
      <c r="E370" t="str">
        <f>PROPER(TRIM([1]raw_orders!E370))</f>
        <v>Aarav Sharma</v>
      </c>
      <c r="F370" t="str">
        <f>PROPER(TRIM([1]raw_orders!F370))</f>
        <v>Home Office</v>
      </c>
      <c r="G370" t="str">
        <f>IF('[1]Cleaned Text Field'!G370="","Unknown",'[1]Cleaned Text Field'!G370)</f>
        <v>North</v>
      </c>
      <c r="H370" t="str">
        <f>PROPER(TRIM([1]raw_orders!H370))</f>
        <v>Rajasthan</v>
      </c>
      <c r="I370" t="str">
        <f>PROPER(TRIM([1]raw_orders!I370))</f>
        <v>Jaipur</v>
      </c>
      <c r="J370" t="str">
        <f>PROPER(TRIM([1]raw_orders!J370))</f>
        <v>Technology</v>
      </c>
      <c r="K370" t="str">
        <f>PROPER(TRIM([1]raw_orders!K370))</f>
        <v>Accessories</v>
      </c>
      <c r="L370" t="s">
        <v>1151</v>
      </c>
      <c r="M370" t="str">
        <f>IF('[1]Cleaned Text Field'!M370="","Unknown",'[1]Cleaned Text Field'!M370)</f>
        <v>Same Day</v>
      </c>
      <c r="N370">
        <f>IF('[1]Cleaned Text Field'!N370="",0,'[1]Cleaned Text Field'!N370)</f>
        <v>9</v>
      </c>
      <c r="O370">
        <v>243.19</v>
      </c>
      <c r="P370" s="5">
        <f>IF('[1]Cleaned Text Field'!P370="",0,'[1]Cleaned Text Field'!P370)</f>
        <v>0.05</v>
      </c>
      <c r="Q370">
        <v>2079.27</v>
      </c>
      <c r="R370">
        <v>1512.17</v>
      </c>
      <c r="S370">
        <v>567.1</v>
      </c>
      <c r="T370" t="str">
        <f>PROPER(TRIM([1]raw_orders!T370))</f>
        <v>Refunded</v>
      </c>
      <c r="U370" t="str">
        <f>PROPER(TRIM([1]raw_orders!U370))</f>
        <v>Returned</v>
      </c>
      <c r="V370" s="6">
        <f t="shared" si="40"/>
        <v>0.27273995200238549</v>
      </c>
      <c r="W370" t="str">
        <f t="shared" si="41"/>
        <v>June</v>
      </c>
      <c r="X370">
        <f t="shared" si="42"/>
        <v>2025</v>
      </c>
      <c r="Y370">
        <f t="shared" si="43"/>
        <v>0</v>
      </c>
      <c r="Z370" s="7">
        <f t="shared" si="44"/>
        <v>0.05</v>
      </c>
      <c r="AA370">
        <f t="shared" si="45"/>
        <v>2079.2745</v>
      </c>
      <c r="AB370">
        <f t="shared" si="46"/>
        <v>567.09999999999991</v>
      </c>
      <c r="AC370" t="str">
        <f t="shared" si="47"/>
        <v>Clean</v>
      </c>
    </row>
    <row r="371" spans="1:29">
      <c r="A371" t="s">
        <v>1152</v>
      </c>
      <c r="B371" s="4">
        <v>45680</v>
      </c>
      <c r="C371" s="4">
        <v>45687</v>
      </c>
      <c r="D371" t="s">
        <v>1153</v>
      </c>
      <c r="E371" t="str">
        <f>PROPER(TRIM([1]raw_orders!E371))</f>
        <v>Priya Menon</v>
      </c>
      <c r="F371" t="str">
        <f>PROPER(TRIM([1]raw_orders!F371))</f>
        <v>Consumer</v>
      </c>
      <c r="G371" t="str">
        <f>IF('[1]Cleaned Text Field'!G371="","Unknown",'[1]Cleaned Text Field'!G371)</f>
        <v>North</v>
      </c>
      <c r="H371" t="str">
        <f>PROPER(TRIM([1]raw_orders!H371))</f>
        <v>Delhi</v>
      </c>
      <c r="I371" t="str">
        <f>PROPER(TRIM([1]raw_orders!I371))</f>
        <v>New Delhi</v>
      </c>
      <c r="J371" t="str">
        <f>PROPER(TRIM([1]raw_orders!J371))</f>
        <v>Office Supplies</v>
      </c>
      <c r="K371" t="str">
        <f>PROPER(TRIM([1]raw_orders!K371))</f>
        <v>Labels</v>
      </c>
      <c r="L371" t="s">
        <v>1154</v>
      </c>
      <c r="M371" t="str">
        <f>IF('[1]Cleaned Text Field'!M371="","Unknown",'[1]Cleaned Text Field'!M371)</f>
        <v>Standard Class</v>
      </c>
      <c r="N371">
        <f>IF('[1]Cleaned Text Field'!N371="",0,'[1]Cleaned Text Field'!N371)</f>
        <v>9</v>
      </c>
      <c r="O371">
        <v>1169.3699999999999</v>
      </c>
      <c r="P371" s="5">
        <f>IF('[1]Cleaned Text Field'!P371="",0,'[1]Cleaned Text Field'!P371)</f>
        <v>0.15</v>
      </c>
      <c r="Q371">
        <v>8945.68</v>
      </c>
      <c r="R371">
        <v>6740.35</v>
      </c>
      <c r="S371">
        <v>2205.33</v>
      </c>
      <c r="T371" t="str">
        <f>PROPER(TRIM([1]raw_orders!T371))</f>
        <v>Paid</v>
      </c>
      <c r="U371" t="str">
        <f>PROPER(TRIM([1]raw_orders!U371))</f>
        <v>Completed</v>
      </c>
      <c r="V371" s="6">
        <f t="shared" si="40"/>
        <v>0.24652457946181844</v>
      </c>
      <c r="W371" t="str">
        <f t="shared" si="41"/>
        <v>January</v>
      </c>
      <c r="X371">
        <f t="shared" si="42"/>
        <v>2025</v>
      </c>
      <c r="Y371">
        <f t="shared" si="43"/>
        <v>7</v>
      </c>
      <c r="Z371" s="7">
        <f t="shared" si="44"/>
        <v>0.15</v>
      </c>
      <c r="AA371">
        <f t="shared" si="45"/>
        <v>8945.6804999999986</v>
      </c>
      <c r="AB371">
        <f t="shared" si="46"/>
        <v>2205.33</v>
      </c>
      <c r="AC371" t="str">
        <f t="shared" si="47"/>
        <v>Clean</v>
      </c>
    </row>
    <row r="372" spans="1:29">
      <c r="A372" t="s">
        <v>1155</v>
      </c>
      <c r="B372" s="4">
        <v>45519</v>
      </c>
      <c r="C372" s="4">
        <v>45525</v>
      </c>
      <c r="D372" t="s">
        <v>1156</v>
      </c>
      <c r="E372" t="str">
        <f>PROPER(TRIM([1]raw_orders!E372))</f>
        <v>Ananya Rao</v>
      </c>
      <c r="F372" t="str">
        <f>PROPER(TRIM([1]raw_orders!F372))</f>
        <v>Small Business</v>
      </c>
      <c r="G372" t="str">
        <f>IF('[1]Cleaned Text Field'!G372="","Unknown",'[1]Cleaned Text Field'!G372)</f>
        <v>West</v>
      </c>
      <c r="H372" t="str">
        <f>PROPER(TRIM([1]raw_orders!H372))</f>
        <v>Rajasthan</v>
      </c>
      <c r="I372" t="str">
        <f>PROPER(TRIM([1]raw_orders!I372))</f>
        <v>Udaipur</v>
      </c>
      <c r="J372" t="str">
        <f>PROPER(TRIM([1]raw_orders!J372))</f>
        <v>Technology</v>
      </c>
      <c r="K372" t="str">
        <f>PROPER(TRIM([1]raw_orders!K372))</f>
        <v>Copiers</v>
      </c>
      <c r="L372" t="s">
        <v>1157</v>
      </c>
      <c r="M372" t="str">
        <f>IF('[1]Cleaned Text Field'!M372="","Unknown",'[1]Cleaned Text Field'!M372)</f>
        <v>First Class</v>
      </c>
      <c r="N372">
        <f>IF('[1]Cleaned Text Field'!N372="",0,'[1]Cleaned Text Field'!N372)</f>
        <v>7</v>
      </c>
      <c r="O372">
        <v>2333.81</v>
      </c>
      <c r="P372" s="5">
        <f>IF('[1]Cleaned Text Field'!P372="",0,'[1]Cleaned Text Field'!P372)</f>
        <v>0.2</v>
      </c>
      <c r="Q372">
        <v>13069.34</v>
      </c>
      <c r="R372">
        <v>8768.59</v>
      </c>
      <c r="S372">
        <v>4300.75</v>
      </c>
      <c r="T372" t="str">
        <f>PROPER(TRIM([1]raw_orders!T372))</f>
        <v>Paid</v>
      </c>
      <c r="U372" t="str">
        <f>PROPER(TRIM([1]raw_orders!U372))</f>
        <v>Completed</v>
      </c>
      <c r="V372" s="6">
        <f t="shared" si="40"/>
        <v>0.32907170522765494</v>
      </c>
      <c r="W372" t="str">
        <f t="shared" si="41"/>
        <v>August</v>
      </c>
      <c r="X372">
        <f t="shared" si="42"/>
        <v>2024</v>
      </c>
      <c r="Y372">
        <f t="shared" si="43"/>
        <v>6</v>
      </c>
      <c r="Z372" s="7">
        <f t="shared" si="44"/>
        <v>0.2</v>
      </c>
      <c r="AA372">
        <f t="shared" si="45"/>
        <v>13069.336000000001</v>
      </c>
      <c r="AB372">
        <f t="shared" si="46"/>
        <v>4300.75</v>
      </c>
      <c r="AC372" t="str">
        <f t="shared" si="47"/>
        <v>Clean</v>
      </c>
    </row>
    <row r="373" spans="1:29">
      <c r="A373" t="s">
        <v>1158</v>
      </c>
      <c r="B373" s="4">
        <v>45313</v>
      </c>
      <c r="C373" s="4">
        <v>45315</v>
      </c>
      <c r="D373" t="s">
        <v>1159</v>
      </c>
      <c r="E373" t="str">
        <f>PROPER(TRIM([1]raw_orders!E373))</f>
        <v>Diya Patel</v>
      </c>
      <c r="F373" t="str">
        <f>PROPER(TRIM([1]raw_orders!F373))</f>
        <v>Home Office</v>
      </c>
      <c r="G373" t="str">
        <f>IF('[1]Cleaned Text Field'!G373="","Unknown",'[1]Cleaned Text Field'!G373)</f>
        <v>West</v>
      </c>
      <c r="H373" t="str">
        <f>PROPER(TRIM([1]raw_orders!H373))</f>
        <v>Maharashtra</v>
      </c>
      <c r="I373" t="str">
        <f>PROPER(TRIM([1]raw_orders!I373))</f>
        <v>Mumbai</v>
      </c>
      <c r="J373" t="str">
        <f>PROPER(TRIM([1]raw_orders!J373))</f>
        <v>Office Supplies</v>
      </c>
      <c r="K373" t="str">
        <f>PROPER(TRIM([1]raw_orders!K373))</f>
        <v>Art</v>
      </c>
      <c r="L373" t="s">
        <v>1160</v>
      </c>
      <c r="M373" t="str">
        <f>IF('[1]Cleaned Text Field'!M373="","Unknown",'[1]Cleaned Text Field'!M373)</f>
        <v>Standard Class</v>
      </c>
      <c r="N373">
        <f>IF('[1]Cleaned Text Field'!N373="",0,'[1]Cleaned Text Field'!N373)</f>
        <v>6</v>
      </c>
      <c r="O373">
        <v>1026.06</v>
      </c>
      <c r="P373" s="5">
        <f>IF('[1]Cleaned Text Field'!P373="",0,'[1]Cleaned Text Field'!P373)</f>
        <v>0</v>
      </c>
      <c r="Q373">
        <v>4617.2700000000004</v>
      </c>
      <c r="R373">
        <v>2981.94</v>
      </c>
      <c r="S373">
        <v>1635.33</v>
      </c>
      <c r="T373" t="str">
        <f>PROPER(TRIM([1]raw_orders!T373))</f>
        <v>Refunded</v>
      </c>
      <c r="U373" t="str">
        <f>PROPER(TRIM([1]raw_orders!U373))</f>
        <v>Cancelled</v>
      </c>
      <c r="V373" s="6">
        <f t="shared" si="40"/>
        <v>0.35417681876953261</v>
      </c>
      <c r="W373" t="str">
        <f t="shared" si="41"/>
        <v>January</v>
      </c>
      <c r="X373">
        <f t="shared" si="42"/>
        <v>2024</v>
      </c>
      <c r="Y373">
        <f t="shared" si="43"/>
        <v>2</v>
      </c>
      <c r="Z373" s="7">
        <f t="shared" si="44"/>
        <v>0</v>
      </c>
      <c r="AA373">
        <f t="shared" si="45"/>
        <v>6156.36</v>
      </c>
      <c r="AB373">
        <f t="shared" si="46"/>
        <v>1635.3300000000004</v>
      </c>
      <c r="AC373" t="str">
        <f t="shared" si="47"/>
        <v>Clean</v>
      </c>
    </row>
    <row r="374" spans="1:29">
      <c r="A374" t="s">
        <v>1161</v>
      </c>
      <c r="B374" s="4">
        <v>45885</v>
      </c>
      <c r="C374" s="4">
        <v>45887</v>
      </c>
      <c r="D374" t="s">
        <v>583</v>
      </c>
      <c r="E374" t="str">
        <f>PROPER(TRIM([1]raw_orders!E374))</f>
        <v>Kabir Singh</v>
      </c>
      <c r="F374" t="str">
        <f>PROPER(TRIM([1]raw_orders!F374))</f>
        <v>Consumer</v>
      </c>
      <c r="G374" t="str">
        <f>IF('[1]Cleaned Text Field'!G374="","Unknown",'[1]Cleaned Text Field'!G374)</f>
        <v>East</v>
      </c>
      <c r="H374" t="str">
        <f>PROPER(TRIM([1]raw_orders!H374))</f>
        <v>Jharkhand</v>
      </c>
      <c r="I374" t="str">
        <f>PROPER(TRIM([1]raw_orders!I374))</f>
        <v>Ranchi</v>
      </c>
      <c r="J374" t="str">
        <f>PROPER(TRIM([1]raw_orders!J374))</f>
        <v>Furniture</v>
      </c>
      <c r="K374" t="str">
        <f>PROPER(TRIM([1]raw_orders!K374))</f>
        <v>Chairs</v>
      </c>
      <c r="L374" t="s">
        <v>1162</v>
      </c>
      <c r="M374" t="str">
        <f>IF('[1]Cleaned Text Field'!M374="","Unknown",'[1]Cleaned Text Field'!M374)</f>
        <v>Same Day</v>
      </c>
      <c r="N374">
        <f>IF('[1]Cleaned Text Field'!N374="",0,'[1]Cleaned Text Field'!N374)</f>
        <v>5</v>
      </c>
      <c r="O374">
        <v>1530.36</v>
      </c>
      <c r="P374" s="5">
        <f>IF('[1]Cleaned Text Field'!P374="",0,'[1]Cleaned Text Field'!P374)</f>
        <v>0</v>
      </c>
      <c r="Q374">
        <v>7651.8</v>
      </c>
      <c r="R374">
        <v>5171.78</v>
      </c>
      <c r="S374">
        <v>2480.02</v>
      </c>
      <c r="T374" t="str">
        <f>PROPER(TRIM([1]raw_orders!T374))</f>
        <v>Paid</v>
      </c>
      <c r="U374" t="str">
        <f>PROPER(TRIM([1]raw_orders!U374))</f>
        <v>Completed</v>
      </c>
      <c r="V374" s="6">
        <f t="shared" si="40"/>
        <v>0.32410935988917638</v>
      </c>
      <c r="W374" t="str">
        <f t="shared" si="41"/>
        <v>August</v>
      </c>
      <c r="X374">
        <f t="shared" si="42"/>
        <v>2025</v>
      </c>
      <c r="Y374">
        <f t="shared" si="43"/>
        <v>2</v>
      </c>
      <c r="Z374" s="7">
        <f t="shared" si="44"/>
        <v>0</v>
      </c>
      <c r="AA374">
        <f t="shared" si="45"/>
        <v>7651.7999999999993</v>
      </c>
      <c r="AB374">
        <f t="shared" si="46"/>
        <v>2480.0200000000004</v>
      </c>
      <c r="AC374" t="str">
        <f t="shared" si="47"/>
        <v>Clean</v>
      </c>
    </row>
    <row r="375" spans="1:29">
      <c r="A375" t="s">
        <v>1163</v>
      </c>
      <c r="B375" s="4">
        <v>45760</v>
      </c>
      <c r="C375" s="4">
        <v>45760</v>
      </c>
      <c r="D375" t="s">
        <v>1164</v>
      </c>
      <c r="E375" t="str">
        <f>PROPER(TRIM([1]raw_orders!E375))</f>
        <v>Sneha Kapoor</v>
      </c>
      <c r="F375" t="str">
        <f>PROPER(TRIM([1]raw_orders!F375))</f>
        <v>Small Business</v>
      </c>
      <c r="G375" t="str">
        <f>IF('[1]Cleaned Text Field'!G375="","Unknown",'[1]Cleaned Text Field'!G375)</f>
        <v>North</v>
      </c>
      <c r="H375" t="str">
        <f>PROPER(TRIM([1]raw_orders!H375))</f>
        <v>Uttar Pradesh</v>
      </c>
      <c r="I375" t="str">
        <f>PROPER(TRIM([1]raw_orders!I375))</f>
        <v>Noida</v>
      </c>
      <c r="J375" t="str">
        <f>PROPER(TRIM([1]raw_orders!J375))</f>
        <v>Office Supplies</v>
      </c>
      <c r="K375" t="str">
        <f>PROPER(TRIM([1]raw_orders!K375))</f>
        <v>Storage</v>
      </c>
      <c r="L375" t="s">
        <v>1165</v>
      </c>
      <c r="M375" t="str">
        <f>IF('[1]Cleaned Text Field'!M375="","Unknown",'[1]Cleaned Text Field'!M375)</f>
        <v>Second Class</v>
      </c>
      <c r="N375">
        <f>IF('[1]Cleaned Text Field'!N375="",0,'[1]Cleaned Text Field'!N375)</f>
        <v>9</v>
      </c>
      <c r="O375">
        <v>1118.68</v>
      </c>
      <c r="P375" s="5">
        <f>IF('[1]Cleaned Text Field'!P375="",0,'[1]Cleaned Text Field'!P375)</f>
        <v>0</v>
      </c>
      <c r="Q375">
        <v>10068.120000000001</v>
      </c>
      <c r="R375">
        <v>8595.3700000000008</v>
      </c>
      <c r="S375">
        <v>1472.75</v>
      </c>
      <c r="T375" t="str">
        <f>PROPER(TRIM([1]raw_orders!T375))</f>
        <v>Paid</v>
      </c>
      <c r="U375" t="str">
        <f>PROPER(TRIM([1]raw_orders!U375))</f>
        <v>Completed</v>
      </c>
      <c r="V375" s="6">
        <f t="shared" si="40"/>
        <v>0.14627855051389932</v>
      </c>
      <c r="W375" t="str">
        <f t="shared" si="41"/>
        <v>April</v>
      </c>
      <c r="X375">
        <f t="shared" si="42"/>
        <v>2025</v>
      </c>
      <c r="Y375">
        <f t="shared" si="43"/>
        <v>0</v>
      </c>
      <c r="Z375" s="7">
        <f t="shared" si="44"/>
        <v>0</v>
      </c>
      <c r="AA375">
        <f t="shared" si="45"/>
        <v>10068.120000000001</v>
      </c>
      <c r="AB375">
        <f t="shared" si="46"/>
        <v>1472.75</v>
      </c>
      <c r="AC375" t="str">
        <f t="shared" si="47"/>
        <v>Clean</v>
      </c>
    </row>
    <row r="376" spans="1:29">
      <c r="A376" t="s">
        <v>1166</v>
      </c>
      <c r="B376" s="4">
        <v>45715</v>
      </c>
      <c r="C376" s="4">
        <v>45716</v>
      </c>
      <c r="D376" t="s">
        <v>1167</v>
      </c>
      <c r="E376" t="str">
        <f>PROPER(TRIM([1]raw_orders!E376))</f>
        <v>Aditi Sen</v>
      </c>
      <c r="F376" t="str">
        <f>PROPER(TRIM([1]raw_orders!F376))</f>
        <v>Small Business</v>
      </c>
      <c r="G376" t="str">
        <f>IF('[1]Cleaned Text Field'!G376="","Unknown",'[1]Cleaned Text Field'!G376)</f>
        <v>North</v>
      </c>
      <c r="H376" t="str">
        <f>PROPER(TRIM([1]raw_orders!H376))</f>
        <v>Uttar Pradesh</v>
      </c>
      <c r="I376" t="str">
        <f>PROPER(TRIM([1]raw_orders!I376))</f>
        <v>Noida</v>
      </c>
      <c r="J376" t="str">
        <f>PROPER(TRIM([1]raw_orders!J376))</f>
        <v>Office Supplies</v>
      </c>
      <c r="K376" t="str">
        <f>PROPER(TRIM([1]raw_orders!K376))</f>
        <v>Labels</v>
      </c>
      <c r="L376" t="s">
        <v>1168</v>
      </c>
      <c r="M376" t="str">
        <f>IF('[1]Cleaned Text Field'!M376="","Unknown",'[1]Cleaned Text Field'!M376)</f>
        <v>Standard Class</v>
      </c>
      <c r="N376">
        <f>IF('[1]Cleaned Text Field'!N376="",0,'[1]Cleaned Text Field'!N376)</f>
        <v>6</v>
      </c>
      <c r="O376">
        <v>2393.25</v>
      </c>
      <c r="P376" s="5">
        <f>IF('[1]Cleaned Text Field'!P376="",0,'[1]Cleaned Text Field'!P376)</f>
        <v>0</v>
      </c>
      <c r="Q376">
        <v>14359.5</v>
      </c>
      <c r="R376">
        <v>8117.71</v>
      </c>
      <c r="S376">
        <v>6241.79</v>
      </c>
      <c r="T376" t="str">
        <f>PROPER(TRIM([1]raw_orders!T376))</f>
        <v>Paid</v>
      </c>
      <c r="U376" t="str">
        <f>PROPER(TRIM([1]raw_orders!U376))</f>
        <v>Completed</v>
      </c>
      <c r="V376" s="6">
        <f t="shared" si="40"/>
        <v>0.43468017688638183</v>
      </c>
      <c r="W376" t="str">
        <f t="shared" si="41"/>
        <v>February</v>
      </c>
      <c r="X376">
        <f t="shared" si="42"/>
        <v>2025</v>
      </c>
      <c r="Y376">
        <f t="shared" si="43"/>
        <v>1</v>
      </c>
      <c r="Z376" s="7">
        <f t="shared" si="44"/>
        <v>0</v>
      </c>
      <c r="AA376">
        <f t="shared" si="45"/>
        <v>14359.5</v>
      </c>
      <c r="AB376">
        <f t="shared" si="46"/>
        <v>6241.79</v>
      </c>
      <c r="AC376" t="str">
        <f t="shared" si="47"/>
        <v>Clean</v>
      </c>
    </row>
    <row r="377" spans="1:29">
      <c r="A377" t="s">
        <v>1169</v>
      </c>
      <c r="B377" s="4">
        <v>45657</v>
      </c>
      <c r="C377" s="4">
        <v>45661</v>
      </c>
      <c r="D377" t="s">
        <v>1170</v>
      </c>
      <c r="E377" t="str">
        <f>PROPER(TRIM([1]raw_orders!E377))</f>
        <v>Vikram Iyer</v>
      </c>
      <c r="F377" t="str">
        <f>PROPER(TRIM([1]raw_orders!F377))</f>
        <v>Consumer</v>
      </c>
      <c r="G377" t="str">
        <f>IF('[1]Cleaned Text Field'!G377="","Unknown",'[1]Cleaned Text Field'!G377)</f>
        <v>North</v>
      </c>
      <c r="H377" t="str">
        <f>PROPER(TRIM([1]raw_orders!H377))</f>
        <v>Delhi</v>
      </c>
      <c r="I377" t="str">
        <f>PROPER(TRIM([1]raw_orders!I377))</f>
        <v>New Delhi</v>
      </c>
      <c r="J377" t="str">
        <f>PROPER(TRIM([1]raw_orders!J377))</f>
        <v>Furniture</v>
      </c>
      <c r="K377" t="str">
        <f>PROPER(TRIM([1]raw_orders!K377))</f>
        <v>Chairs</v>
      </c>
      <c r="L377" t="s">
        <v>1171</v>
      </c>
      <c r="M377" t="str">
        <f>IF('[1]Cleaned Text Field'!M377="","Unknown",'[1]Cleaned Text Field'!M377)</f>
        <v>Same Day</v>
      </c>
      <c r="N377">
        <f>IF('[1]Cleaned Text Field'!N377="",0,'[1]Cleaned Text Field'!N377)</f>
        <v>3</v>
      </c>
      <c r="O377">
        <v>1166.6099999999999</v>
      </c>
      <c r="P377" s="5">
        <f>IF('[1]Cleaned Text Field'!P377="",0,'[1]Cleaned Text Field'!P377)</f>
        <v>0.25</v>
      </c>
      <c r="Q377">
        <v>2624.87</v>
      </c>
      <c r="R377">
        <v>2253.88</v>
      </c>
      <c r="S377">
        <v>370.99</v>
      </c>
      <c r="T377" t="str">
        <f>PROPER(TRIM([1]raw_orders!T377))</f>
        <v>Paid</v>
      </c>
      <c r="U377" t="str">
        <f>PROPER(TRIM([1]raw_orders!U377))</f>
        <v>Completed</v>
      </c>
      <c r="V377" s="6">
        <f t="shared" si="40"/>
        <v>0.14133652333258409</v>
      </c>
      <c r="W377" t="str">
        <f t="shared" si="41"/>
        <v>December</v>
      </c>
      <c r="X377">
        <f t="shared" si="42"/>
        <v>2024</v>
      </c>
      <c r="Y377">
        <f t="shared" si="43"/>
        <v>4</v>
      </c>
      <c r="Z377" s="7">
        <f t="shared" si="44"/>
        <v>0.25</v>
      </c>
      <c r="AA377">
        <f t="shared" si="45"/>
        <v>2624.8724999999999</v>
      </c>
      <c r="AB377">
        <f t="shared" si="46"/>
        <v>370.98999999999978</v>
      </c>
      <c r="AC377" t="str">
        <f t="shared" si="47"/>
        <v>Clean</v>
      </c>
    </row>
    <row r="378" spans="1:29">
      <c r="A378" t="s">
        <v>1172</v>
      </c>
      <c r="B378" s="4">
        <v>45655</v>
      </c>
      <c r="C378" s="4">
        <v>45657</v>
      </c>
      <c r="D378" t="s">
        <v>1173</v>
      </c>
      <c r="E378" t="str">
        <f>PROPER(TRIM([1]raw_orders!E378))</f>
        <v>Isha Nair</v>
      </c>
      <c r="F378" t="str">
        <f>PROPER(TRIM([1]raw_orders!F378))</f>
        <v>Small Business</v>
      </c>
      <c r="G378" t="str">
        <f>IF('[1]Cleaned Text Field'!G378="","Unknown",'[1]Cleaned Text Field'!G378)</f>
        <v>East</v>
      </c>
      <c r="H378" t="str">
        <f>PROPER(TRIM([1]raw_orders!H378))</f>
        <v>Bihar</v>
      </c>
      <c r="I378" t="str">
        <f>PROPER(TRIM([1]raw_orders!I378))</f>
        <v>Patna</v>
      </c>
      <c r="J378" t="str">
        <f>PROPER(TRIM([1]raw_orders!J378))</f>
        <v>Furniture</v>
      </c>
      <c r="K378" t="str">
        <f>PROPER(TRIM([1]raw_orders!K378))</f>
        <v>Chairs</v>
      </c>
      <c r="L378" t="s">
        <v>1174</v>
      </c>
      <c r="M378" t="str">
        <f>IF('[1]Cleaned Text Field'!M378="","Unknown",'[1]Cleaned Text Field'!M378)</f>
        <v>First Class</v>
      </c>
      <c r="N378">
        <f>IF('[1]Cleaned Text Field'!N378="",0,'[1]Cleaned Text Field'!N378)</f>
        <v>6</v>
      </c>
      <c r="O378">
        <v>1844.78</v>
      </c>
      <c r="P378" s="5">
        <f>IF('[1]Cleaned Text Field'!P378="",0,'[1]Cleaned Text Field'!P378)</f>
        <v>0.2</v>
      </c>
      <c r="Q378">
        <v>8854.94</v>
      </c>
      <c r="R378">
        <v>7433.95</v>
      </c>
      <c r="S378">
        <v>1420.99</v>
      </c>
      <c r="T378" t="str">
        <f>PROPER(TRIM([1]raw_orders!T378))</f>
        <v>Paid</v>
      </c>
      <c r="U378" t="str">
        <f>PROPER(TRIM([1]raw_orders!U378))</f>
        <v>Completed</v>
      </c>
      <c r="V378" s="6">
        <f t="shared" si="40"/>
        <v>0.16047426634172562</v>
      </c>
      <c r="W378" t="str">
        <f t="shared" si="41"/>
        <v>December</v>
      </c>
      <c r="X378">
        <f t="shared" si="42"/>
        <v>2024</v>
      </c>
      <c r="Y378">
        <f t="shared" si="43"/>
        <v>2</v>
      </c>
      <c r="Z378" s="7">
        <f t="shared" si="44"/>
        <v>0.2</v>
      </c>
      <c r="AA378">
        <f t="shared" si="45"/>
        <v>8854.9440000000013</v>
      </c>
      <c r="AB378">
        <f t="shared" si="46"/>
        <v>1420.9900000000007</v>
      </c>
      <c r="AC378" t="str">
        <f t="shared" si="47"/>
        <v>Clean</v>
      </c>
    </row>
    <row r="379" spans="1:29">
      <c r="A379" t="s">
        <v>1175</v>
      </c>
      <c r="B379" s="4">
        <v>45801</v>
      </c>
      <c r="C379" s="4">
        <v>45807</v>
      </c>
      <c r="D379" t="s">
        <v>1176</v>
      </c>
      <c r="E379" t="str">
        <f>PROPER(TRIM([1]raw_orders!E379))</f>
        <v>Kabir Singh</v>
      </c>
      <c r="F379" t="str">
        <f>PROPER(TRIM([1]raw_orders!F379))</f>
        <v>Small Business</v>
      </c>
      <c r="G379" t="str">
        <f>IF('[1]Cleaned Text Field'!G379="","Unknown",'[1]Cleaned Text Field'!G379)</f>
        <v>East</v>
      </c>
      <c r="H379" t="str">
        <f>PROPER(TRIM([1]raw_orders!H379))</f>
        <v>Odisha</v>
      </c>
      <c r="I379" t="str">
        <f>PROPER(TRIM([1]raw_orders!I379))</f>
        <v>Bhubaneswar</v>
      </c>
      <c r="J379" t="str">
        <f>PROPER(TRIM([1]raw_orders!J379))</f>
        <v>Office Supplies</v>
      </c>
      <c r="K379" t="str">
        <f>PROPER(TRIM([1]raw_orders!K379))</f>
        <v>Storage</v>
      </c>
      <c r="L379" t="s">
        <v>1177</v>
      </c>
      <c r="M379" t="str">
        <f>IF('[1]Cleaned Text Field'!M379="","Unknown",'[1]Cleaned Text Field'!M379)</f>
        <v>Same Day</v>
      </c>
      <c r="N379">
        <f>IF('[1]Cleaned Text Field'!N379="",0,'[1]Cleaned Text Field'!N379)</f>
        <v>1</v>
      </c>
      <c r="O379">
        <v>2564.7399999999998</v>
      </c>
      <c r="P379" s="5">
        <f>IF('[1]Cleaned Text Field'!P379="",0,'[1]Cleaned Text Field'!P379)</f>
        <v>0</v>
      </c>
      <c r="Q379">
        <v>2564.7399999999998</v>
      </c>
      <c r="R379">
        <v>1754.58</v>
      </c>
      <c r="S379">
        <v>810.16</v>
      </c>
      <c r="T379" t="str">
        <f>PROPER(TRIM([1]raw_orders!T379))</f>
        <v>Paid</v>
      </c>
      <c r="U379" t="str">
        <f>PROPER(TRIM([1]raw_orders!U379))</f>
        <v>Completed</v>
      </c>
      <c r="V379" s="6">
        <f t="shared" si="40"/>
        <v>0.31588387126960238</v>
      </c>
      <c r="W379" t="str">
        <f t="shared" si="41"/>
        <v>May</v>
      </c>
      <c r="X379">
        <f t="shared" si="42"/>
        <v>2025</v>
      </c>
      <c r="Y379">
        <f t="shared" si="43"/>
        <v>6</v>
      </c>
      <c r="Z379" s="7">
        <f t="shared" si="44"/>
        <v>0</v>
      </c>
      <c r="AA379">
        <f t="shared" si="45"/>
        <v>2564.7399999999998</v>
      </c>
      <c r="AB379">
        <f t="shared" si="46"/>
        <v>810.15999999999985</v>
      </c>
      <c r="AC379" t="str">
        <f t="shared" si="47"/>
        <v>Clean</v>
      </c>
    </row>
    <row r="380" spans="1:29">
      <c r="A380" t="s">
        <v>1178</v>
      </c>
      <c r="B380" s="4">
        <v>45799</v>
      </c>
      <c r="C380" s="4">
        <v>45799</v>
      </c>
      <c r="D380" t="s">
        <v>1179</v>
      </c>
      <c r="E380" t="str">
        <f>PROPER(TRIM([1]raw_orders!E380))</f>
        <v>Mira Das</v>
      </c>
      <c r="F380" t="str">
        <f>PROPER(TRIM([1]raw_orders!F380))</f>
        <v>Consumer</v>
      </c>
      <c r="G380" t="str">
        <f>IF('[1]Cleaned Text Field'!G380="","Unknown",'[1]Cleaned Text Field'!G380)</f>
        <v>West</v>
      </c>
      <c r="H380" t="str">
        <f>PROPER(TRIM([1]raw_orders!H380))</f>
        <v>Goa</v>
      </c>
      <c r="I380" t="str">
        <f>PROPER(TRIM([1]raw_orders!I380))</f>
        <v>Panaji</v>
      </c>
      <c r="J380" t="str">
        <f>PROPER(TRIM([1]raw_orders!J380))</f>
        <v>Technology</v>
      </c>
      <c r="K380" t="str">
        <f>PROPER(TRIM([1]raw_orders!K380))</f>
        <v>Accessories</v>
      </c>
      <c r="L380" t="s">
        <v>1180</v>
      </c>
      <c r="M380" t="str">
        <f>IF('[1]Cleaned Text Field'!M380="","Unknown",'[1]Cleaned Text Field'!M380)</f>
        <v>Standard Class</v>
      </c>
      <c r="N380">
        <f>IF('[1]Cleaned Text Field'!N380="",0,'[1]Cleaned Text Field'!N380)</f>
        <v>2</v>
      </c>
      <c r="O380">
        <v>3910.61</v>
      </c>
      <c r="P380" s="5">
        <f>IF('[1]Cleaned Text Field'!P380="",0,'[1]Cleaned Text Field'!P380)</f>
        <v>0</v>
      </c>
      <c r="Q380">
        <v>7821.22</v>
      </c>
      <c r="R380">
        <v>4994.46</v>
      </c>
      <c r="S380">
        <v>2826.76</v>
      </c>
      <c r="T380" t="str">
        <f>PROPER(TRIM([1]raw_orders!T380))</f>
        <v>Paid</v>
      </c>
      <c r="U380" t="str">
        <f>PROPER(TRIM([1]raw_orders!U380))</f>
        <v>Completed</v>
      </c>
      <c r="V380" s="6">
        <f t="shared" si="40"/>
        <v>0.36142187535959863</v>
      </c>
      <c r="W380" t="str">
        <f t="shared" si="41"/>
        <v>May</v>
      </c>
      <c r="X380">
        <f t="shared" si="42"/>
        <v>2025</v>
      </c>
      <c r="Y380">
        <f t="shared" si="43"/>
        <v>0</v>
      </c>
      <c r="Z380" s="7">
        <f t="shared" si="44"/>
        <v>0</v>
      </c>
      <c r="AA380">
        <f t="shared" si="45"/>
        <v>7821.22</v>
      </c>
      <c r="AB380">
        <f t="shared" si="46"/>
        <v>2826.76</v>
      </c>
      <c r="AC380" t="str">
        <f t="shared" si="47"/>
        <v>Clean</v>
      </c>
    </row>
    <row r="381" spans="1:29">
      <c r="A381" t="s">
        <v>1181</v>
      </c>
      <c r="B381" s="4">
        <v>45554</v>
      </c>
      <c r="C381" s="4">
        <v>45558</v>
      </c>
      <c r="D381" t="s">
        <v>1182</v>
      </c>
      <c r="E381" t="str">
        <f>PROPER(TRIM([1]raw_orders!E381))</f>
        <v>Mira Das</v>
      </c>
      <c r="F381" t="str">
        <f>PROPER(TRIM([1]raw_orders!F381))</f>
        <v>Small Business</v>
      </c>
      <c r="G381" t="str">
        <f>IF('[1]Cleaned Text Field'!G381="","Unknown",'[1]Cleaned Text Field'!G381)</f>
        <v>South</v>
      </c>
      <c r="H381" t="str">
        <f>PROPER(TRIM([1]raw_orders!H381))</f>
        <v>Kerala</v>
      </c>
      <c r="I381" t="str">
        <f>PROPER(TRIM([1]raw_orders!I381))</f>
        <v>Kochi</v>
      </c>
      <c r="J381" t="str">
        <f>PROPER(TRIM([1]raw_orders!J381))</f>
        <v>Office Supplies</v>
      </c>
      <c r="K381" t="str">
        <f>PROPER(TRIM([1]raw_orders!K381))</f>
        <v>Paper</v>
      </c>
      <c r="L381" t="s">
        <v>1183</v>
      </c>
      <c r="M381" t="str">
        <f>IF('[1]Cleaned Text Field'!M381="","Unknown",'[1]Cleaned Text Field'!M381)</f>
        <v>Standard Class</v>
      </c>
      <c r="N381">
        <f>IF('[1]Cleaned Text Field'!N381="",0,'[1]Cleaned Text Field'!N381)</f>
        <v>7</v>
      </c>
      <c r="O381">
        <v>1136.68</v>
      </c>
      <c r="P381" s="5">
        <f>IF('[1]Cleaned Text Field'!P381="",0,'[1]Cleaned Text Field'!P381)</f>
        <v>0</v>
      </c>
      <c r="Q381">
        <v>7956.76</v>
      </c>
      <c r="R381">
        <v>4799.54</v>
      </c>
      <c r="S381">
        <v>3157.22</v>
      </c>
      <c r="T381" t="str">
        <f>PROPER(TRIM([1]raw_orders!T381))</f>
        <v>Paid</v>
      </c>
      <c r="U381" t="str">
        <f>PROPER(TRIM([1]raw_orders!U381))</f>
        <v>Completed</v>
      </c>
      <c r="V381" s="6">
        <f t="shared" si="40"/>
        <v>0.39679718880549364</v>
      </c>
      <c r="W381" t="str">
        <f t="shared" si="41"/>
        <v>September</v>
      </c>
      <c r="X381">
        <f t="shared" si="42"/>
        <v>2024</v>
      </c>
      <c r="Y381">
        <f t="shared" si="43"/>
        <v>4</v>
      </c>
      <c r="Z381" s="7">
        <f t="shared" si="44"/>
        <v>0</v>
      </c>
      <c r="AA381">
        <f t="shared" si="45"/>
        <v>7956.76</v>
      </c>
      <c r="AB381">
        <f t="shared" si="46"/>
        <v>3157.2200000000003</v>
      </c>
      <c r="AC381" t="str">
        <f t="shared" si="47"/>
        <v>Clean</v>
      </c>
    </row>
    <row r="382" spans="1:29">
      <c r="A382" t="s">
        <v>1184</v>
      </c>
      <c r="B382" s="4">
        <v>45389</v>
      </c>
      <c r="C382" s="4">
        <v>45396</v>
      </c>
      <c r="D382" t="s">
        <v>1185</v>
      </c>
      <c r="E382" t="str">
        <f>PROPER(TRIM([1]raw_orders!E382))</f>
        <v>Vikram Iyer</v>
      </c>
      <c r="F382" t="str">
        <f>PROPER(TRIM([1]raw_orders!F382))</f>
        <v>Consumer</v>
      </c>
      <c r="G382" t="str">
        <f>IF('[1]Cleaned Text Field'!G382="","Unknown",'[1]Cleaned Text Field'!G382)</f>
        <v>West</v>
      </c>
      <c r="H382" t="str">
        <f>PROPER(TRIM([1]raw_orders!H382))</f>
        <v>Maharashtra</v>
      </c>
      <c r="I382" t="str">
        <f>PROPER(TRIM([1]raw_orders!I382))</f>
        <v>Mumbai</v>
      </c>
      <c r="J382" t="str">
        <f>PROPER(TRIM([1]raw_orders!J382))</f>
        <v>Furniture</v>
      </c>
      <c r="K382" t="str">
        <f>PROPER(TRIM([1]raw_orders!K382))</f>
        <v>Bookcases</v>
      </c>
      <c r="L382" t="s">
        <v>1186</v>
      </c>
      <c r="M382" t="str">
        <f>IF('[1]Cleaned Text Field'!M382="","Unknown",'[1]Cleaned Text Field'!M382)</f>
        <v>Same Day</v>
      </c>
      <c r="N382">
        <f>IF('[1]Cleaned Text Field'!N382="",0,'[1]Cleaned Text Field'!N382)</f>
        <v>5</v>
      </c>
      <c r="O382">
        <v>2235.85</v>
      </c>
      <c r="P382" s="5">
        <f>IF('[1]Cleaned Text Field'!P382="",0,'[1]Cleaned Text Field'!P382)</f>
        <v>0.25</v>
      </c>
      <c r="Q382">
        <v>8384.44</v>
      </c>
      <c r="R382">
        <v>4765.96</v>
      </c>
      <c r="S382">
        <v>3618.48</v>
      </c>
      <c r="T382" t="str">
        <f>PROPER(TRIM([1]raw_orders!T382))</f>
        <v>Paid</v>
      </c>
      <c r="U382" t="str">
        <f>PROPER(TRIM([1]raw_orders!U382))</f>
        <v>Returned</v>
      </c>
      <c r="V382" s="6">
        <f t="shared" si="40"/>
        <v>0.43157086221620045</v>
      </c>
      <c r="W382" t="str">
        <f t="shared" si="41"/>
        <v>April</v>
      </c>
      <c r="X382">
        <f t="shared" si="42"/>
        <v>2024</v>
      </c>
      <c r="Y382">
        <f t="shared" si="43"/>
        <v>7</v>
      </c>
      <c r="Z382" s="7">
        <f t="shared" si="44"/>
        <v>0.25</v>
      </c>
      <c r="AA382">
        <f t="shared" si="45"/>
        <v>8384.4375</v>
      </c>
      <c r="AB382">
        <f t="shared" si="46"/>
        <v>3618.4800000000005</v>
      </c>
      <c r="AC382" t="str">
        <f t="shared" si="47"/>
        <v>Clean</v>
      </c>
    </row>
    <row r="383" spans="1:29">
      <c r="A383" t="s">
        <v>1187</v>
      </c>
      <c r="B383" s="4">
        <v>45919</v>
      </c>
      <c r="C383" s="4">
        <v>45923</v>
      </c>
      <c r="D383" t="s">
        <v>1188</v>
      </c>
      <c r="E383" t="str">
        <f>PROPER(TRIM([1]raw_orders!E383))</f>
        <v>Arjun Bose</v>
      </c>
      <c r="F383" t="str">
        <f>PROPER(TRIM([1]raw_orders!F383))</f>
        <v>Home Office</v>
      </c>
      <c r="G383" t="str">
        <f>IF('[1]Cleaned Text Field'!G383="","Unknown",'[1]Cleaned Text Field'!G383)</f>
        <v>North</v>
      </c>
      <c r="H383" t="str">
        <f>PROPER(TRIM([1]raw_orders!H383))</f>
        <v>Delhi</v>
      </c>
      <c r="I383" t="str">
        <f>PROPER(TRIM([1]raw_orders!I383))</f>
        <v>New Delhi</v>
      </c>
      <c r="J383" t="str">
        <f>PROPER(TRIM([1]raw_orders!J383))</f>
        <v>Office Supplies</v>
      </c>
      <c r="K383" t="str">
        <f>PROPER(TRIM([1]raw_orders!K383))</f>
        <v>Binders</v>
      </c>
      <c r="L383" t="s">
        <v>1189</v>
      </c>
      <c r="M383" t="str">
        <f>IF('[1]Cleaned Text Field'!M383="","Unknown",'[1]Cleaned Text Field'!M383)</f>
        <v>Standard Class</v>
      </c>
      <c r="N383">
        <f>IF('[1]Cleaned Text Field'!N383="",0,'[1]Cleaned Text Field'!N383)</f>
        <v>4</v>
      </c>
      <c r="O383">
        <v>4387.1499999999996</v>
      </c>
      <c r="P383" s="5">
        <f>IF('[1]Cleaned Text Field'!P383="",0,'[1]Cleaned Text Field'!P383)</f>
        <v>0.05</v>
      </c>
      <c r="Q383">
        <v>16671.169999999998</v>
      </c>
      <c r="R383">
        <v>10833.19</v>
      </c>
      <c r="S383">
        <v>5837.98</v>
      </c>
      <c r="T383" t="str">
        <f>PROPER(TRIM([1]raw_orders!T383))</f>
        <v>Failed</v>
      </c>
      <c r="U383" t="str">
        <f>PROPER(TRIM([1]raw_orders!U383))</f>
        <v>Cancelled</v>
      </c>
      <c r="V383" s="6">
        <f t="shared" si="40"/>
        <v>0.35018418023450065</v>
      </c>
      <c r="W383" t="str">
        <f t="shared" si="41"/>
        <v>September</v>
      </c>
      <c r="X383">
        <f t="shared" si="42"/>
        <v>2025</v>
      </c>
      <c r="Y383">
        <f t="shared" si="43"/>
        <v>4</v>
      </c>
      <c r="Z383" s="7">
        <f t="shared" si="44"/>
        <v>0.05</v>
      </c>
      <c r="AA383">
        <f t="shared" si="45"/>
        <v>16671.169999999998</v>
      </c>
      <c r="AB383">
        <f t="shared" si="46"/>
        <v>5837.9799999999977</v>
      </c>
      <c r="AC383" t="str">
        <f t="shared" si="47"/>
        <v>Clean</v>
      </c>
    </row>
    <row r="384" spans="1:29">
      <c r="A384" t="s">
        <v>1190</v>
      </c>
      <c r="B384" s="4">
        <v>45720</v>
      </c>
      <c r="C384" s="4">
        <v>45724</v>
      </c>
      <c r="D384" t="s">
        <v>123</v>
      </c>
      <c r="E384" t="str">
        <f>PROPER(TRIM([1]raw_orders!E384))</f>
        <v>Arjun Bose</v>
      </c>
      <c r="F384" t="str">
        <f>PROPER(TRIM([1]raw_orders!F384))</f>
        <v>Small Business</v>
      </c>
      <c r="G384" t="str">
        <f>IF('[1]Cleaned Text Field'!G384="","Unknown",'[1]Cleaned Text Field'!G384)</f>
        <v>East</v>
      </c>
      <c r="H384" t="str">
        <f>PROPER(TRIM([1]raw_orders!H384))</f>
        <v>Bihar</v>
      </c>
      <c r="I384" t="str">
        <f>PROPER(TRIM([1]raw_orders!I384))</f>
        <v>Patna</v>
      </c>
      <c r="J384" t="str">
        <f>PROPER(TRIM([1]raw_orders!J384))</f>
        <v>Technology</v>
      </c>
      <c r="K384" t="str">
        <f>PROPER(TRIM([1]raw_orders!K384))</f>
        <v>Phones</v>
      </c>
      <c r="L384" t="s">
        <v>1191</v>
      </c>
      <c r="M384" t="str">
        <f>IF('[1]Cleaned Text Field'!M384="","Unknown",'[1]Cleaned Text Field'!M384)</f>
        <v>First Class</v>
      </c>
      <c r="N384">
        <f>IF('[1]Cleaned Text Field'!N384="",0,'[1]Cleaned Text Field'!N384)</f>
        <v>3</v>
      </c>
      <c r="O384">
        <v>4361.8500000000004</v>
      </c>
      <c r="P384" s="5">
        <f>IF('[1]Cleaned Text Field'!P384="",0,'[1]Cleaned Text Field'!P384)</f>
        <v>0.2</v>
      </c>
      <c r="Q384">
        <v>10468.44</v>
      </c>
      <c r="R384">
        <v>8399.8700000000008</v>
      </c>
      <c r="S384">
        <v>2068.5700000000002</v>
      </c>
      <c r="T384" t="str">
        <f>PROPER(TRIM([1]raw_orders!T384))</f>
        <v>Paid</v>
      </c>
      <c r="U384" t="str">
        <f>PROPER(TRIM([1]raw_orders!U384))</f>
        <v>Completed</v>
      </c>
      <c r="V384" s="6">
        <f t="shared" si="40"/>
        <v>0.19760059760575596</v>
      </c>
      <c r="W384" t="str">
        <f t="shared" si="41"/>
        <v>March</v>
      </c>
      <c r="X384">
        <f t="shared" si="42"/>
        <v>2025</v>
      </c>
      <c r="Y384">
        <f t="shared" si="43"/>
        <v>4</v>
      </c>
      <c r="Z384" s="7">
        <f t="shared" si="44"/>
        <v>0.2</v>
      </c>
      <c r="AA384">
        <f t="shared" si="45"/>
        <v>10468.440000000002</v>
      </c>
      <c r="AB384">
        <f t="shared" si="46"/>
        <v>2068.5699999999997</v>
      </c>
      <c r="AC384" t="str">
        <f t="shared" si="47"/>
        <v>Clean</v>
      </c>
    </row>
    <row r="385" spans="1:29">
      <c r="A385" t="s">
        <v>1192</v>
      </c>
      <c r="B385" s="4">
        <v>45836</v>
      </c>
      <c r="C385" s="4">
        <v>45843</v>
      </c>
      <c r="D385" t="s">
        <v>1193</v>
      </c>
      <c r="E385" t="str">
        <f>PROPER(TRIM([1]raw_orders!E385))</f>
        <v>Vikram Iyer</v>
      </c>
      <c r="F385" t="str">
        <f>PROPER(TRIM([1]raw_orders!F385))</f>
        <v>Corporate</v>
      </c>
      <c r="G385" t="str">
        <f>IF('[1]Cleaned Text Field'!G385="","Unknown",'[1]Cleaned Text Field'!G385)</f>
        <v>East</v>
      </c>
      <c r="H385" t="str">
        <f>PROPER(TRIM([1]raw_orders!H385))</f>
        <v>West Bengal</v>
      </c>
      <c r="I385" t="str">
        <f>PROPER(TRIM([1]raw_orders!I385))</f>
        <v>Kolkata</v>
      </c>
      <c r="J385" t="str">
        <f>PROPER(TRIM([1]raw_orders!J385))</f>
        <v>Office Supplies</v>
      </c>
      <c r="K385" t="str">
        <f>PROPER(TRIM([1]raw_orders!K385))</f>
        <v>Art</v>
      </c>
      <c r="L385" t="s">
        <v>1194</v>
      </c>
      <c r="M385" t="str">
        <f>IF('[1]Cleaned Text Field'!M385="","Unknown",'[1]Cleaned Text Field'!M385)</f>
        <v>First Class</v>
      </c>
      <c r="N385">
        <f>IF('[1]Cleaned Text Field'!N385="",0,'[1]Cleaned Text Field'!N385)</f>
        <v>2</v>
      </c>
      <c r="O385">
        <v>2242.75</v>
      </c>
      <c r="P385" s="5">
        <f>IF('[1]Cleaned Text Field'!P385="",0,'[1]Cleaned Text Field'!P385)</f>
        <v>0</v>
      </c>
      <c r="Q385">
        <v>4485.5</v>
      </c>
      <c r="R385">
        <v>3131.86</v>
      </c>
      <c r="S385">
        <v>1353.64</v>
      </c>
      <c r="T385" t="str">
        <f>PROPER(TRIM([1]raw_orders!T385))</f>
        <v>Paid</v>
      </c>
      <c r="U385" t="str">
        <f>PROPER(TRIM([1]raw_orders!U385))</f>
        <v>Cancelled</v>
      </c>
      <c r="V385" s="6">
        <f t="shared" si="40"/>
        <v>0.30178129528480663</v>
      </c>
      <c r="W385" t="str">
        <f t="shared" si="41"/>
        <v>June</v>
      </c>
      <c r="X385">
        <f t="shared" si="42"/>
        <v>2025</v>
      </c>
      <c r="Y385">
        <f t="shared" si="43"/>
        <v>7</v>
      </c>
      <c r="Z385" s="7">
        <f t="shared" si="44"/>
        <v>0</v>
      </c>
      <c r="AA385">
        <f t="shared" si="45"/>
        <v>4485.5</v>
      </c>
      <c r="AB385">
        <f t="shared" si="46"/>
        <v>1353.6399999999999</v>
      </c>
      <c r="AC385" t="str">
        <f t="shared" si="47"/>
        <v>Clean</v>
      </c>
    </row>
    <row r="386" spans="1:29">
      <c r="A386" t="s">
        <v>1195</v>
      </c>
      <c r="B386" s="4">
        <v>45366</v>
      </c>
      <c r="C386" s="4">
        <v>45371</v>
      </c>
      <c r="D386" t="s">
        <v>1196</v>
      </c>
      <c r="E386" t="str">
        <f>PROPER(TRIM([1]raw_orders!E386))</f>
        <v>Rohan Mehta</v>
      </c>
      <c r="F386" t="str">
        <f>PROPER(TRIM([1]raw_orders!F386))</f>
        <v>Consumer</v>
      </c>
      <c r="G386" t="str">
        <f>IF('[1]Cleaned Text Field'!G386="","Unknown",'[1]Cleaned Text Field'!G386)</f>
        <v>East</v>
      </c>
      <c r="H386" t="str">
        <f>PROPER(TRIM([1]raw_orders!H386))</f>
        <v>Jharkhand</v>
      </c>
      <c r="I386" t="str">
        <f>PROPER(TRIM([1]raw_orders!I386))</f>
        <v>Ranchi</v>
      </c>
      <c r="J386" t="str">
        <f>PROPER(TRIM([1]raw_orders!J386))</f>
        <v>Technology</v>
      </c>
      <c r="K386" t="str">
        <f>PROPER(TRIM([1]raw_orders!K386))</f>
        <v>Copiers</v>
      </c>
      <c r="L386" t="s">
        <v>1197</v>
      </c>
      <c r="M386" t="str">
        <f>IF('[1]Cleaned Text Field'!M386="","Unknown",'[1]Cleaned Text Field'!M386)</f>
        <v>Standard Class</v>
      </c>
      <c r="N386">
        <f>IF('[1]Cleaned Text Field'!N386="",0,'[1]Cleaned Text Field'!N386)</f>
        <v>2</v>
      </c>
      <c r="O386">
        <v>1881.4</v>
      </c>
      <c r="P386" s="5">
        <f>IF('[1]Cleaned Text Field'!P386="",0,'[1]Cleaned Text Field'!P386)</f>
        <v>0.25</v>
      </c>
      <c r="Q386">
        <v>2822.1</v>
      </c>
      <c r="R386">
        <v>1624.57</v>
      </c>
      <c r="S386">
        <v>1197.53</v>
      </c>
      <c r="T386" t="str">
        <f>PROPER(TRIM([1]raw_orders!T386))</f>
        <v>Paid</v>
      </c>
      <c r="U386" t="str">
        <f>PROPER(TRIM([1]raw_orders!U386))</f>
        <v>Returned</v>
      </c>
      <c r="V386" s="6">
        <f t="shared" si="40"/>
        <v>0.42434003047376068</v>
      </c>
      <c r="W386" t="str">
        <f t="shared" si="41"/>
        <v>March</v>
      </c>
      <c r="X386">
        <f t="shared" si="42"/>
        <v>2024</v>
      </c>
      <c r="Y386">
        <f t="shared" si="43"/>
        <v>5</v>
      </c>
      <c r="Z386" s="7">
        <f t="shared" si="44"/>
        <v>0.25</v>
      </c>
      <c r="AA386">
        <f t="shared" si="45"/>
        <v>2822.1000000000004</v>
      </c>
      <c r="AB386">
        <f t="shared" si="46"/>
        <v>1197.53</v>
      </c>
      <c r="AC386" t="str">
        <f t="shared" si="47"/>
        <v>Clean</v>
      </c>
    </row>
    <row r="387" spans="1:29">
      <c r="A387" t="s">
        <v>1198</v>
      </c>
      <c r="B387" s="4">
        <v>45832</v>
      </c>
      <c r="C387" s="4">
        <v>45838</v>
      </c>
      <c r="D387" t="s">
        <v>1199</v>
      </c>
      <c r="E387" t="str">
        <f>PROPER(TRIM([1]raw_orders!E387))</f>
        <v>Arjun Bose</v>
      </c>
      <c r="F387" t="str">
        <f>PROPER(TRIM([1]raw_orders!F387))</f>
        <v>Consumer</v>
      </c>
      <c r="G387" t="str">
        <f>IF('[1]Cleaned Text Field'!G387="","Unknown",'[1]Cleaned Text Field'!G387)</f>
        <v>North</v>
      </c>
      <c r="H387" t="str">
        <f>PROPER(TRIM([1]raw_orders!H387))</f>
        <v>Haryana</v>
      </c>
      <c r="I387" t="str">
        <f>PROPER(TRIM([1]raw_orders!I387))</f>
        <v>Gurugram</v>
      </c>
      <c r="J387" t="str">
        <f>PROPER(TRIM([1]raw_orders!J387))</f>
        <v>Office Supplies</v>
      </c>
      <c r="K387" t="str">
        <f>PROPER(TRIM([1]raw_orders!K387))</f>
        <v>Labels</v>
      </c>
      <c r="L387" t="s">
        <v>1200</v>
      </c>
      <c r="M387" t="str">
        <f>IF('[1]Cleaned Text Field'!M387="","Unknown",'[1]Cleaned Text Field'!M387)</f>
        <v>Standard Class</v>
      </c>
      <c r="N387">
        <f>IF('[1]Cleaned Text Field'!N387="",0,'[1]Cleaned Text Field'!N387)</f>
        <v>6</v>
      </c>
      <c r="O387">
        <v>365.76</v>
      </c>
      <c r="P387" s="5">
        <f>IF('[1]Cleaned Text Field'!P387="",0,'[1]Cleaned Text Field'!P387)</f>
        <v>0.1</v>
      </c>
      <c r="Q387">
        <v>1975.1</v>
      </c>
      <c r="R387">
        <v>1115.3499999999999</v>
      </c>
      <c r="S387">
        <v>859.75</v>
      </c>
      <c r="T387" t="str">
        <f>PROPER(TRIM([1]raw_orders!T387))</f>
        <v>Paid</v>
      </c>
      <c r="U387" t="str">
        <f>PROPER(TRIM([1]raw_orders!U387))</f>
        <v>Completed</v>
      </c>
      <c r="V387" s="6">
        <f t="shared" ref="V387:V450" si="48">IF(Q387=0,0,S387/Q387)</f>
        <v>0.43529441547263431</v>
      </c>
      <c r="W387" t="str">
        <f t="shared" ref="W387:W450" si="49">TEXT(B387,"mmmm")</f>
        <v>June</v>
      </c>
      <c r="X387">
        <f t="shared" ref="X387:X450" si="50">YEAR(B387)</f>
        <v>2025</v>
      </c>
      <c r="Y387">
        <f t="shared" ref="Y387:Y450" si="51">C387-B387</f>
        <v>6</v>
      </c>
      <c r="Z387" s="7">
        <f t="shared" ref="Z387:Z450" si="52">P387</f>
        <v>0.1</v>
      </c>
      <c r="AA387">
        <f t="shared" ref="AA387:AA450" si="53">N387*O387*(1-P387)</f>
        <v>1975.104</v>
      </c>
      <c r="AB387">
        <f t="shared" ref="AB387:AB450" si="54">Q387-R387</f>
        <v>859.75</v>
      </c>
      <c r="AC387" t="str">
        <f t="shared" ref="AC387:AC450" si="55">IF(OR(B387="",C387="",AA387&lt;=0),"Invalid",IF(Y387&lt;0,"Warning",IF(Z387&gt;100%,"Warning","Clean")))</f>
        <v>Clean</v>
      </c>
    </row>
    <row r="388" spans="1:29">
      <c r="A388" t="s">
        <v>1201</v>
      </c>
      <c r="B388" s="4">
        <v>45700</v>
      </c>
      <c r="C388" s="4">
        <v>45702</v>
      </c>
      <c r="D388" t="s">
        <v>1202</v>
      </c>
      <c r="E388" t="str">
        <f>PROPER(TRIM([1]raw_orders!E388))</f>
        <v>Sneha Kapoor</v>
      </c>
      <c r="F388" t="str">
        <f>PROPER(TRIM([1]raw_orders!F388))</f>
        <v>Consumer</v>
      </c>
      <c r="G388" t="str">
        <f>IF('[1]Cleaned Text Field'!G388="","Unknown",'[1]Cleaned Text Field'!G388)</f>
        <v>West</v>
      </c>
      <c r="H388" t="str">
        <f>PROPER(TRIM([1]raw_orders!H388))</f>
        <v>Maharashtra</v>
      </c>
      <c r="I388" t="str">
        <f>PROPER(TRIM([1]raw_orders!I388))</f>
        <v>Mumbai</v>
      </c>
      <c r="J388" t="str">
        <f>PROPER(TRIM([1]raw_orders!J388))</f>
        <v>Furniture</v>
      </c>
      <c r="K388" t="str">
        <f>PROPER(TRIM([1]raw_orders!K388))</f>
        <v>Furnishings</v>
      </c>
      <c r="L388" t="s">
        <v>1203</v>
      </c>
      <c r="M388" t="str">
        <f>IF('[1]Cleaned Text Field'!M388="","Unknown",'[1]Cleaned Text Field'!M388)</f>
        <v>Second Class</v>
      </c>
      <c r="N388">
        <f>IF('[1]Cleaned Text Field'!N388="",0,'[1]Cleaned Text Field'!N388)</f>
        <v>8</v>
      </c>
      <c r="O388">
        <v>2786.66</v>
      </c>
      <c r="P388" s="5">
        <f>IF('[1]Cleaned Text Field'!P388="",0,'[1]Cleaned Text Field'!P388)</f>
        <v>0.1</v>
      </c>
      <c r="Q388">
        <v>20063.95</v>
      </c>
      <c r="R388">
        <v>14363.38</v>
      </c>
      <c r="S388">
        <v>5700.57</v>
      </c>
      <c r="T388" t="str">
        <f>PROPER(TRIM([1]raw_orders!T388))</f>
        <v>Paid</v>
      </c>
      <c r="U388" t="str">
        <f>PROPER(TRIM([1]raw_orders!U388))</f>
        <v>Completed</v>
      </c>
      <c r="V388" s="6">
        <f t="shared" si="48"/>
        <v>0.28412002621617377</v>
      </c>
      <c r="W388" t="str">
        <f t="shared" si="49"/>
        <v>February</v>
      </c>
      <c r="X388">
        <f t="shared" si="50"/>
        <v>2025</v>
      </c>
      <c r="Y388">
        <f t="shared" si="51"/>
        <v>2</v>
      </c>
      <c r="Z388" s="7">
        <f t="shared" si="52"/>
        <v>0.1</v>
      </c>
      <c r="AA388">
        <f t="shared" si="53"/>
        <v>20063.952000000001</v>
      </c>
      <c r="AB388">
        <f t="shared" si="54"/>
        <v>5700.5700000000015</v>
      </c>
      <c r="AC388" t="str">
        <f t="shared" si="55"/>
        <v>Clean</v>
      </c>
    </row>
    <row r="389" spans="1:29">
      <c r="A389" t="s">
        <v>1204</v>
      </c>
      <c r="B389" s="4">
        <v>45938</v>
      </c>
      <c r="C389" s="4">
        <v>45882</v>
      </c>
      <c r="D389" t="s">
        <v>1205</v>
      </c>
      <c r="E389" t="str">
        <f>PROPER(TRIM([1]raw_orders!E389))</f>
        <v>Priya Menon</v>
      </c>
      <c r="F389" t="str">
        <f>PROPER(TRIM([1]raw_orders!F389))</f>
        <v>Small Business</v>
      </c>
      <c r="G389" t="str">
        <f>IF('[1]Cleaned Text Field'!G389="","Unknown",'[1]Cleaned Text Field'!G389)</f>
        <v>West</v>
      </c>
      <c r="H389" t="str">
        <f>PROPER(TRIM([1]raw_orders!H389))</f>
        <v>Madhya Pradesh</v>
      </c>
      <c r="I389" t="str">
        <f>PROPER(TRIM([1]raw_orders!I389))</f>
        <v>Indore</v>
      </c>
      <c r="J389" t="str">
        <f>PROPER(TRIM([1]raw_orders!J389))</f>
        <v>Furniture</v>
      </c>
      <c r="K389" t="str">
        <f>PROPER(TRIM([1]raw_orders!K389))</f>
        <v>Chairs</v>
      </c>
      <c r="L389" t="s">
        <v>1206</v>
      </c>
      <c r="M389" t="str">
        <f>IF('[1]Cleaned Text Field'!M389="","Unknown",'[1]Cleaned Text Field'!M389)</f>
        <v>Standard Class</v>
      </c>
      <c r="N389">
        <f>IF('[1]Cleaned Text Field'!N389="",0,'[1]Cleaned Text Field'!N389)</f>
        <v>5</v>
      </c>
      <c r="O389">
        <v>352.86</v>
      </c>
      <c r="P389" s="5">
        <f>IF('[1]Cleaned Text Field'!P389="",0,'[1]Cleaned Text Field'!P389)</f>
        <v>0</v>
      </c>
      <c r="Q389">
        <v>1764.3</v>
      </c>
      <c r="R389">
        <v>1332.49</v>
      </c>
      <c r="S389">
        <v>431.81</v>
      </c>
      <c r="T389" t="str">
        <f>PROPER(TRIM([1]raw_orders!T389))</f>
        <v>Pending</v>
      </c>
      <c r="U389" t="str">
        <f>PROPER(TRIM([1]raw_orders!U389))</f>
        <v>Cancelled</v>
      </c>
      <c r="V389" s="6">
        <f t="shared" si="48"/>
        <v>0.24474862551720231</v>
      </c>
      <c r="W389" t="str">
        <f t="shared" si="49"/>
        <v>October</v>
      </c>
      <c r="X389">
        <f t="shared" si="50"/>
        <v>2025</v>
      </c>
      <c r="Y389">
        <f t="shared" si="51"/>
        <v>-56</v>
      </c>
      <c r="Z389" s="7">
        <f t="shared" si="52"/>
        <v>0</v>
      </c>
      <c r="AA389">
        <f t="shared" si="53"/>
        <v>1764.3000000000002</v>
      </c>
      <c r="AB389">
        <f t="shared" si="54"/>
        <v>431.80999999999995</v>
      </c>
      <c r="AC389" t="str">
        <f t="shared" si="55"/>
        <v>Warning</v>
      </c>
    </row>
    <row r="390" spans="1:29">
      <c r="A390" t="s">
        <v>1207</v>
      </c>
      <c r="B390" s="4">
        <v>45425</v>
      </c>
      <c r="C390" s="4">
        <v>45430</v>
      </c>
      <c r="D390" t="s">
        <v>1208</v>
      </c>
      <c r="E390" t="str">
        <f>PROPER(TRIM([1]raw_orders!E390))</f>
        <v>Isha Nair</v>
      </c>
      <c r="F390" t="str">
        <f>PROPER(TRIM([1]raw_orders!F390))</f>
        <v>Small Business</v>
      </c>
      <c r="G390" t="str">
        <f>IF('[1]Cleaned Text Field'!G390="","Unknown",'[1]Cleaned Text Field'!G390)</f>
        <v>West</v>
      </c>
      <c r="H390" t="str">
        <f>PROPER(TRIM([1]raw_orders!H390))</f>
        <v>Gujarat</v>
      </c>
      <c r="I390" t="str">
        <f>PROPER(TRIM([1]raw_orders!I390))</f>
        <v>Ahmedabad</v>
      </c>
      <c r="J390" t="str">
        <f>PROPER(TRIM([1]raw_orders!J390))</f>
        <v>Furniture</v>
      </c>
      <c r="K390" t="str">
        <f>PROPER(TRIM([1]raw_orders!K390))</f>
        <v>Chairs</v>
      </c>
      <c r="L390" t="s">
        <v>1209</v>
      </c>
      <c r="M390" t="str">
        <f>IF('[1]Cleaned Text Field'!M390="","Unknown",'[1]Cleaned Text Field'!M390)</f>
        <v>Standard Class</v>
      </c>
      <c r="N390">
        <f>IF('[1]Cleaned Text Field'!N390="",0,'[1]Cleaned Text Field'!N390)</f>
        <v>3</v>
      </c>
      <c r="O390">
        <v>3128.59</v>
      </c>
      <c r="P390" s="5">
        <f>IF('[1]Cleaned Text Field'!P390="",0,'[1]Cleaned Text Field'!P390)</f>
        <v>0</v>
      </c>
      <c r="Q390">
        <v>9385.77</v>
      </c>
      <c r="R390">
        <v>6872.44</v>
      </c>
      <c r="S390">
        <v>2783.66</v>
      </c>
      <c r="T390" t="str">
        <f>PROPER(TRIM([1]raw_orders!T390))</f>
        <v>Paid</v>
      </c>
      <c r="U390" t="str">
        <f>PROPER(TRIM([1]raw_orders!U390))</f>
        <v>Completed</v>
      </c>
      <c r="V390" s="6">
        <f t="shared" si="48"/>
        <v>0.29658301876138021</v>
      </c>
      <c r="W390" t="str">
        <f t="shared" si="49"/>
        <v>May</v>
      </c>
      <c r="X390">
        <f t="shared" si="50"/>
        <v>2024</v>
      </c>
      <c r="Y390">
        <f t="shared" si="51"/>
        <v>5</v>
      </c>
      <c r="Z390" s="7">
        <f t="shared" si="52"/>
        <v>0</v>
      </c>
      <c r="AA390">
        <f t="shared" si="53"/>
        <v>9385.77</v>
      </c>
      <c r="AB390">
        <f t="shared" si="54"/>
        <v>2513.3300000000008</v>
      </c>
      <c r="AC390" t="str">
        <f t="shared" si="55"/>
        <v>Clean</v>
      </c>
    </row>
    <row r="391" spans="1:29">
      <c r="A391" t="s">
        <v>1210</v>
      </c>
      <c r="B391" s="4">
        <v>45387</v>
      </c>
      <c r="C391" s="4">
        <v>45395</v>
      </c>
      <c r="D391" t="s">
        <v>1211</v>
      </c>
      <c r="E391" t="str">
        <f>PROPER(TRIM([1]raw_orders!E391))</f>
        <v>Diya Patel</v>
      </c>
      <c r="F391" t="str">
        <f>PROPER(TRIM([1]raw_orders!F391))</f>
        <v>Corporate</v>
      </c>
      <c r="G391" t="str">
        <f>IF('[1]Cleaned Text Field'!G391="","Unknown",'[1]Cleaned Text Field'!G391)</f>
        <v>West</v>
      </c>
      <c r="H391" t="str">
        <f>PROPER(TRIM([1]raw_orders!H391))</f>
        <v>Gujarat</v>
      </c>
      <c r="I391" t="str">
        <f>PROPER(TRIM([1]raw_orders!I391))</f>
        <v>Ahmedabad</v>
      </c>
      <c r="J391" t="str">
        <f>PROPER(TRIM([1]raw_orders!J391))</f>
        <v>Technology</v>
      </c>
      <c r="K391" t="str">
        <f>PROPER(TRIM([1]raw_orders!K391))</f>
        <v>Machines</v>
      </c>
      <c r="L391" t="s">
        <v>1212</v>
      </c>
      <c r="M391" t="str">
        <f>IF('[1]Cleaned Text Field'!M391="","Unknown",'[1]Cleaned Text Field'!M391)</f>
        <v>Second Class</v>
      </c>
      <c r="N391">
        <f>IF('[1]Cleaned Text Field'!N391="",0,'[1]Cleaned Text Field'!N391)</f>
        <v>5</v>
      </c>
      <c r="O391">
        <v>1937.54</v>
      </c>
      <c r="P391" s="5">
        <f>IF('[1]Cleaned Text Field'!P391="",0,'[1]Cleaned Text Field'!P391)</f>
        <v>0.2</v>
      </c>
      <c r="Q391">
        <v>7750.16</v>
      </c>
      <c r="R391">
        <v>5434.3</v>
      </c>
      <c r="S391">
        <v>2315.86</v>
      </c>
      <c r="T391" t="str">
        <f>PROPER(TRIM([1]raw_orders!T391))</f>
        <v>Pending</v>
      </c>
      <c r="U391" t="str">
        <f>PROPER(TRIM([1]raw_orders!U391))</f>
        <v>Cancelled</v>
      </c>
      <c r="V391" s="6">
        <f t="shared" si="48"/>
        <v>0.29881447608823564</v>
      </c>
      <c r="W391" t="str">
        <f t="shared" si="49"/>
        <v>April</v>
      </c>
      <c r="X391">
        <f t="shared" si="50"/>
        <v>2024</v>
      </c>
      <c r="Y391">
        <f t="shared" si="51"/>
        <v>8</v>
      </c>
      <c r="Z391" s="7">
        <f t="shared" si="52"/>
        <v>0.2</v>
      </c>
      <c r="AA391">
        <f t="shared" si="53"/>
        <v>7750.1600000000008</v>
      </c>
      <c r="AB391">
        <f t="shared" si="54"/>
        <v>2315.8599999999997</v>
      </c>
      <c r="AC391" t="str">
        <f t="shared" si="55"/>
        <v>Clean</v>
      </c>
    </row>
    <row r="392" spans="1:29">
      <c r="A392" t="s">
        <v>1213</v>
      </c>
      <c r="B392" s="4">
        <v>45602</v>
      </c>
      <c r="C392" s="4">
        <v>45607</v>
      </c>
      <c r="D392" t="s">
        <v>1214</v>
      </c>
      <c r="E392" t="str">
        <f>PROPER(TRIM([1]raw_orders!E392))</f>
        <v>Isha Nair</v>
      </c>
      <c r="F392" t="str">
        <f>PROPER(TRIM([1]raw_orders!F392))</f>
        <v>Consumer</v>
      </c>
      <c r="G392" t="str">
        <f>IF('[1]Cleaned Text Field'!G392="","Unknown",'[1]Cleaned Text Field'!G392)</f>
        <v>West</v>
      </c>
      <c r="H392" t="str">
        <f>PROPER(TRIM([1]raw_orders!H392))</f>
        <v>Gujarat</v>
      </c>
      <c r="I392" t="str">
        <f>PROPER(TRIM([1]raw_orders!I392))</f>
        <v>Ahmedabad</v>
      </c>
      <c r="J392" t="str">
        <f>PROPER(TRIM([1]raw_orders!J392))</f>
        <v>Furniture</v>
      </c>
      <c r="K392" t="str">
        <f>PROPER(TRIM([1]raw_orders!K392))</f>
        <v>Furnishings</v>
      </c>
      <c r="L392" t="s">
        <v>1215</v>
      </c>
      <c r="M392" t="str">
        <f>IF('[1]Cleaned Text Field'!M392="","Unknown",'[1]Cleaned Text Field'!M392)</f>
        <v>Standard Class</v>
      </c>
      <c r="N392">
        <f>IF('[1]Cleaned Text Field'!N392="",0,'[1]Cleaned Text Field'!N392)</f>
        <v>4</v>
      </c>
      <c r="O392">
        <v>1917.26</v>
      </c>
      <c r="P392" s="5">
        <f>IF('[1]Cleaned Text Field'!P392="",0,'[1]Cleaned Text Field'!P392)</f>
        <v>0.2</v>
      </c>
      <c r="Q392">
        <v>6135.23</v>
      </c>
      <c r="R392">
        <v>3439.79</v>
      </c>
      <c r="S392">
        <v>2695.44</v>
      </c>
      <c r="T392" t="str">
        <f>PROPER(TRIM([1]raw_orders!T392))</f>
        <v>Paid</v>
      </c>
      <c r="U392" t="str">
        <f>PROPER(TRIM([1]raw_orders!U392))</f>
        <v>Completed</v>
      </c>
      <c r="V392" s="6">
        <f t="shared" si="48"/>
        <v>0.43933805252614822</v>
      </c>
      <c r="W392" t="str">
        <f t="shared" si="49"/>
        <v>November</v>
      </c>
      <c r="X392">
        <f t="shared" si="50"/>
        <v>2024</v>
      </c>
      <c r="Y392">
        <f t="shared" si="51"/>
        <v>5</v>
      </c>
      <c r="Z392" s="7">
        <f t="shared" si="52"/>
        <v>0.2</v>
      </c>
      <c r="AA392">
        <f t="shared" si="53"/>
        <v>6135.232</v>
      </c>
      <c r="AB392">
        <f t="shared" si="54"/>
        <v>2695.4399999999996</v>
      </c>
      <c r="AC392" t="str">
        <f t="shared" si="55"/>
        <v>Clean</v>
      </c>
    </row>
    <row r="393" spans="1:29">
      <c r="A393" t="s">
        <v>1216</v>
      </c>
      <c r="B393" s="4">
        <v>45702</v>
      </c>
      <c r="C393" s="4">
        <v>45702</v>
      </c>
      <c r="D393" t="s">
        <v>1217</v>
      </c>
      <c r="E393" t="str">
        <f>PROPER(TRIM([1]raw_orders!E393))</f>
        <v>Diya Patel</v>
      </c>
      <c r="F393" t="str">
        <f>PROPER(TRIM([1]raw_orders!F393))</f>
        <v>Consumer</v>
      </c>
      <c r="G393" t="str">
        <f>IF('[1]Cleaned Text Field'!G393="","Unknown",'[1]Cleaned Text Field'!G393)</f>
        <v>South</v>
      </c>
      <c r="H393" t="str">
        <f>PROPER(TRIM([1]raw_orders!H393))</f>
        <v>Karnataka</v>
      </c>
      <c r="I393" t="str">
        <f>PROPER(TRIM([1]raw_orders!I393))</f>
        <v>Bengaluru</v>
      </c>
      <c r="J393" t="str">
        <f>PROPER(TRIM([1]raw_orders!J393))</f>
        <v>Office Supplies</v>
      </c>
      <c r="K393" t="str">
        <f>PROPER(TRIM([1]raw_orders!K393))</f>
        <v>Storage</v>
      </c>
      <c r="L393" t="s">
        <v>1218</v>
      </c>
      <c r="M393" t="str">
        <f>IF('[1]Cleaned Text Field'!M393="","Unknown",'[1]Cleaned Text Field'!M393)</f>
        <v>First Class</v>
      </c>
      <c r="N393">
        <f>IF('[1]Cleaned Text Field'!N393="",0,'[1]Cleaned Text Field'!N393)</f>
        <v>1</v>
      </c>
      <c r="O393">
        <v>714.43</v>
      </c>
      <c r="P393" s="5">
        <f>IF('[1]Cleaned Text Field'!P393="",0,'[1]Cleaned Text Field'!P393)</f>
        <v>0</v>
      </c>
      <c r="Q393">
        <v>714.43</v>
      </c>
      <c r="R393">
        <v>565.44000000000005</v>
      </c>
      <c r="S393">
        <v>148.99</v>
      </c>
      <c r="T393" t="str">
        <f>PROPER(TRIM([1]raw_orders!T393))</f>
        <v>Paid</v>
      </c>
      <c r="U393" t="str">
        <f>PROPER(TRIM([1]raw_orders!U393))</f>
        <v>Completed</v>
      </c>
      <c r="V393" s="6">
        <f t="shared" si="48"/>
        <v>0.20854387413742426</v>
      </c>
      <c r="W393" t="str">
        <f t="shared" si="49"/>
        <v>February</v>
      </c>
      <c r="X393">
        <f t="shared" si="50"/>
        <v>2025</v>
      </c>
      <c r="Y393">
        <f t="shared" si="51"/>
        <v>0</v>
      </c>
      <c r="Z393" s="7">
        <f t="shared" si="52"/>
        <v>0</v>
      </c>
      <c r="AA393">
        <f t="shared" si="53"/>
        <v>714.43</v>
      </c>
      <c r="AB393">
        <f t="shared" si="54"/>
        <v>148.9899999999999</v>
      </c>
      <c r="AC393" t="str">
        <f t="shared" si="55"/>
        <v>Clean</v>
      </c>
    </row>
    <row r="394" spans="1:29">
      <c r="A394" t="s">
        <v>1219</v>
      </c>
      <c r="B394" s="4">
        <v>45341</v>
      </c>
      <c r="C394" s="4">
        <v>45344</v>
      </c>
      <c r="D394" t="s">
        <v>1220</v>
      </c>
      <c r="E394" t="str">
        <f>PROPER(TRIM([1]raw_orders!E394))</f>
        <v>Aditi Sen</v>
      </c>
      <c r="F394" t="str">
        <f>PROPER(TRIM([1]raw_orders!F394))</f>
        <v>Small Business</v>
      </c>
      <c r="G394" t="str">
        <f>IF('[1]Cleaned Text Field'!G394="","Unknown",'[1]Cleaned Text Field'!G394)</f>
        <v>South</v>
      </c>
      <c r="H394" t="str">
        <f>PROPER(TRIM([1]raw_orders!H394))</f>
        <v>Kerala</v>
      </c>
      <c r="I394" t="str">
        <f>PROPER(TRIM([1]raw_orders!I394))</f>
        <v>Kochi</v>
      </c>
      <c r="J394" t="str">
        <f>PROPER(TRIM([1]raw_orders!J394))</f>
        <v>Furniture</v>
      </c>
      <c r="K394" t="str">
        <f>PROPER(TRIM([1]raw_orders!K394))</f>
        <v>Furnishings</v>
      </c>
      <c r="L394" t="s">
        <v>1221</v>
      </c>
      <c r="M394" t="str">
        <f>IF('[1]Cleaned Text Field'!M394="","Unknown",'[1]Cleaned Text Field'!M394)</f>
        <v>Same Day</v>
      </c>
      <c r="N394">
        <f>IF('[1]Cleaned Text Field'!N394="",0,'[1]Cleaned Text Field'!N394)</f>
        <v>9</v>
      </c>
      <c r="O394">
        <v>4053.01</v>
      </c>
      <c r="P394" s="5">
        <f>IF('[1]Cleaned Text Field'!P394="",0,'[1]Cleaned Text Field'!P394)</f>
        <v>0</v>
      </c>
      <c r="Q394">
        <v>36477.089999999997</v>
      </c>
      <c r="R394">
        <v>24525.48</v>
      </c>
      <c r="S394">
        <v>11951.61</v>
      </c>
      <c r="T394" t="str">
        <f>PROPER(TRIM([1]raw_orders!T394))</f>
        <v>Paid</v>
      </c>
      <c r="U394" t="str">
        <f>PROPER(TRIM([1]raw_orders!U394))</f>
        <v>Completed</v>
      </c>
      <c r="V394" s="6">
        <f t="shared" si="48"/>
        <v>0.32764702447481425</v>
      </c>
      <c r="W394" t="str">
        <f t="shared" si="49"/>
        <v>February</v>
      </c>
      <c r="X394">
        <f t="shared" si="50"/>
        <v>2024</v>
      </c>
      <c r="Y394">
        <f t="shared" si="51"/>
        <v>3</v>
      </c>
      <c r="Z394" s="7">
        <f t="shared" si="52"/>
        <v>0</v>
      </c>
      <c r="AA394">
        <f t="shared" si="53"/>
        <v>36477.090000000004</v>
      </c>
      <c r="AB394">
        <f t="shared" si="54"/>
        <v>11951.609999999997</v>
      </c>
      <c r="AC394" t="str">
        <f t="shared" si="55"/>
        <v>Clean</v>
      </c>
    </row>
    <row r="395" spans="1:29">
      <c r="A395" t="s">
        <v>1222</v>
      </c>
      <c r="B395" s="4">
        <v>45527</v>
      </c>
      <c r="C395" s="4">
        <v>45533</v>
      </c>
      <c r="D395" t="s">
        <v>1223</v>
      </c>
      <c r="E395" t="str">
        <f>PROPER(TRIM([1]raw_orders!E395))</f>
        <v>Mira Das</v>
      </c>
      <c r="F395" t="str">
        <f>PROPER(TRIM([1]raw_orders!F395))</f>
        <v>Corporate</v>
      </c>
      <c r="G395" t="str">
        <f>IF('[1]Cleaned Text Field'!G395="","Unknown",'[1]Cleaned Text Field'!G395)</f>
        <v>North</v>
      </c>
      <c r="H395" t="str">
        <f>PROPER(TRIM([1]raw_orders!H395))</f>
        <v>Uttar Pradesh</v>
      </c>
      <c r="I395" t="str">
        <f>PROPER(TRIM([1]raw_orders!I395))</f>
        <v>Noida</v>
      </c>
      <c r="J395" t="str">
        <f>PROPER(TRIM([1]raw_orders!J395))</f>
        <v>Office Supplies</v>
      </c>
      <c r="K395" t="str">
        <f>PROPER(TRIM([1]raw_orders!K395))</f>
        <v>Labels</v>
      </c>
      <c r="L395" t="s">
        <v>1224</v>
      </c>
      <c r="M395" t="str">
        <f>IF('[1]Cleaned Text Field'!M395="","Unknown",'[1]Cleaned Text Field'!M395)</f>
        <v>Same Day</v>
      </c>
      <c r="N395">
        <f>IF('[1]Cleaned Text Field'!N395="",0,'[1]Cleaned Text Field'!N395)</f>
        <v>2</v>
      </c>
      <c r="O395">
        <v>1936.91</v>
      </c>
      <c r="P395" s="5">
        <f>IF('[1]Cleaned Text Field'!P395="",0,'[1]Cleaned Text Field'!P395)</f>
        <v>0.05</v>
      </c>
      <c r="Q395">
        <v>3680.13</v>
      </c>
      <c r="R395">
        <v>2967.46</v>
      </c>
      <c r="S395">
        <v>712.67</v>
      </c>
      <c r="T395" t="str">
        <f>PROPER(TRIM([1]raw_orders!T395))</f>
        <v>Paid</v>
      </c>
      <c r="U395" t="str">
        <f>PROPER(TRIM([1]raw_orders!U395))</f>
        <v>Completed</v>
      </c>
      <c r="V395" s="6">
        <f t="shared" si="48"/>
        <v>0.19365348506710359</v>
      </c>
      <c r="W395" t="str">
        <f t="shared" si="49"/>
        <v>August</v>
      </c>
      <c r="X395">
        <f t="shared" si="50"/>
        <v>2024</v>
      </c>
      <c r="Y395">
        <f t="shared" si="51"/>
        <v>6</v>
      </c>
      <c r="Z395" s="7">
        <f t="shared" si="52"/>
        <v>0.05</v>
      </c>
      <c r="AA395">
        <f t="shared" si="53"/>
        <v>3680.1289999999999</v>
      </c>
      <c r="AB395">
        <f t="shared" si="54"/>
        <v>712.67000000000007</v>
      </c>
      <c r="AC395" t="str">
        <f t="shared" si="55"/>
        <v>Clean</v>
      </c>
    </row>
    <row r="396" spans="1:29">
      <c r="A396" t="s">
        <v>1225</v>
      </c>
      <c r="B396" s="4">
        <v>45355</v>
      </c>
      <c r="C396" s="4">
        <v>45386</v>
      </c>
      <c r="D396" t="s">
        <v>1226</v>
      </c>
      <c r="E396" t="str">
        <f>PROPER(TRIM([1]raw_orders!E396))</f>
        <v>Kabir Singh</v>
      </c>
      <c r="F396" t="str">
        <f>PROPER(TRIM([1]raw_orders!F396))</f>
        <v>Consumer</v>
      </c>
      <c r="G396" t="str">
        <f>IF('[1]Cleaned Text Field'!G396="","Unknown",'[1]Cleaned Text Field'!G396)</f>
        <v>West</v>
      </c>
      <c r="H396" t="str">
        <f>PROPER(TRIM([1]raw_orders!H396))</f>
        <v>Maharashtra</v>
      </c>
      <c r="I396" t="str">
        <f>PROPER(TRIM([1]raw_orders!I396))</f>
        <v>Mumbai</v>
      </c>
      <c r="J396" t="str">
        <f>PROPER(TRIM([1]raw_orders!J396))</f>
        <v>Furniture</v>
      </c>
      <c r="K396" t="str">
        <f>PROPER(TRIM([1]raw_orders!K396))</f>
        <v>Furnishings</v>
      </c>
      <c r="L396" t="s">
        <v>1227</v>
      </c>
      <c r="M396" t="str">
        <f>IF('[1]Cleaned Text Field'!M396="","Unknown",'[1]Cleaned Text Field'!M396)</f>
        <v>First Class</v>
      </c>
      <c r="N396">
        <f>IF('[1]Cleaned Text Field'!N396="",0,'[1]Cleaned Text Field'!N396)</f>
        <v>7</v>
      </c>
      <c r="O396">
        <v>3945.21</v>
      </c>
      <c r="P396" s="5">
        <f>IF('[1]Cleaned Text Field'!P396="",0,'[1]Cleaned Text Field'!P396)</f>
        <v>0</v>
      </c>
      <c r="Q396">
        <v>27616.47</v>
      </c>
      <c r="R396">
        <v>21225.26</v>
      </c>
      <c r="S396">
        <v>6391.21</v>
      </c>
      <c r="T396" t="str">
        <f>PROPER(TRIM([1]raw_orders!T396))</f>
        <v>Paid</v>
      </c>
      <c r="U396" t="str">
        <f>PROPER(TRIM([1]raw_orders!U396))</f>
        <v>Completed</v>
      </c>
      <c r="V396" s="6">
        <f t="shared" si="48"/>
        <v>0.23142747787823714</v>
      </c>
      <c r="W396" t="str">
        <f t="shared" si="49"/>
        <v>March</v>
      </c>
      <c r="X396">
        <f t="shared" si="50"/>
        <v>2024</v>
      </c>
      <c r="Y396">
        <f t="shared" si="51"/>
        <v>31</v>
      </c>
      <c r="Z396" s="7">
        <f t="shared" si="52"/>
        <v>0</v>
      </c>
      <c r="AA396">
        <f t="shared" si="53"/>
        <v>27616.47</v>
      </c>
      <c r="AB396">
        <f t="shared" si="54"/>
        <v>6391.2100000000028</v>
      </c>
      <c r="AC396" t="str">
        <f t="shared" si="55"/>
        <v>Clean</v>
      </c>
    </row>
    <row r="397" spans="1:29">
      <c r="A397" t="s">
        <v>1228</v>
      </c>
      <c r="B397" s="4">
        <v>45449</v>
      </c>
      <c r="C397" s="4">
        <v>45450</v>
      </c>
      <c r="D397" t="s">
        <v>1229</v>
      </c>
      <c r="E397" t="str">
        <f>PROPER(TRIM([1]raw_orders!E397))</f>
        <v>Rahul Verma</v>
      </c>
      <c r="F397" t="str">
        <f>PROPER(TRIM([1]raw_orders!F397))</f>
        <v>Home Office</v>
      </c>
      <c r="G397" t="str">
        <f>IF('[1]Cleaned Text Field'!G397="","Unknown",'[1]Cleaned Text Field'!G397)</f>
        <v>South</v>
      </c>
      <c r="H397" t="str">
        <f>PROPER(TRIM([1]raw_orders!H397))</f>
        <v>Tamil Nadu</v>
      </c>
      <c r="I397" t="str">
        <f>PROPER(TRIM([1]raw_orders!I397))</f>
        <v>Chennai</v>
      </c>
      <c r="J397" t="str">
        <f>PROPER(TRIM([1]raw_orders!J397))</f>
        <v>Furniture</v>
      </c>
      <c r="K397" t="str">
        <f>PROPER(TRIM([1]raw_orders!K397))</f>
        <v>Tables</v>
      </c>
      <c r="L397" t="s">
        <v>1230</v>
      </c>
      <c r="M397" t="str">
        <f>IF('[1]Cleaned Text Field'!M397="","Unknown",'[1]Cleaned Text Field'!M397)</f>
        <v>Same Day</v>
      </c>
      <c r="N397">
        <f>IF('[1]Cleaned Text Field'!N397="",0,'[1]Cleaned Text Field'!N397)</f>
        <v>7</v>
      </c>
      <c r="O397">
        <v>861.91</v>
      </c>
      <c r="P397" s="5">
        <f>IF('[1]Cleaned Text Field'!P397="",0,'[1]Cleaned Text Field'!P397)</f>
        <v>0.05</v>
      </c>
      <c r="Q397">
        <v>5731.7</v>
      </c>
      <c r="R397">
        <v>4115.5600000000004</v>
      </c>
      <c r="S397">
        <v>1616.14</v>
      </c>
      <c r="T397" t="str">
        <f>PROPER(TRIM([1]raw_orders!T397))</f>
        <v>Paid</v>
      </c>
      <c r="U397" t="str">
        <f>PROPER(TRIM([1]raw_orders!U397))</f>
        <v>Completed</v>
      </c>
      <c r="V397" s="6">
        <f t="shared" si="48"/>
        <v>0.28196521101941835</v>
      </c>
      <c r="W397" t="str">
        <f t="shared" si="49"/>
        <v>June</v>
      </c>
      <c r="X397">
        <f t="shared" si="50"/>
        <v>2024</v>
      </c>
      <c r="Y397">
        <f t="shared" si="51"/>
        <v>1</v>
      </c>
      <c r="Z397" s="7">
        <f t="shared" si="52"/>
        <v>0.05</v>
      </c>
      <c r="AA397">
        <f t="shared" si="53"/>
        <v>5731.7014999999992</v>
      </c>
      <c r="AB397">
        <f t="shared" si="54"/>
        <v>1616.1399999999994</v>
      </c>
      <c r="AC397" t="str">
        <f t="shared" si="55"/>
        <v>Clean</v>
      </c>
    </row>
    <row r="398" spans="1:29">
      <c r="A398" t="s">
        <v>1231</v>
      </c>
      <c r="B398" s="4">
        <v>45761</v>
      </c>
      <c r="C398" s="4">
        <v>45769</v>
      </c>
      <c r="D398" t="s">
        <v>1232</v>
      </c>
      <c r="E398" t="str">
        <f>PROPER(TRIM([1]raw_orders!E398))</f>
        <v>Aditi Sen</v>
      </c>
      <c r="F398" t="str">
        <f>PROPER(TRIM([1]raw_orders!F398))</f>
        <v>Small Business</v>
      </c>
      <c r="G398" t="str">
        <f>IF('[1]Cleaned Text Field'!G398="","Unknown",'[1]Cleaned Text Field'!G398)</f>
        <v>South</v>
      </c>
      <c r="H398" t="str">
        <f>PROPER(TRIM([1]raw_orders!H398))</f>
        <v>Karnataka</v>
      </c>
      <c r="I398" t="str">
        <f>PROPER(TRIM([1]raw_orders!I398))</f>
        <v>Bengaluru</v>
      </c>
      <c r="J398" t="str">
        <f>PROPER(TRIM([1]raw_orders!J398))</f>
        <v>Technology</v>
      </c>
      <c r="K398" t="str">
        <f>PROPER(TRIM([1]raw_orders!K398))</f>
        <v>Machines</v>
      </c>
      <c r="L398" t="s">
        <v>1233</v>
      </c>
      <c r="M398" t="str">
        <f>IF('[1]Cleaned Text Field'!M398="","Unknown",'[1]Cleaned Text Field'!M398)</f>
        <v>Standard Class</v>
      </c>
      <c r="N398">
        <f>IF('[1]Cleaned Text Field'!N398="",0,'[1]Cleaned Text Field'!N398)</f>
        <v>2</v>
      </c>
      <c r="O398">
        <v>638.73</v>
      </c>
      <c r="P398" s="5">
        <f>IF('[1]Cleaned Text Field'!P398="",0,'[1]Cleaned Text Field'!P398)</f>
        <v>0.05</v>
      </c>
      <c r="Q398">
        <v>1213.5899999999999</v>
      </c>
      <c r="R398">
        <v>956.22</v>
      </c>
      <c r="S398">
        <v>257.37</v>
      </c>
      <c r="T398" t="str">
        <f>PROPER(TRIM([1]raw_orders!T398))</f>
        <v>Paid</v>
      </c>
      <c r="U398" t="str">
        <f>PROPER(TRIM([1]raw_orders!U398))</f>
        <v>Completed</v>
      </c>
      <c r="V398" s="6">
        <f t="shared" si="48"/>
        <v>0.2120732702148172</v>
      </c>
      <c r="W398" t="str">
        <f t="shared" si="49"/>
        <v>April</v>
      </c>
      <c r="X398">
        <f t="shared" si="50"/>
        <v>2025</v>
      </c>
      <c r="Y398">
        <f t="shared" si="51"/>
        <v>8</v>
      </c>
      <c r="Z398" s="7">
        <f t="shared" si="52"/>
        <v>0.05</v>
      </c>
      <c r="AA398">
        <f t="shared" si="53"/>
        <v>1213.587</v>
      </c>
      <c r="AB398">
        <f t="shared" si="54"/>
        <v>257.36999999999989</v>
      </c>
      <c r="AC398" t="str">
        <f t="shared" si="55"/>
        <v>Clean</v>
      </c>
    </row>
    <row r="399" spans="1:29">
      <c r="A399" t="s">
        <v>1234</v>
      </c>
      <c r="B399" s="4">
        <v>45817</v>
      </c>
      <c r="C399" s="4">
        <v>45818</v>
      </c>
      <c r="D399" t="s">
        <v>1235</v>
      </c>
      <c r="E399" t="str">
        <f>PROPER(TRIM([1]raw_orders!E399))</f>
        <v>Sneha Kapoor</v>
      </c>
      <c r="F399" t="str">
        <f>PROPER(TRIM([1]raw_orders!F399))</f>
        <v>Small Business</v>
      </c>
      <c r="G399" t="str">
        <f>IF('[1]Cleaned Text Field'!G399="","Unknown",'[1]Cleaned Text Field'!G399)</f>
        <v>North</v>
      </c>
      <c r="H399" t="str">
        <f>PROPER(TRIM([1]raw_orders!H399))</f>
        <v>Uttar Pradesh</v>
      </c>
      <c r="I399" t="str">
        <f>PROPER(TRIM([1]raw_orders!I399))</f>
        <v>Noida</v>
      </c>
      <c r="J399" t="str">
        <f>PROPER(TRIM([1]raw_orders!J399))</f>
        <v>Furniture</v>
      </c>
      <c r="K399" t="str">
        <f>PROPER(TRIM([1]raw_orders!K399))</f>
        <v>Tables</v>
      </c>
      <c r="L399" t="s">
        <v>1236</v>
      </c>
      <c r="M399" t="str">
        <f>IF('[1]Cleaned Text Field'!M399="","Unknown",'[1]Cleaned Text Field'!M399)</f>
        <v>Second Class</v>
      </c>
      <c r="N399">
        <f>IF('[1]Cleaned Text Field'!N399="",0,'[1]Cleaned Text Field'!N399)</f>
        <v>2</v>
      </c>
      <c r="O399">
        <v>1731.88</v>
      </c>
      <c r="P399" s="5">
        <f>IF('[1]Cleaned Text Field'!P399="",0,'[1]Cleaned Text Field'!P399)</f>
        <v>0</v>
      </c>
      <c r="Q399">
        <v>3463.76</v>
      </c>
      <c r="R399">
        <v>2143.7399999999998</v>
      </c>
      <c r="S399">
        <v>1320.02</v>
      </c>
      <c r="T399" t="str">
        <f>PROPER(TRIM([1]raw_orders!T399))</f>
        <v>Paid</v>
      </c>
      <c r="U399" t="str">
        <f>PROPER(TRIM([1]raw_orders!U399))</f>
        <v>Completed</v>
      </c>
      <c r="V399" s="6">
        <f t="shared" si="48"/>
        <v>0.38109453310852942</v>
      </c>
      <c r="W399" t="str">
        <f t="shared" si="49"/>
        <v>June</v>
      </c>
      <c r="X399">
        <f t="shared" si="50"/>
        <v>2025</v>
      </c>
      <c r="Y399">
        <f t="shared" si="51"/>
        <v>1</v>
      </c>
      <c r="Z399" s="7">
        <f t="shared" si="52"/>
        <v>0</v>
      </c>
      <c r="AA399">
        <f t="shared" si="53"/>
        <v>3463.76</v>
      </c>
      <c r="AB399">
        <f t="shared" si="54"/>
        <v>1320.0200000000004</v>
      </c>
      <c r="AC399" t="str">
        <f t="shared" si="55"/>
        <v>Clean</v>
      </c>
    </row>
    <row r="400" spans="1:29">
      <c r="A400" t="s">
        <v>1237</v>
      </c>
      <c r="B400" s="4">
        <v>45492</v>
      </c>
      <c r="C400" s="4">
        <v>45499</v>
      </c>
      <c r="D400" t="s">
        <v>1238</v>
      </c>
      <c r="E400" t="str">
        <f>PROPER(TRIM([1]raw_orders!E400))</f>
        <v>Vikram Iyer</v>
      </c>
      <c r="F400" t="str">
        <f>PROPER(TRIM([1]raw_orders!F400))</f>
        <v>Corporate</v>
      </c>
      <c r="G400" t="str">
        <f>IF('[1]Cleaned Text Field'!G400="","Unknown",'[1]Cleaned Text Field'!G400)</f>
        <v>North</v>
      </c>
      <c r="H400" t="str">
        <f>PROPER(TRIM([1]raw_orders!H400))</f>
        <v>Punjab</v>
      </c>
      <c r="I400" t="str">
        <f>PROPER(TRIM([1]raw_orders!I400))</f>
        <v>Ludhiana</v>
      </c>
      <c r="J400" t="str">
        <f>PROPER(TRIM([1]raw_orders!J400))</f>
        <v>Technology</v>
      </c>
      <c r="K400" t="str">
        <f>PROPER(TRIM([1]raw_orders!K400))</f>
        <v>Machines</v>
      </c>
      <c r="L400" t="s">
        <v>1239</v>
      </c>
      <c r="M400" t="str">
        <f>IF('[1]Cleaned Text Field'!M400="","Unknown",'[1]Cleaned Text Field'!M400)</f>
        <v>Same Day</v>
      </c>
      <c r="N400">
        <f>IF('[1]Cleaned Text Field'!N400="",0,'[1]Cleaned Text Field'!N400)</f>
        <v>2</v>
      </c>
      <c r="O400">
        <v>1263.6500000000001</v>
      </c>
      <c r="P400" s="5">
        <f>IF('[1]Cleaned Text Field'!P400="",0,'[1]Cleaned Text Field'!P400)</f>
        <v>0.2</v>
      </c>
      <c r="Q400">
        <v>2021.84</v>
      </c>
      <c r="R400">
        <v>1355.22</v>
      </c>
      <c r="S400">
        <v>666.62</v>
      </c>
      <c r="T400" t="str">
        <f>PROPER(TRIM([1]raw_orders!T400))</f>
        <v>Paid</v>
      </c>
      <c r="U400" t="str">
        <f>PROPER(TRIM([1]raw_orders!U400))</f>
        <v>Completed</v>
      </c>
      <c r="V400" s="6">
        <f t="shared" si="48"/>
        <v>0.32970957147944446</v>
      </c>
      <c r="W400" t="str">
        <f t="shared" si="49"/>
        <v>July</v>
      </c>
      <c r="X400">
        <f t="shared" si="50"/>
        <v>2024</v>
      </c>
      <c r="Y400">
        <f t="shared" si="51"/>
        <v>7</v>
      </c>
      <c r="Z400" s="7">
        <f t="shared" si="52"/>
        <v>0.2</v>
      </c>
      <c r="AA400">
        <f t="shared" si="53"/>
        <v>2021.8400000000001</v>
      </c>
      <c r="AB400">
        <f t="shared" si="54"/>
        <v>666.61999999999989</v>
      </c>
      <c r="AC400" t="str">
        <f t="shared" si="55"/>
        <v>Clean</v>
      </c>
    </row>
    <row r="401" spans="1:29">
      <c r="A401" t="s">
        <v>1240</v>
      </c>
      <c r="B401" s="4">
        <v>45771</v>
      </c>
      <c r="C401" s="4">
        <v>45776</v>
      </c>
      <c r="D401" t="s">
        <v>1241</v>
      </c>
      <c r="E401" t="str">
        <f>PROPER(TRIM([1]raw_orders!E401))</f>
        <v>Diya Patel</v>
      </c>
      <c r="F401" t="str">
        <f>PROPER(TRIM([1]raw_orders!F401))</f>
        <v>Small Business</v>
      </c>
      <c r="G401" t="str">
        <f>IF('[1]Cleaned Text Field'!G401="","Unknown",'[1]Cleaned Text Field'!G401)</f>
        <v>South</v>
      </c>
      <c r="H401" t="str">
        <f>PROPER(TRIM([1]raw_orders!H401))</f>
        <v>Andhra Pradesh</v>
      </c>
      <c r="I401" t="str">
        <f>PROPER(TRIM([1]raw_orders!I401))</f>
        <v>Vijayawada</v>
      </c>
      <c r="J401" t="str">
        <f>PROPER(TRIM([1]raw_orders!J401))</f>
        <v>Office Supplies</v>
      </c>
      <c r="K401" t="str">
        <f>PROPER(TRIM([1]raw_orders!K401))</f>
        <v>Paper</v>
      </c>
      <c r="L401" t="s">
        <v>1242</v>
      </c>
      <c r="M401" t="str">
        <f>IF('[1]Cleaned Text Field'!M401="","Unknown",'[1]Cleaned Text Field'!M401)</f>
        <v>Same Day</v>
      </c>
      <c r="N401">
        <f>IF('[1]Cleaned Text Field'!N401="",0,'[1]Cleaned Text Field'!N401)</f>
        <v>1</v>
      </c>
      <c r="O401">
        <v>4358.5</v>
      </c>
      <c r="P401" s="5">
        <f>IF('[1]Cleaned Text Field'!P401="",0,'[1]Cleaned Text Field'!P401)</f>
        <v>0.25</v>
      </c>
      <c r="Q401">
        <v>3268.88</v>
      </c>
      <c r="R401">
        <v>1993.74</v>
      </c>
      <c r="S401">
        <v>1275.1400000000001</v>
      </c>
      <c r="T401" t="str">
        <f>PROPER(TRIM([1]raw_orders!T401))</f>
        <v>Paid</v>
      </c>
      <c r="U401" t="str">
        <f>PROPER(TRIM([1]raw_orders!U401))</f>
        <v>Completed</v>
      </c>
      <c r="V401" s="6">
        <f t="shared" si="48"/>
        <v>0.39008467732067253</v>
      </c>
      <c r="W401" t="str">
        <f t="shared" si="49"/>
        <v>April</v>
      </c>
      <c r="X401">
        <f t="shared" si="50"/>
        <v>2025</v>
      </c>
      <c r="Y401">
        <f t="shared" si="51"/>
        <v>5</v>
      </c>
      <c r="Z401" s="7">
        <f t="shared" si="52"/>
        <v>0.25</v>
      </c>
      <c r="AA401">
        <f t="shared" si="53"/>
        <v>3268.875</v>
      </c>
      <c r="AB401">
        <f t="shared" si="54"/>
        <v>1275.1400000000001</v>
      </c>
      <c r="AC401" t="str">
        <f t="shared" si="55"/>
        <v>Clean</v>
      </c>
    </row>
    <row r="402" spans="1:29">
      <c r="A402" t="s">
        <v>1243</v>
      </c>
      <c r="B402" s="4">
        <v>45814</v>
      </c>
      <c r="C402" s="4">
        <v>45819</v>
      </c>
      <c r="D402" t="s">
        <v>1244</v>
      </c>
      <c r="E402" t="str">
        <f>PROPER(TRIM([1]raw_orders!E402))</f>
        <v>Sneha Kapoor</v>
      </c>
      <c r="F402" t="str">
        <f>PROPER(TRIM([1]raw_orders!F402))</f>
        <v>Small Business</v>
      </c>
      <c r="G402" t="str">
        <f>IF('[1]Cleaned Text Field'!G402="","Unknown",'[1]Cleaned Text Field'!G402)</f>
        <v>North</v>
      </c>
      <c r="H402" t="str">
        <f>PROPER(TRIM([1]raw_orders!H402))</f>
        <v>Uttar Pradesh</v>
      </c>
      <c r="I402" t="str">
        <f>PROPER(TRIM([1]raw_orders!I402))</f>
        <v>Noida</v>
      </c>
      <c r="J402" t="str">
        <f>PROPER(TRIM([1]raw_orders!J402))</f>
        <v>Office Supplies</v>
      </c>
      <c r="K402" t="str">
        <f>PROPER(TRIM([1]raw_orders!K402))</f>
        <v>Paper</v>
      </c>
      <c r="L402" t="s">
        <v>1245</v>
      </c>
      <c r="M402" t="str">
        <f>IF('[1]Cleaned Text Field'!M402="","Unknown",'[1]Cleaned Text Field'!M402)</f>
        <v>Same Day</v>
      </c>
      <c r="N402">
        <f>IF('[1]Cleaned Text Field'!N402="",0,'[1]Cleaned Text Field'!N402)</f>
        <v>7</v>
      </c>
      <c r="O402">
        <v>878.09</v>
      </c>
      <c r="P402" s="5">
        <f>IF('[1]Cleaned Text Field'!P402="",0,'[1]Cleaned Text Field'!P402)</f>
        <v>-0.1</v>
      </c>
      <c r="Q402">
        <v>5839.3</v>
      </c>
      <c r="R402">
        <v>4877.38</v>
      </c>
      <c r="S402">
        <v>961.92</v>
      </c>
      <c r="T402" t="str">
        <f>PROPER(TRIM([1]raw_orders!T402))</f>
        <v>Paid</v>
      </c>
      <c r="U402" t="str">
        <f>PROPER(TRIM([1]raw_orders!U402))</f>
        <v>Completed</v>
      </c>
      <c r="V402" s="6">
        <f t="shared" si="48"/>
        <v>0.16473207404997173</v>
      </c>
      <c r="W402" t="str">
        <f t="shared" si="49"/>
        <v>June</v>
      </c>
      <c r="X402">
        <f t="shared" si="50"/>
        <v>2025</v>
      </c>
      <c r="Y402">
        <f t="shared" si="51"/>
        <v>5</v>
      </c>
      <c r="Z402" s="7">
        <f t="shared" si="52"/>
        <v>-0.1</v>
      </c>
      <c r="AA402">
        <f t="shared" si="53"/>
        <v>6761.2930000000006</v>
      </c>
      <c r="AB402">
        <f t="shared" si="54"/>
        <v>961.92000000000007</v>
      </c>
      <c r="AC402" t="str">
        <f t="shared" si="55"/>
        <v>Clean</v>
      </c>
    </row>
    <row r="403" spans="1:29">
      <c r="A403" t="s">
        <v>1246</v>
      </c>
      <c r="B403" s="4">
        <v>45725</v>
      </c>
      <c r="C403" s="4">
        <v>45732</v>
      </c>
      <c r="D403" t="s">
        <v>1247</v>
      </c>
      <c r="E403" t="str">
        <f>PROPER(TRIM([1]raw_orders!E403))</f>
        <v>Arjun Bose</v>
      </c>
      <c r="F403" t="str">
        <f>PROPER(TRIM([1]raw_orders!F403))</f>
        <v>Small Business</v>
      </c>
      <c r="G403" t="str">
        <f>IF('[1]Cleaned Text Field'!G403="","Unknown",'[1]Cleaned Text Field'!G403)</f>
        <v>East</v>
      </c>
      <c r="H403" t="str">
        <f>PROPER(TRIM([1]raw_orders!H403))</f>
        <v>Jharkhand</v>
      </c>
      <c r="I403" t="str">
        <f>PROPER(TRIM([1]raw_orders!I403))</f>
        <v>Ranchi</v>
      </c>
      <c r="J403" t="str">
        <f>PROPER(TRIM([1]raw_orders!J403))</f>
        <v>Furniture</v>
      </c>
      <c r="K403" t="str">
        <f>PROPER(TRIM([1]raw_orders!K403))</f>
        <v>Tables</v>
      </c>
      <c r="L403" t="s">
        <v>1248</v>
      </c>
      <c r="M403" t="str">
        <f>IF('[1]Cleaned Text Field'!M403="","Unknown",'[1]Cleaned Text Field'!M403)</f>
        <v>Same Day</v>
      </c>
      <c r="N403">
        <f>IF('[1]Cleaned Text Field'!N403="",0,'[1]Cleaned Text Field'!N403)</f>
        <v>3</v>
      </c>
      <c r="O403">
        <v>2625.85</v>
      </c>
      <c r="P403" s="5">
        <f>IF('[1]Cleaned Text Field'!P403="",0,'[1]Cleaned Text Field'!P403)</f>
        <v>0</v>
      </c>
      <c r="Q403">
        <v>7877.55</v>
      </c>
      <c r="R403">
        <v>5562.77</v>
      </c>
      <c r="S403">
        <v>2314.7800000000002</v>
      </c>
      <c r="T403" t="str">
        <f>PROPER(TRIM([1]raw_orders!T403))</f>
        <v>Paid</v>
      </c>
      <c r="U403" t="str">
        <f>PROPER(TRIM([1]raw_orders!U403))</f>
        <v>Completed</v>
      </c>
      <c r="V403" s="6">
        <f t="shared" si="48"/>
        <v>0.29384516759652429</v>
      </c>
      <c r="W403" t="str">
        <f t="shared" si="49"/>
        <v>March</v>
      </c>
      <c r="X403">
        <f t="shared" si="50"/>
        <v>2025</v>
      </c>
      <c r="Y403">
        <f t="shared" si="51"/>
        <v>7</v>
      </c>
      <c r="Z403" s="7">
        <f t="shared" si="52"/>
        <v>0</v>
      </c>
      <c r="AA403">
        <f t="shared" si="53"/>
        <v>7877.5499999999993</v>
      </c>
      <c r="AB403">
        <f t="shared" si="54"/>
        <v>2314.7799999999997</v>
      </c>
      <c r="AC403" t="str">
        <f t="shared" si="55"/>
        <v>Clean</v>
      </c>
    </row>
    <row r="404" spans="1:29">
      <c r="A404" t="s">
        <v>1249</v>
      </c>
      <c r="B404" s="4">
        <v>45373</v>
      </c>
      <c r="C404" s="4">
        <v>45373</v>
      </c>
      <c r="D404" t="s">
        <v>1250</v>
      </c>
      <c r="E404" t="str">
        <f>PROPER(TRIM([1]raw_orders!E404))</f>
        <v>Priya Menon</v>
      </c>
      <c r="F404" t="str">
        <f>PROPER(TRIM([1]raw_orders!F404))</f>
        <v>Small Business</v>
      </c>
      <c r="G404" t="str">
        <f>IF('[1]Cleaned Text Field'!G404="","Unknown",'[1]Cleaned Text Field'!G404)</f>
        <v>South</v>
      </c>
      <c r="H404" t="str">
        <f>PROPER(TRIM([1]raw_orders!H404))</f>
        <v>Karnataka</v>
      </c>
      <c r="I404" t="str">
        <f>PROPER(TRIM([1]raw_orders!I404))</f>
        <v>Bengaluru</v>
      </c>
      <c r="J404" t="str">
        <f>PROPER(TRIM([1]raw_orders!J404))</f>
        <v>Furniture</v>
      </c>
      <c r="K404" t="str">
        <f>PROPER(TRIM([1]raw_orders!K404))</f>
        <v>Tables</v>
      </c>
      <c r="L404" t="s">
        <v>1251</v>
      </c>
      <c r="M404" t="str">
        <f>IF('[1]Cleaned Text Field'!M404="","Unknown",'[1]Cleaned Text Field'!M404)</f>
        <v>Unknown</v>
      </c>
      <c r="N404">
        <f>IF('[1]Cleaned Text Field'!N404="",0,'[1]Cleaned Text Field'!N404)</f>
        <v>3</v>
      </c>
      <c r="O404">
        <v>1365.26</v>
      </c>
      <c r="P404" s="5">
        <f>IF('[1]Cleaned Text Field'!P404="",0,'[1]Cleaned Text Field'!P404)</f>
        <v>0</v>
      </c>
      <c r="Q404">
        <v>4095.78</v>
      </c>
      <c r="R404">
        <v>2807.77</v>
      </c>
      <c r="S404">
        <v>1288.01</v>
      </c>
      <c r="T404" t="str">
        <f>PROPER(TRIM([1]raw_orders!T404))</f>
        <v>Paid</v>
      </c>
      <c r="U404" t="str">
        <f>PROPER(TRIM([1]raw_orders!U404))</f>
        <v>Completed</v>
      </c>
      <c r="V404" s="6">
        <f t="shared" si="48"/>
        <v>0.31447245701673426</v>
      </c>
      <c r="W404" t="str">
        <f t="shared" si="49"/>
        <v>March</v>
      </c>
      <c r="X404">
        <f t="shared" si="50"/>
        <v>2024</v>
      </c>
      <c r="Y404">
        <f t="shared" si="51"/>
        <v>0</v>
      </c>
      <c r="Z404" s="7">
        <f t="shared" si="52"/>
        <v>0</v>
      </c>
      <c r="AA404">
        <f t="shared" si="53"/>
        <v>4095.7799999999997</v>
      </c>
      <c r="AB404">
        <f t="shared" si="54"/>
        <v>1288.0100000000002</v>
      </c>
      <c r="AC404" t="str">
        <f t="shared" si="55"/>
        <v>Clean</v>
      </c>
    </row>
    <row r="405" spans="1:29">
      <c r="A405" t="s">
        <v>1252</v>
      </c>
      <c r="B405" s="4">
        <v>45565</v>
      </c>
      <c r="C405" s="4">
        <v>45392</v>
      </c>
      <c r="D405" t="s">
        <v>1253</v>
      </c>
      <c r="E405" t="str">
        <f>PROPER(TRIM([1]raw_orders!E405))</f>
        <v>Arjun Bose</v>
      </c>
      <c r="F405" t="str">
        <f>PROPER(TRIM([1]raw_orders!F405))</f>
        <v>Small Business</v>
      </c>
      <c r="G405" t="str">
        <f>IF('[1]Cleaned Text Field'!G405="","Unknown",'[1]Cleaned Text Field'!G405)</f>
        <v>South</v>
      </c>
      <c r="H405" t="str">
        <f>PROPER(TRIM([1]raw_orders!H405))</f>
        <v>Kerala</v>
      </c>
      <c r="I405" t="str">
        <f>PROPER(TRIM([1]raw_orders!I405))</f>
        <v>Kochi</v>
      </c>
      <c r="J405" t="str">
        <f>PROPER(TRIM([1]raw_orders!J405))</f>
        <v>Office Supplies</v>
      </c>
      <c r="K405" t="str">
        <f>PROPER(TRIM([1]raw_orders!K405))</f>
        <v>Paper</v>
      </c>
      <c r="L405" t="s">
        <v>1254</v>
      </c>
      <c r="M405" t="str">
        <f>IF('[1]Cleaned Text Field'!M405="","Unknown",'[1]Cleaned Text Field'!M405)</f>
        <v>Same Day</v>
      </c>
      <c r="N405">
        <f>IF('[1]Cleaned Text Field'!N405="",0,'[1]Cleaned Text Field'!N405)</f>
        <v>5</v>
      </c>
      <c r="O405">
        <v>3512.25</v>
      </c>
      <c r="P405" s="5">
        <f>IF('[1]Cleaned Text Field'!P405="",0,'[1]Cleaned Text Field'!P405)</f>
        <v>0.05</v>
      </c>
      <c r="Q405">
        <v>16683.189999999999</v>
      </c>
      <c r="R405">
        <v>10301.16</v>
      </c>
      <c r="S405">
        <v>6382.03</v>
      </c>
      <c r="T405" t="str">
        <f>PROPER(TRIM([1]raw_orders!T405))</f>
        <v>Paid</v>
      </c>
      <c r="U405" t="str">
        <f>PROPER(TRIM([1]raw_orders!U405))</f>
        <v>Returned</v>
      </c>
      <c r="V405" s="6">
        <f t="shared" si="48"/>
        <v>0.38254254731858839</v>
      </c>
      <c r="W405" t="str">
        <f t="shared" si="49"/>
        <v>September</v>
      </c>
      <c r="X405">
        <f t="shared" si="50"/>
        <v>2024</v>
      </c>
      <c r="Y405">
        <f t="shared" si="51"/>
        <v>-173</v>
      </c>
      <c r="Z405" s="7">
        <f t="shared" si="52"/>
        <v>0.05</v>
      </c>
      <c r="AA405">
        <f t="shared" si="53"/>
        <v>16683.1875</v>
      </c>
      <c r="AB405">
        <f t="shared" si="54"/>
        <v>6382.0299999999988</v>
      </c>
      <c r="AC405" t="str">
        <f t="shared" si="55"/>
        <v>Warning</v>
      </c>
    </row>
    <row r="406" spans="1:29">
      <c r="A406" t="s">
        <v>1255</v>
      </c>
      <c r="B406" s="4">
        <v>45318</v>
      </c>
      <c r="C406" s="4">
        <v>45325</v>
      </c>
      <c r="D406" t="s">
        <v>1256</v>
      </c>
      <c r="E406" t="str">
        <f>PROPER(TRIM([1]raw_orders!E406))</f>
        <v>Aditi Sen</v>
      </c>
      <c r="F406" t="str">
        <f>PROPER(TRIM([1]raw_orders!F406))</f>
        <v>Corporate</v>
      </c>
      <c r="G406" t="str">
        <f>IF('[1]Cleaned Text Field'!G406="","Unknown",'[1]Cleaned Text Field'!G406)</f>
        <v>West</v>
      </c>
      <c r="H406" t="str">
        <f>PROPER(TRIM([1]raw_orders!H406))</f>
        <v>Rajasthan</v>
      </c>
      <c r="I406" t="str">
        <f>PROPER(TRIM([1]raw_orders!I406))</f>
        <v>Udaipur</v>
      </c>
      <c r="J406" t="str">
        <f>PROPER(TRIM([1]raw_orders!J406))</f>
        <v>Furniture</v>
      </c>
      <c r="K406" t="str">
        <f>PROPER(TRIM([1]raw_orders!K406))</f>
        <v>Chairs</v>
      </c>
      <c r="L406" t="s">
        <v>1257</v>
      </c>
      <c r="M406" t="str">
        <f>IF('[1]Cleaned Text Field'!M406="","Unknown",'[1]Cleaned Text Field'!M406)</f>
        <v>Same Day</v>
      </c>
      <c r="N406">
        <f>IF('[1]Cleaned Text Field'!N406="",0,'[1]Cleaned Text Field'!N406)</f>
        <v>3</v>
      </c>
      <c r="O406">
        <v>359.61</v>
      </c>
      <c r="P406" s="5">
        <f>IF('[1]Cleaned Text Field'!P406="",0,'[1]Cleaned Text Field'!P406)</f>
        <v>0</v>
      </c>
      <c r="Q406">
        <v>1078.83</v>
      </c>
      <c r="R406">
        <v>926.35</v>
      </c>
      <c r="S406">
        <v>152.47999999999999</v>
      </c>
      <c r="T406" t="str">
        <f>PROPER(TRIM([1]raw_orders!T406))</f>
        <v>Paid</v>
      </c>
      <c r="U406" t="str">
        <f>PROPER(TRIM([1]raw_orders!U406))</f>
        <v>Completed</v>
      </c>
      <c r="V406" s="6">
        <f t="shared" si="48"/>
        <v>0.14133830167867042</v>
      </c>
      <c r="W406" t="str">
        <f t="shared" si="49"/>
        <v>January</v>
      </c>
      <c r="X406">
        <f t="shared" si="50"/>
        <v>2024</v>
      </c>
      <c r="Y406">
        <f t="shared" si="51"/>
        <v>7</v>
      </c>
      <c r="Z406" s="7">
        <f t="shared" si="52"/>
        <v>0</v>
      </c>
      <c r="AA406">
        <f t="shared" si="53"/>
        <v>1078.83</v>
      </c>
      <c r="AB406">
        <f t="shared" si="54"/>
        <v>152.4799999999999</v>
      </c>
      <c r="AC406" t="str">
        <f t="shared" si="55"/>
        <v>Clean</v>
      </c>
    </row>
    <row r="407" spans="1:29">
      <c r="A407" t="s">
        <v>1258</v>
      </c>
      <c r="B407" s="4">
        <v>45558</v>
      </c>
      <c r="C407" s="4">
        <v>45559</v>
      </c>
      <c r="D407" t="s">
        <v>1259</v>
      </c>
      <c r="E407" t="str">
        <f>PROPER(TRIM([1]raw_orders!E407))</f>
        <v>Aditi Sen</v>
      </c>
      <c r="F407" t="str">
        <f>PROPER(TRIM([1]raw_orders!F407))</f>
        <v>Home Office</v>
      </c>
      <c r="G407" t="str">
        <f>IF('[1]Cleaned Text Field'!G407="","Unknown",'[1]Cleaned Text Field'!G407)</f>
        <v>West</v>
      </c>
      <c r="H407" t="str">
        <f>PROPER(TRIM([1]raw_orders!H407))</f>
        <v>Gujarat</v>
      </c>
      <c r="I407" t="str">
        <f>PROPER(TRIM([1]raw_orders!I407))</f>
        <v>Ahmedabad</v>
      </c>
      <c r="J407" t="str">
        <f>PROPER(TRIM([1]raw_orders!J407))</f>
        <v>Furniture</v>
      </c>
      <c r="K407" t="str">
        <f>PROPER(TRIM([1]raw_orders!K407))</f>
        <v>Bookcases</v>
      </c>
      <c r="L407" t="s">
        <v>1260</v>
      </c>
      <c r="M407" t="str">
        <f>IF('[1]Cleaned Text Field'!M407="","Unknown",'[1]Cleaned Text Field'!M407)</f>
        <v>Unknown</v>
      </c>
      <c r="N407">
        <f>IF('[1]Cleaned Text Field'!N407="",0,'[1]Cleaned Text Field'!N407)</f>
        <v>7</v>
      </c>
      <c r="O407">
        <v>3878.01</v>
      </c>
      <c r="P407" s="5">
        <f>IF('[1]Cleaned Text Field'!P407="",0,'[1]Cleaned Text Field'!P407)</f>
        <v>0.1</v>
      </c>
      <c r="Q407">
        <v>24431.46</v>
      </c>
      <c r="R407">
        <v>18202.36</v>
      </c>
      <c r="S407">
        <v>6229.1</v>
      </c>
      <c r="T407" t="str">
        <f>PROPER(TRIM([1]raw_orders!T407))</f>
        <v>Paid</v>
      </c>
      <c r="U407" t="str">
        <f>PROPER(TRIM([1]raw_orders!U407))</f>
        <v>Completed</v>
      </c>
      <c r="V407" s="6">
        <f t="shared" si="48"/>
        <v>0.25496224949307167</v>
      </c>
      <c r="W407" t="str">
        <f t="shared" si="49"/>
        <v>September</v>
      </c>
      <c r="X407">
        <f t="shared" si="50"/>
        <v>2024</v>
      </c>
      <c r="Y407">
        <f t="shared" si="51"/>
        <v>1</v>
      </c>
      <c r="Z407" s="7">
        <f t="shared" si="52"/>
        <v>0.1</v>
      </c>
      <c r="AA407">
        <f t="shared" si="53"/>
        <v>24431.463</v>
      </c>
      <c r="AB407">
        <f t="shared" si="54"/>
        <v>6229.0999999999985</v>
      </c>
      <c r="AC407" t="str">
        <f t="shared" si="55"/>
        <v>Clean</v>
      </c>
    </row>
    <row r="408" spans="1:29">
      <c r="A408" t="s">
        <v>1261</v>
      </c>
      <c r="B408" s="4">
        <v>45713</v>
      </c>
      <c r="C408" s="4">
        <v>45713</v>
      </c>
      <c r="D408" t="s">
        <v>1262</v>
      </c>
      <c r="E408" t="str">
        <f>PROPER(TRIM([1]raw_orders!E408))</f>
        <v>Kabir Singh</v>
      </c>
      <c r="F408" t="str">
        <f>PROPER(TRIM([1]raw_orders!F408))</f>
        <v>Small Business</v>
      </c>
      <c r="G408" t="str">
        <f>IF('[1]Cleaned Text Field'!G408="","Unknown",'[1]Cleaned Text Field'!G408)</f>
        <v>West</v>
      </c>
      <c r="H408" t="str">
        <f>PROPER(TRIM([1]raw_orders!H408))</f>
        <v>Goa</v>
      </c>
      <c r="I408" t="str">
        <f>PROPER(TRIM([1]raw_orders!I408))</f>
        <v>Panaji</v>
      </c>
      <c r="J408" t="str">
        <f>PROPER(TRIM([1]raw_orders!J408))</f>
        <v>Furniture</v>
      </c>
      <c r="K408" t="str">
        <f>PROPER(TRIM([1]raw_orders!K408))</f>
        <v>Furnishings</v>
      </c>
      <c r="L408" t="s">
        <v>1263</v>
      </c>
      <c r="M408" t="str">
        <f>IF('[1]Cleaned Text Field'!M408="","Unknown",'[1]Cleaned Text Field'!M408)</f>
        <v>Standard Class</v>
      </c>
      <c r="N408">
        <f>IF('[1]Cleaned Text Field'!N408="",0,'[1]Cleaned Text Field'!N408)</f>
        <v>2</v>
      </c>
      <c r="O408">
        <v>3924.2</v>
      </c>
      <c r="P408" s="5">
        <f>IF('[1]Cleaned Text Field'!P408="",0,'[1]Cleaned Text Field'!P408)</f>
        <v>0.25</v>
      </c>
      <c r="Q408">
        <v>5886.3</v>
      </c>
      <c r="R408">
        <v>3621.76</v>
      </c>
      <c r="S408">
        <v>2264.54</v>
      </c>
      <c r="T408" t="str">
        <f>PROPER(TRIM([1]raw_orders!T408))</f>
        <v>Pending</v>
      </c>
      <c r="U408" t="str">
        <f>PROPER(TRIM([1]raw_orders!U408))</f>
        <v>Returned</v>
      </c>
      <c r="V408" s="6">
        <f t="shared" si="48"/>
        <v>0.3847136571360617</v>
      </c>
      <c r="W408" t="str">
        <f t="shared" si="49"/>
        <v>February</v>
      </c>
      <c r="X408">
        <f t="shared" si="50"/>
        <v>2025</v>
      </c>
      <c r="Y408">
        <f t="shared" si="51"/>
        <v>0</v>
      </c>
      <c r="Z408" s="7">
        <f t="shared" si="52"/>
        <v>0.25</v>
      </c>
      <c r="AA408">
        <f t="shared" si="53"/>
        <v>5886.2999999999993</v>
      </c>
      <c r="AB408">
        <f t="shared" si="54"/>
        <v>2264.54</v>
      </c>
      <c r="AC408" t="str">
        <f t="shared" si="55"/>
        <v>Clean</v>
      </c>
    </row>
    <row r="409" spans="1:29">
      <c r="A409" t="s">
        <v>1264</v>
      </c>
      <c r="B409" s="4">
        <v>45424</v>
      </c>
      <c r="C409" s="4">
        <v>45425</v>
      </c>
      <c r="D409" t="s">
        <v>1265</v>
      </c>
      <c r="E409" t="str">
        <f>PROPER(TRIM([1]raw_orders!E409))</f>
        <v>Rahul Verma</v>
      </c>
      <c r="F409" t="str">
        <f>PROPER(TRIM([1]raw_orders!F409))</f>
        <v>Corporate</v>
      </c>
      <c r="G409" t="str">
        <f>IF('[1]Cleaned Text Field'!G409="","Unknown",'[1]Cleaned Text Field'!G409)</f>
        <v>West</v>
      </c>
      <c r="H409" t="str">
        <f>PROPER(TRIM([1]raw_orders!H409))</f>
        <v>Goa</v>
      </c>
      <c r="I409" t="str">
        <f>PROPER(TRIM([1]raw_orders!I409))</f>
        <v>Panaji</v>
      </c>
      <c r="J409" t="str">
        <f>PROPER(TRIM([1]raw_orders!J409))</f>
        <v>Office Supplies</v>
      </c>
      <c r="K409" t="str">
        <f>PROPER(TRIM([1]raw_orders!K409))</f>
        <v>Labels</v>
      </c>
      <c r="L409" t="s">
        <v>1266</v>
      </c>
      <c r="M409" t="str">
        <f>IF('[1]Cleaned Text Field'!M409="","Unknown",'[1]Cleaned Text Field'!M409)</f>
        <v>Second Class</v>
      </c>
      <c r="N409">
        <f>IF('[1]Cleaned Text Field'!N409="",0,'[1]Cleaned Text Field'!N409)</f>
        <v>3</v>
      </c>
      <c r="O409">
        <v>2644.55</v>
      </c>
      <c r="P409" s="5">
        <f>IF('[1]Cleaned Text Field'!P409="",0,'[1]Cleaned Text Field'!P409)</f>
        <v>0</v>
      </c>
      <c r="Q409">
        <v>7933.65</v>
      </c>
      <c r="R409">
        <v>5698.42</v>
      </c>
      <c r="S409">
        <v>2235.23</v>
      </c>
      <c r="T409" t="str">
        <f>PROPER(TRIM([1]raw_orders!T409))</f>
        <v>Paid</v>
      </c>
      <c r="U409" t="str">
        <f>PROPER(TRIM([1]raw_orders!U409))</f>
        <v>Completed</v>
      </c>
      <c r="V409" s="6">
        <f t="shared" si="48"/>
        <v>0.2817404347305465</v>
      </c>
      <c r="W409" t="str">
        <f t="shared" si="49"/>
        <v>May</v>
      </c>
      <c r="X409">
        <f t="shared" si="50"/>
        <v>2024</v>
      </c>
      <c r="Y409">
        <f t="shared" si="51"/>
        <v>1</v>
      </c>
      <c r="Z409" s="7">
        <f t="shared" si="52"/>
        <v>0</v>
      </c>
      <c r="AA409">
        <f t="shared" si="53"/>
        <v>7933.6500000000005</v>
      </c>
      <c r="AB409">
        <f t="shared" si="54"/>
        <v>2235.2299999999996</v>
      </c>
      <c r="AC409" t="str">
        <f t="shared" si="55"/>
        <v>Clean</v>
      </c>
    </row>
    <row r="410" spans="1:29">
      <c r="A410" t="s">
        <v>1267</v>
      </c>
      <c r="B410" s="4">
        <v>45870</v>
      </c>
      <c r="C410" s="4">
        <v>45872</v>
      </c>
      <c r="D410" t="s">
        <v>1268</v>
      </c>
      <c r="E410" t="str">
        <f>PROPER(TRIM([1]raw_orders!E410))</f>
        <v>Sneha Kapoor</v>
      </c>
      <c r="F410" t="str">
        <f>PROPER(TRIM([1]raw_orders!F410))</f>
        <v>Consumer</v>
      </c>
      <c r="G410" t="str">
        <f>IF('[1]Cleaned Text Field'!G410="","Unknown",'[1]Cleaned Text Field'!G410)</f>
        <v>West</v>
      </c>
      <c r="H410" t="str">
        <f>PROPER(TRIM([1]raw_orders!H410))</f>
        <v>Maharashtra</v>
      </c>
      <c r="I410" t="str">
        <f>PROPER(TRIM([1]raw_orders!I410))</f>
        <v>Mumbai</v>
      </c>
      <c r="J410" t="str">
        <f>PROPER(TRIM([1]raw_orders!J410))</f>
        <v>Furniture</v>
      </c>
      <c r="K410" t="str">
        <f>PROPER(TRIM([1]raw_orders!K410))</f>
        <v>Chairs</v>
      </c>
      <c r="L410" t="s">
        <v>1269</v>
      </c>
      <c r="M410" t="str">
        <f>IF('[1]Cleaned Text Field'!M410="","Unknown",'[1]Cleaned Text Field'!M410)</f>
        <v>First Class</v>
      </c>
      <c r="N410">
        <f>IF('[1]Cleaned Text Field'!N410="",0,'[1]Cleaned Text Field'!N410)</f>
        <v>4</v>
      </c>
      <c r="O410">
        <v>1773.46</v>
      </c>
      <c r="P410" s="5">
        <f>IF('[1]Cleaned Text Field'!P410="",0,'[1]Cleaned Text Field'!P410)</f>
        <v>0</v>
      </c>
      <c r="Q410">
        <v>7093.84</v>
      </c>
      <c r="R410">
        <v>4587.49</v>
      </c>
      <c r="S410">
        <v>2506.35</v>
      </c>
      <c r="T410" t="str">
        <f>PROPER(TRIM([1]raw_orders!T410))</f>
        <v>Failed</v>
      </c>
      <c r="U410" t="str">
        <f>PROPER(TRIM([1]raw_orders!U410))</f>
        <v>Returned</v>
      </c>
      <c r="V410" s="6">
        <f t="shared" si="48"/>
        <v>0.35331357910525185</v>
      </c>
      <c r="W410" t="str">
        <f t="shared" si="49"/>
        <v>August</v>
      </c>
      <c r="X410">
        <f t="shared" si="50"/>
        <v>2025</v>
      </c>
      <c r="Y410">
        <f t="shared" si="51"/>
        <v>2</v>
      </c>
      <c r="Z410" s="7">
        <f t="shared" si="52"/>
        <v>0</v>
      </c>
      <c r="AA410">
        <f t="shared" si="53"/>
        <v>7093.84</v>
      </c>
      <c r="AB410">
        <f t="shared" si="54"/>
        <v>2506.3500000000004</v>
      </c>
      <c r="AC410" t="str">
        <f t="shared" si="55"/>
        <v>Clean</v>
      </c>
    </row>
    <row r="411" spans="1:29">
      <c r="A411" t="s">
        <v>1270</v>
      </c>
      <c r="B411" s="4">
        <v>45701</v>
      </c>
      <c r="C411" s="4">
        <v>45703</v>
      </c>
      <c r="D411" t="s">
        <v>1271</v>
      </c>
      <c r="E411" t="str">
        <f>PROPER(TRIM([1]raw_orders!E411))</f>
        <v>Karan Malhotra</v>
      </c>
      <c r="F411" t="str">
        <f>PROPER(TRIM([1]raw_orders!F411))</f>
        <v>Consumer</v>
      </c>
      <c r="G411" t="str">
        <f>IF('[1]Cleaned Text Field'!G411="","Unknown",'[1]Cleaned Text Field'!G411)</f>
        <v>East</v>
      </c>
      <c r="H411" t="str">
        <f>PROPER(TRIM([1]raw_orders!H411))</f>
        <v>Assam</v>
      </c>
      <c r="I411" t="str">
        <f>PROPER(TRIM([1]raw_orders!I411))</f>
        <v>Guwahati</v>
      </c>
      <c r="J411" t="str">
        <f>PROPER(TRIM([1]raw_orders!J411))</f>
        <v>Technology</v>
      </c>
      <c r="K411" t="str">
        <f>PROPER(TRIM([1]raw_orders!K411))</f>
        <v>Accessories</v>
      </c>
      <c r="L411" t="s">
        <v>1272</v>
      </c>
      <c r="M411" t="str">
        <f>IF('[1]Cleaned Text Field'!M411="","Unknown",'[1]Cleaned Text Field'!M411)</f>
        <v>Same Day</v>
      </c>
      <c r="N411">
        <f>IF('[1]Cleaned Text Field'!N411="",0,'[1]Cleaned Text Field'!N411)</f>
        <v>1</v>
      </c>
      <c r="O411">
        <v>3025.46</v>
      </c>
      <c r="P411" s="5">
        <f>IF('[1]Cleaned Text Field'!P411="",0,'[1]Cleaned Text Field'!P411)</f>
        <v>0.25</v>
      </c>
      <c r="Q411">
        <v>2269.1</v>
      </c>
      <c r="R411">
        <v>1593.59</v>
      </c>
      <c r="S411">
        <v>675.51</v>
      </c>
      <c r="T411" t="str">
        <f>PROPER(TRIM([1]raw_orders!T411))</f>
        <v>Refunded</v>
      </c>
      <c r="U411" t="str">
        <f>PROPER(TRIM([1]raw_orders!U411))</f>
        <v>Returned</v>
      </c>
      <c r="V411" s="6">
        <f t="shared" si="48"/>
        <v>0.29769952844740205</v>
      </c>
      <c r="W411" t="str">
        <f t="shared" si="49"/>
        <v>February</v>
      </c>
      <c r="X411">
        <f t="shared" si="50"/>
        <v>2025</v>
      </c>
      <c r="Y411">
        <f t="shared" si="51"/>
        <v>2</v>
      </c>
      <c r="Z411" s="7">
        <f t="shared" si="52"/>
        <v>0.25</v>
      </c>
      <c r="AA411">
        <f t="shared" si="53"/>
        <v>2269.0950000000003</v>
      </c>
      <c r="AB411">
        <f t="shared" si="54"/>
        <v>675.51</v>
      </c>
      <c r="AC411" t="str">
        <f t="shared" si="55"/>
        <v>Clean</v>
      </c>
    </row>
    <row r="412" spans="1:29">
      <c r="A412" t="s">
        <v>1273</v>
      </c>
      <c r="B412" s="4">
        <v>45394</v>
      </c>
      <c r="C412" s="4">
        <v>45402</v>
      </c>
      <c r="D412" t="s">
        <v>1274</v>
      </c>
      <c r="E412" t="str">
        <f>PROPER(TRIM([1]raw_orders!E412))</f>
        <v>Diya Patel</v>
      </c>
      <c r="F412" t="str">
        <f>PROPER(TRIM([1]raw_orders!F412))</f>
        <v>Consumer</v>
      </c>
      <c r="G412" t="str">
        <f>IF('[1]Cleaned Text Field'!G412="","Unknown",'[1]Cleaned Text Field'!G412)</f>
        <v>West</v>
      </c>
      <c r="H412" t="str">
        <f>PROPER(TRIM([1]raw_orders!H412))</f>
        <v>Goa</v>
      </c>
      <c r="I412" t="str">
        <f>PROPER(TRIM([1]raw_orders!I412))</f>
        <v>Panaji</v>
      </c>
      <c r="J412" t="str">
        <f>PROPER(TRIM([1]raw_orders!J412))</f>
        <v>Furniture</v>
      </c>
      <c r="K412" t="str">
        <f>PROPER(TRIM([1]raw_orders!K412))</f>
        <v>Tables</v>
      </c>
      <c r="L412" t="s">
        <v>1275</v>
      </c>
      <c r="M412" t="str">
        <f>IF('[1]Cleaned Text Field'!M412="","Unknown",'[1]Cleaned Text Field'!M412)</f>
        <v>First Class</v>
      </c>
      <c r="N412">
        <f>IF('[1]Cleaned Text Field'!N412="",0,'[1]Cleaned Text Field'!N412)</f>
        <v>9</v>
      </c>
      <c r="O412">
        <v>1302.6099999999999</v>
      </c>
      <c r="P412" s="5">
        <f>IF('[1]Cleaned Text Field'!P412="",0,'[1]Cleaned Text Field'!P412)</f>
        <v>0.2</v>
      </c>
      <c r="Q412">
        <v>9378.7900000000009</v>
      </c>
      <c r="R412">
        <v>6774.48</v>
      </c>
      <c r="S412">
        <v>2604.31</v>
      </c>
      <c r="T412" t="str">
        <f>PROPER(TRIM([1]raw_orders!T412))</f>
        <v>Paid</v>
      </c>
      <c r="U412" t="str">
        <f>PROPER(TRIM([1]raw_orders!U412))</f>
        <v>Completed</v>
      </c>
      <c r="V412" s="6">
        <f t="shared" si="48"/>
        <v>0.27768080957138391</v>
      </c>
      <c r="W412" t="str">
        <f t="shared" si="49"/>
        <v>April</v>
      </c>
      <c r="X412">
        <f t="shared" si="50"/>
        <v>2024</v>
      </c>
      <c r="Y412">
        <f t="shared" si="51"/>
        <v>8</v>
      </c>
      <c r="Z412" s="7">
        <f t="shared" si="52"/>
        <v>0.2</v>
      </c>
      <c r="AA412">
        <f t="shared" si="53"/>
        <v>9378.7919999999995</v>
      </c>
      <c r="AB412">
        <f t="shared" si="54"/>
        <v>2604.3100000000013</v>
      </c>
      <c r="AC412" t="str">
        <f t="shared" si="55"/>
        <v>Clean</v>
      </c>
    </row>
    <row r="413" spans="1:29">
      <c r="A413" t="s">
        <v>1276</v>
      </c>
      <c r="B413" s="4">
        <v>45892</v>
      </c>
      <c r="C413" s="4">
        <v>45897</v>
      </c>
      <c r="D413" t="s">
        <v>1277</v>
      </c>
      <c r="E413" t="str">
        <f>PROPER(TRIM([1]raw_orders!E413))</f>
        <v>Arjun Bose</v>
      </c>
      <c r="F413" t="str">
        <f>PROPER(TRIM([1]raw_orders!F413))</f>
        <v>Home Office</v>
      </c>
      <c r="G413" t="str">
        <f>IF('[1]Cleaned Text Field'!G413="","Unknown",'[1]Cleaned Text Field'!G413)</f>
        <v>West</v>
      </c>
      <c r="H413" t="str">
        <f>PROPER(TRIM([1]raw_orders!H413))</f>
        <v>Rajasthan</v>
      </c>
      <c r="I413" t="str">
        <f>PROPER(TRIM([1]raw_orders!I413))</f>
        <v>Udaipur</v>
      </c>
      <c r="J413" t="str">
        <f>PROPER(TRIM([1]raw_orders!J413))</f>
        <v>Furniture</v>
      </c>
      <c r="K413" t="str">
        <f>PROPER(TRIM([1]raw_orders!K413))</f>
        <v>Tables</v>
      </c>
      <c r="L413" t="s">
        <v>1278</v>
      </c>
      <c r="M413" t="str">
        <f>IF('[1]Cleaned Text Field'!M413="","Unknown",'[1]Cleaned Text Field'!M413)</f>
        <v>First Class</v>
      </c>
      <c r="N413">
        <f>IF('[1]Cleaned Text Field'!N413="",0,'[1]Cleaned Text Field'!N413)</f>
        <v>1</v>
      </c>
      <c r="O413">
        <v>4167.8100000000004</v>
      </c>
      <c r="P413" s="5">
        <f>IF('[1]Cleaned Text Field'!P413="",0,'[1]Cleaned Text Field'!P413)</f>
        <v>0.2</v>
      </c>
      <c r="Q413">
        <v>3334.25</v>
      </c>
      <c r="R413">
        <v>2768.77</v>
      </c>
      <c r="S413">
        <v>565.48</v>
      </c>
      <c r="T413" t="str">
        <f>PROPER(TRIM([1]raw_orders!T413))</f>
        <v>Failed</v>
      </c>
      <c r="U413" t="str">
        <f>PROPER(TRIM([1]raw_orders!U413))</f>
        <v>Returned</v>
      </c>
      <c r="V413" s="6">
        <f t="shared" si="48"/>
        <v>0.16959736072580042</v>
      </c>
      <c r="W413" t="str">
        <f t="shared" si="49"/>
        <v>August</v>
      </c>
      <c r="X413">
        <f t="shared" si="50"/>
        <v>2025</v>
      </c>
      <c r="Y413">
        <f t="shared" si="51"/>
        <v>5</v>
      </c>
      <c r="Z413" s="7">
        <f t="shared" si="52"/>
        <v>0.2</v>
      </c>
      <c r="AA413">
        <f t="shared" si="53"/>
        <v>3334.2480000000005</v>
      </c>
      <c r="AB413">
        <f t="shared" si="54"/>
        <v>565.48</v>
      </c>
      <c r="AC413" t="str">
        <f t="shared" si="55"/>
        <v>Clean</v>
      </c>
    </row>
    <row r="414" spans="1:29">
      <c r="A414" t="s">
        <v>1279</v>
      </c>
      <c r="B414" s="4">
        <v>45313</v>
      </c>
      <c r="C414" s="4">
        <v>45321</v>
      </c>
      <c r="D414" t="s">
        <v>1280</v>
      </c>
      <c r="E414" t="str">
        <f>PROPER(TRIM([1]raw_orders!E414))</f>
        <v>Isha Nair</v>
      </c>
      <c r="F414" t="str">
        <f>PROPER(TRIM([1]raw_orders!F414))</f>
        <v>Corporate</v>
      </c>
      <c r="G414" t="str">
        <f>IF('[1]Cleaned Text Field'!G414="","Unknown",'[1]Cleaned Text Field'!G414)</f>
        <v>South</v>
      </c>
      <c r="H414" t="str">
        <f>PROPER(TRIM([1]raw_orders!H414))</f>
        <v>Karnataka</v>
      </c>
      <c r="I414" t="str">
        <f>PROPER(TRIM([1]raw_orders!I414))</f>
        <v>Bengaluru</v>
      </c>
      <c r="J414" t="str">
        <f>PROPER(TRIM([1]raw_orders!J414))</f>
        <v>Furniture</v>
      </c>
      <c r="K414" t="str">
        <f>PROPER(TRIM([1]raw_orders!K414))</f>
        <v>Chairs</v>
      </c>
      <c r="L414" t="s">
        <v>1281</v>
      </c>
      <c r="M414" t="str">
        <f>IF('[1]Cleaned Text Field'!M414="","Unknown",'[1]Cleaned Text Field'!M414)</f>
        <v>Same Day</v>
      </c>
      <c r="N414">
        <f>IF('[1]Cleaned Text Field'!N414="",0,'[1]Cleaned Text Field'!N414)</f>
        <v>1</v>
      </c>
      <c r="O414">
        <v>2111.39</v>
      </c>
      <c r="P414" s="5">
        <f>IF('[1]Cleaned Text Field'!P414="",0,'[1]Cleaned Text Field'!P414)</f>
        <v>0.25</v>
      </c>
      <c r="Q414">
        <v>1583.54</v>
      </c>
      <c r="R414">
        <v>1014.19</v>
      </c>
      <c r="S414">
        <v>569.35</v>
      </c>
      <c r="T414" t="str">
        <f>PROPER(TRIM([1]raw_orders!T414))</f>
        <v>Paid</v>
      </c>
      <c r="U414" t="str">
        <f>PROPER(TRIM([1]raw_orders!U414))</f>
        <v>Completed</v>
      </c>
      <c r="V414" s="6">
        <f t="shared" si="48"/>
        <v>0.35954254392058305</v>
      </c>
      <c r="W414" t="str">
        <f t="shared" si="49"/>
        <v>January</v>
      </c>
      <c r="X414">
        <f t="shared" si="50"/>
        <v>2024</v>
      </c>
      <c r="Y414">
        <f t="shared" si="51"/>
        <v>8</v>
      </c>
      <c r="Z414" s="7">
        <f t="shared" si="52"/>
        <v>0.25</v>
      </c>
      <c r="AA414">
        <f t="shared" si="53"/>
        <v>1583.5425</v>
      </c>
      <c r="AB414">
        <f t="shared" si="54"/>
        <v>569.34999999999991</v>
      </c>
      <c r="AC414" t="str">
        <f t="shared" si="55"/>
        <v>Clean</v>
      </c>
    </row>
    <row r="415" spans="1:29">
      <c r="A415" t="s">
        <v>1282</v>
      </c>
      <c r="B415" s="4">
        <v>45882</v>
      </c>
      <c r="C415" s="4">
        <v>45886</v>
      </c>
      <c r="D415" t="s">
        <v>1283</v>
      </c>
      <c r="E415" t="str">
        <f>PROPER(TRIM([1]raw_orders!E415))</f>
        <v>Neha Gupta</v>
      </c>
      <c r="F415" t="str">
        <f>PROPER(TRIM([1]raw_orders!F415))</f>
        <v>Home Office</v>
      </c>
      <c r="G415" t="str">
        <f>IF('[1]Cleaned Text Field'!G415="","Unknown",'[1]Cleaned Text Field'!G415)</f>
        <v>West</v>
      </c>
      <c r="H415" t="str">
        <f>PROPER(TRIM([1]raw_orders!H415))</f>
        <v>Madhya Pradesh</v>
      </c>
      <c r="I415" t="str">
        <f>PROPER(TRIM([1]raw_orders!I415))</f>
        <v>Indore</v>
      </c>
      <c r="J415" t="str">
        <f>PROPER(TRIM([1]raw_orders!J415))</f>
        <v>Technology</v>
      </c>
      <c r="K415" t="str">
        <f>PROPER(TRIM([1]raw_orders!K415))</f>
        <v>Accessories</v>
      </c>
      <c r="L415" t="s">
        <v>1284</v>
      </c>
      <c r="M415" t="str">
        <f>IF('[1]Cleaned Text Field'!M415="","Unknown",'[1]Cleaned Text Field'!M415)</f>
        <v>Second Class</v>
      </c>
      <c r="N415">
        <f>IF('[1]Cleaned Text Field'!N415="",0,'[1]Cleaned Text Field'!N415)</f>
        <v>8</v>
      </c>
      <c r="O415">
        <v>1918.23</v>
      </c>
      <c r="P415" s="5">
        <f>IF('[1]Cleaned Text Field'!P415="",0,'[1]Cleaned Text Field'!P415)</f>
        <v>0</v>
      </c>
      <c r="Q415">
        <v>15345.84</v>
      </c>
      <c r="R415">
        <v>10735.33</v>
      </c>
      <c r="S415">
        <v>4610.51</v>
      </c>
      <c r="T415" t="str">
        <f>PROPER(TRIM([1]raw_orders!T415))</f>
        <v>Pending</v>
      </c>
      <c r="U415" t="str">
        <f>PROPER(TRIM([1]raw_orders!U415))</f>
        <v>Cancelled</v>
      </c>
      <c r="V415" s="6">
        <f t="shared" si="48"/>
        <v>0.30044037993358463</v>
      </c>
      <c r="W415" t="str">
        <f t="shared" si="49"/>
        <v>August</v>
      </c>
      <c r="X415">
        <f t="shared" si="50"/>
        <v>2025</v>
      </c>
      <c r="Y415">
        <f t="shared" si="51"/>
        <v>4</v>
      </c>
      <c r="Z415" s="7">
        <f t="shared" si="52"/>
        <v>0</v>
      </c>
      <c r="AA415">
        <f t="shared" si="53"/>
        <v>15345.84</v>
      </c>
      <c r="AB415">
        <f t="shared" si="54"/>
        <v>4610.51</v>
      </c>
      <c r="AC415" t="str">
        <f t="shared" si="55"/>
        <v>Clean</v>
      </c>
    </row>
    <row r="416" spans="1:29">
      <c r="A416" t="s">
        <v>1285</v>
      </c>
      <c r="B416" s="4">
        <v>45533</v>
      </c>
      <c r="C416" s="4">
        <v>45534</v>
      </c>
      <c r="D416" t="s">
        <v>1286</v>
      </c>
      <c r="E416" t="str">
        <f>PROPER(TRIM([1]raw_orders!E416))</f>
        <v>Arjun Bose</v>
      </c>
      <c r="F416" t="str">
        <f>PROPER(TRIM([1]raw_orders!F416))</f>
        <v>Home Office</v>
      </c>
      <c r="G416" t="str">
        <f>IF('[1]Cleaned Text Field'!G416="","Unknown",'[1]Cleaned Text Field'!G416)</f>
        <v>East</v>
      </c>
      <c r="H416" t="str">
        <f>PROPER(TRIM([1]raw_orders!H416))</f>
        <v>Assam</v>
      </c>
      <c r="I416" t="str">
        <f>PROPER(TRIM([1]raw_orders!I416))</f>
        <v>Guwahati</v>
      </c>
      <c r="J416" t="str">
        <f>PROPER(TRIM([1]raw_orders!J416))</f>
        <v>Office Supplies</v>
      </c>
      <c r="K416" t="str">
        <f>PROPER(TRIM([1]raw_orders!K416))</f>
        <v>Storage</v>
      </c>
      <c r="L416" t="s">
        <v>1287</v>
      </c>
      <c r="M416" t="str">
        <f>IF('[1]Cleaned Text Field'!M416="","Unknown",'[1]Cleaned Text Field'!M416)</f>
        <v>First Class</v>
      </c>
      <c r="N416">
        <f>IF('[1]Cleaned Text Field'!N416="",0,'[1]Cleaned Text Field'!N416)</f>
        <v>4</v>
      </c>
      <c r="O416">
        <v>2484.08</v>
      </c>
      <c r="P416" s="5">
        <f>IF('[1]Cleaned Text Field'!P416="",0,'[1]Cleaned Text Field'!P416)</f>
        <v>0.05</v>
      </c>
      <c r="Q416">
        <v>9439.5</v>
      </c>
      <c r="R416">
        <v>5519.39</v>
      </c>
      <c r="S416">
        <v>3920.11</v>
      </c>
      <c r="T416" t="str">
        <f>PROPER(TRIM([1]raw_orders!T416))</f>
        <v>Paid</v>
      </c>
      <c r="U416" t="str">
        <f>PROPER(TRIM([1]raw_orders!U416))</f>
        <v>Completed</v>
      </c>
      <c r="V416" s="6">
        <f t="shared" si="48"/>
        <v>0.4152878860109116</v>
      </c>
      <c r="W416" t="str">
        <f t="shared" si="49"/>
        <v>August</v>
      </c>
      <c r="X416">
        <f t="shared" si="50"/>
        <v>2024</v>
      </c>
      <c r="Y416">
        <f t="shared" si="51"/>
        <v>1</v>
      </c>
      <c r="Z416" s="7">
        <f t="shared" si="52"/>
        <v>0.05</v>
      </c>
      <c r="AA416">
        <f t="shared" si="53"/>
        <v>9439.503999999999</v>
      </c>
      <c r="AB416">
        <f t="shared" si="54"/>
        <v>3920.1099999999997</v>
      </c>
      <c r="AC416" t="str">
        <f t="shared" si="55"/>
        <v>Clean</v>
      </c>
    </row>
    <row r="417" spans="1:29">
      <c r="A417" t="s">
        <v>1288</v>
      </c>
      <c r="B417" s="4">
        <v>45316</v>
      </c>
      <c r="C417" s="4">
        <v>45318</v>
      </c>
      <c r="D417" t="s">
        <v>1289</v>
      </c>
      <c r="E417" t="str">
        <f>PROPER(TRIM([1]raw_orders!E417))</f>
        <v>Aarav Sharma</v>
      </c>
      <c r="F417" t="str">
        <f>PROPER(TRIM([1]raw_orders!F417))</f>
        <v>Corporate</v>
      </c>
      <c r="G417" t="str">
        <f>IF('[1]Cleaned Text Field'!G417="","Unknown",'[1]Cleaned Text Field'!G417)</f>
        <v>South</v>
      </c>
      <c r="H417" t="str">
        <f>PROPER(TRIM([1]raw_orders!H417))</f>
        <v>Karnataka</v>
      </c>
      <c r="I417" t="str">
        <f>PROPER(TRIM([1]raw_orders!I417))</f>
        <v>Bengaluru</v>
      </c>
      <c r="J417" t="str">
        <f>PROPER(TRIM([1]raw_orders!J417))</f>
        <v>Office Supplies</v>
      </c>
      <c r="K417" t="str">
        <f>PROPER(TRIM([1]raw_orders!K417))</f>
        <v>Storage</v>
      </c>
      <c r="L417" t="s">
        <v>1290</v>
      </c>
      <c r="M417" t="str">
        <f>IF('[1]Cleaned Text Field'!M417="","Unknown",'[1]Cleaned Text Field'!M417)</f>
        <v>Same Day</v>
      </c>
      <c r="N417">
        <f>IF('[1]Cleaned Text Field'!N417="",0,'[1]Cleaned Text Field'!N417)</f>
        <v>7</v>
      </c>
      <c r="O417">
        <v>1727.26</v>
      </c>
      <c r="P417" s="5">
        <f>IF('[1]Cleaned Text Field'!P417="",0,'[1]Cleaned Text Field'!P417)</f>
        <v>0.15</v>
      </c>
      <c r="Q417">
        <v>10277.200000000001</v>
      </c>
      <c r="R417">
        <v>7906.5</v>
      </c>
      <c r="S417">
        <v>2370.6999999999998</v>
      </c>
      <c r="T417" t="str">
        <f>PROPER(TRIM([1]raw_orders!T417))</f>
        <v>Paid</v>
      </c>
      <c r="U417" t="str">
        <f>PROPER(TRIM([1]raw_orders!U417))</f>
        <v>Returned</v>
      </c>
      <c r="V417" s="6">
        <f t="shared" si="48"/>
        <v>0.2306756704160666</v>
      </c>
      <c r="W417" t="str">
        <f t="shared" si="49"/>
        <v>January</v>
      </c>
      <c r="X417">
        <f t="shared" si="50"/>
        <v>2024</v>
      </c>
      <c r="Y417">
        <f t="shared" si="51"/>
        <v>2</v>
      </c>
      <c r="Z417" s="7">
        <f t="shared" si="52"/>
        <v>0.15</v>
      </c>
      <c r="AA417">
        <f t="shared" si="53"/>
        <v>10277.197</v>
      </c>
      <c r="AB417">
        <f t="shared" si="54"/>
        <v>2370.7000000000007</v>
      </c>
      <c r="AC417" t="str">
        <f t="shared" si="55"/>
        <v>Clean</v>
      </c>
    </row>
    <row r="418" spans="1:29">
      <c r="A418" t="s">
        <v>1291</v>
      </c>
      <c r="B418" s="4">
        <v>45665</v>
      </c>
      <c r="C418" s="4">
        <v>45673</v>
      </c>
      <c r="D418" t="s">
        <v>1292</v>
      </c>
      <c r="E418" t="str">
        <f>PROPER(TRIM([1]raw_orders!E418))</f>
        <v>Neha Gupta</v>
      </c>
      <c r="F418" t="str">
        <f>PROPER(TRIM([1]raw_orders!F418))</f>
        <v>Consumer</v>
      </c>
      <c r="G418" t="str">
        <f>IF('[1]Cleaned Text Field'!G418="","Unknown",'[1]Cleaned Text Field'!G418)</f>
        <v>South</v>
      </c>
      <c r="H418" t="str">
        <f>PROPER(TRIM([1]raw_orders!H418))</f>
        <v>Telangana</v>
      </c>
      <c r="I418" t="str">
        <f>PROPER(TRIM([1]raw_orders!I418))</f>
        <v>Hyderabad</v>
      </c>
      <c r="J418" t="str">
        <f>PROPER(TRIM([1]raw_orders!J418))</f>
        <v>Furniture</v>
      </c>
      <c r="K418" t="str">
        <f>PROPER(TRIM([1]raw_orders!K418))</f>
        <v>Furnishings</v>
      </c>
      <c r="L418" t="s">
        <v>1293</v>
      </c>
      <c r="M418" t="str">
        <f>IF('[1]Cleaned Text Field'!M418="","Unknown",'[1]Cleaned Text Field'!M418)</f>
        <v>First Class</v>
      </c>
      <c r="N418">
        <f>IF('[1]Cleaned Text Field'!N418="",0,'[1]Cleaned Text Field'!N418)</f>
        <v>8</v>
      </c>
      <c r="O418">
        <v>638.95000000000005</v>
      </c>
      <c r="P418" s="5">
        <f>IF('[1]Cleaned Text Field'!P418="",0,'[1]Cleaned Text Field'!P418)</f>
        <v>0.25</v>
      </c>
      <c r="Q418">
        <v>3833.7</v>
      </c>
      <c r="R418">
        <v>2886.35</v>
      </c>
      <c r="S418">
        <v>947.35</v>
      </c>
      <c r="T418" t="str">
        <f>PROPER(TRIM([1]raw_orders!T418))</f>
        <v>Paid</v>
      </c>
      <c r="U418" t="str">
        <f>PROPER(TRIM([1]raw_orders!U418))</f>
        <v>Completed</v>
      </c>
      <c r="V418" s="6">
        <f t="shared" si="48"/>
        <v>0.2471111458903931</v>
      </c>
      <c r="W418" t="str">
        <f t="shared" si="49"/>
        <v>January</v>
      </c>
      <c r="X418">
        <f t="shared" si="50"/>
        <v>2025</v>
      </c>
      <c r="Y418">
        <f t="shared" si="51"/>
        <v>8</v>
      </c>
      <c r="Z418" s="7">
        <f t="shared" si="52"/>
        <v>0.25</v>
      </c>
      <c r="AA418">
        <f t="shared" si="53"/>
        <v>3833.7000000000003</v>
      </c>
      <c r="AB418">
        <f t="shared" si="54"/>
        <v>947.34999999999991</v>
      </c>
      <c r="AC418" t="str">
        <f t="shared" si="55"/>
        <v>Clean</v>
      </c>
    </row>
    <row r="419" spans="1:29">
      <c r="A419" t="s">
        <v>1294</v>
      </c>
      <c r="B419" s="4">
        <v>45686</v>
      </c>
      <c r="C419" s="4">
        <v>45693</v>
      </c>
      <c r="D419" t="s">
        <v>1295</v>
      </c>
      <c r="E419" t="str">
        <f>PROPER(TRIM([1]raw_orders!E419))</f>
        <v>Mira Das</v>
      </c>
      <c r="F419" t="str">
        <f>PROPER(TRIM([1]raw_orders!F419))</f>
        <v>Consumer</v>
      </c>
      <c r="G419" t="str">
        <f>IF('[1]Cleaned Text Field'!G419="","Unknown",'[1]Cleaned Text Field'!G419)</f>
        <v>West</v>
      </c>
      <c r="H419" t="str">
        <f>PROPER(TRIM([1]raw_orders!H419))</f>
        <v>Gujarat</v>
      </c>
      <c r="I419" t="str">
        <f>PROPER(TRIM([1]raw_orders!I419))</f>
        <v>Ahmedabad</v>
      </c>
      <c r="J419" t="str">
        <f>PROPER(TRIM([1]raw_orders!J419))</f>
        <v>Office Supplies</v>
      </c>
      <c r="K419" t="str">
        <f>PROPER(TRIM([1]raw_orders!K419))</f>
        <v>Art</v>
      </c>
      <c r="L419" t="s">
        <v>1296</v>
      </c>
      <c r="M419" t="str">
        <f>IF('[1]Cleaned Text Field'!M419="","Unknown",'[1]Cleaned Text Field'!M419)</f>
        <v>First Class</v>
      </c>
      <c r="N419">
        <f>IF('[1]Cleaned Text Field'!N419="",0,'[1]Cleaned Text Field'!N419)</f>
        <v>6</v>
      </c>
      <c r="O419">
        <v>3863</v>
      </c>
      <c r="P419" s="5">
        <f>IF('[1]Cleaned Text Field'!P419="",0,'[1]Cleaned Text Field'!P419)</f>
        <v>0.2</v>
      </c>
      <c r="Q419">
        <v>18542.400000000001</v>
      </c>
      <c r="R419">
        <v>11193.75</v>
      </c>
      <c r="S419">
        <v>7348.65</v>
      </c>
      <c r="T419" t="str">
        <f>PROPER(TRIM([1]raw_orders!T419))</f>
        <v>Paid</v>
      </c>
      <c r="U419" t="str">
        <f>PROPER(TRIM([1]raw_orders!U419))</f>
        <v>Completed</v>
      </c>
      <c r="V419" s="6">
        <f t="shared" si="48"/>
        <v>0.39631601087237894</v>
      </c>
      <c r="W419" t="str">
        <f t="shared" si="49"/>
        <v>January</v>
      </c>
      <c r="X419">
        <f t="shared" si="50"/>
        <v>2025</v>
      </c>
      <c r="Y419">
        <f t="shared" si="51"/>
        <v>7</v>
      </c>
      <c r="Z419" s="7">
        <f t="shared" si="52"/>
        <v>0.2</v>
      </c>
      <c r="AA419">
        <f t="shared" si="53"/>
        <v>18542.400000000001</v>
      </c>
      <c r="AB419">
        <f t="shared" si="54"/>
        <v>7348.6500000000015</v>
      </c>
      <c r="AC419" t="str">
        <f t="shared" si="55"/>
        <v>Clean</v>
      </c>
    </row>
    <row r="420" spans="1:29">
      <c r="A420" t="s">
        <v>1297</v>
      </c>
      <c r="B420" s="4">
        <v>45605</v>
      </c>
      <c r="C420" s="4">
        <v>45613</v>
      </c>
      <c r="D420" t="s">
        <v>1298</v>
      </c>
      <c r="E420" t="str">
        <f>PROPER(TRIM([1]raw_orders!E420))</f>
        <v>Sneha Kapoor</v>
      </c>
      <c r="F420" t="str">
        <f>PROPER(TRIM([1]raw_orders!F420))</f>
        <v>Corporate</v>
      </c>
      <c r="G420" t="str">
        <f>IF('[1]Cleaned Text Field'!G420="","Unknown",'[1]Cleaned Text Field'!G420)</f>
        <v>East</v>
      </c>
      <c r="H420" t="str">
        <f>PROPER(TRIM([1]raw_orders!H420))</f>
        <v>Odisha</v>
      </c>
      <c r="I420" t="str">
        <f>PROPER(TRIM([1]raw_orders!I420))</f>
        <v>Bhubaneswar</v>
      </c>
      <c r="J420" t="str">
        <f>PROPER(TRIM([1]raw_orders!J420))</f>
        <v>Technology</v>
      </c>
      <c r="K420" t="str">
        <f>PROPER(TRIM([1]raw_orders!K420))</f>
        <v>Copiers</v>
      </c>
      <c r="L420" t="s">
        <v>1299</v>
      </c>
      <c r="M420" t="str">
        <f>IF('[1]Cleaned Text Field'!M420="","Unknown",'[1]Cleaned Text Field'!M420)</f>
        <v>Standard Class</v>
      </c>
      <c r="N420">
        <f>IF('[1]Cleaned Text Field'!N420="",0,'[1]Cleaned Text Field'!N420)</f>
        <v>6</v>
      </c>
      <c r="O420">
        <v>3660.4</v>
      </c>
      <c r="P420" s="5">
        <f>IF('[1]Cleaned Text Field'!P420="",0,'[1]Cleaned Text Field'!P420)</f>
        <v>0</v>
      </c>
      <c r="Q420">
        <v>21962.400000000001</v>
      </c>
      <c r="R420">
        <v>15331.99</v>
      </c>
      <c r="S420">
        <v>6630.41</v>
      </c>
      <c r="T420" t="str">
        <f>PROPER(TRIM([1]raw_orders!T420))</f>
        <v>Failed</v>
      </c>
      <c r="U420" t="str">
        <f>PROPER(TRIM([1]raw_orders!U420))</f>
        <v>Cancelled</v>
      </c>
      <c r="V420" s="6">
        <f t="shared" si="48"/>
        <v>0.30189824427202855</v>
      </c>
      <c r="W420" t="str">
        <f t="shared" si="49"/>
        <v>November</v>
      </c>
      <c r="X420">
        <f t="shared" si="50"/>
        <v>2024</v>
      </c>
      <c r="Y420">
        <f t="shared" si="51"/>
        <v>8</v>
      </c>
      <c r="Z420" s="7">
        <f t="shared" si="52"/>
        <v>0</v>
      </c>
      <c r="AA420">
        <f t="shared" si="53"/>
        <v>21962.400000000001</v>
      </c>
      <c r="AB420">
        <f t="shared" si="54"/>
        <v>6630.4100000000017</v>
      </c>
      <c r="AC420" t="str">
        <f t="shared" si="55"/>
        <v>Clean</v>
      </c>
    </row>
    <row r="421" spans="1:29">
      <c r="A421" t="s">
        <v>1300</v>
      </c>
      <c r="B421" s="4">
        <v>45926</v>
      </c>
      <c r="C421" s="4">
        <v>45930</v>
      </c>
      <c r="D421" t="s">
        <v>1301</v>
      </c>
      <c r="E421" t="str">
        <f>PROPER(TRIM([1]raw_orders!E421))</f>
        <v>Sneha Kapoor</v>
      </c>
      <c r="F421" t="str">
        <f>PROPER(TRIM([1]raw_orders!F421))</f>
        <v>Home Office</v>
      </c>
      <c r="G421" t="str">
        <f>IF('[1]Cleaned Text Field'!G421="","Unknown",'[1]Cleaned Text Field'!G421)</f>
        <v>North</v>
      </c>
      <c r="H421" t="str">
        <f>PROPER(TRIM([1]raw_orders!H421))</f>
        <v>Haryana</v>
      </c>
      <c r="I421" t="str">
        <f>PROPER(TRIM([1]raw_orders!I421))</f>
        <v>Gurugram</v>
      </c>
      <c r="J421" t="str">
        <f>PROPER(TRIM([1]raw_orders!J421))</f>
        <v>Technology</v>
      </c>
      <c r="K421" t="str">
        <f>PROPER(TRIM([1]raw_orders!K421))</f>
        <v>Phones</v>
      </c>
      <c r="L421" t="s">
        <v>1302</v>
      </c>
      <c r="M421" t="str">
        <f>IF('[1]Cleaned Text Field'!M421="","Unknown",'[1]Cleaned Text Field'!M421)</f>
        <v>Same Day</v>
      </c>
      <c r="N421">
        <f>IF('[1]Cleaned Text Field'!N421="",0,'[1]Cleaned Text Field'!N421)</f>
        <v>2</v>
      </c>
      <c r="O421">
        <v>688.83</v>
      </c>
      <c r="P421" s="5">
        <f>IF('[1]Cleaned Text Field'!P421="",0,'[1]Cleaned Text Field'!P421)</f>
        <v>0.05</v>
      </c>
      <c r="Q421">
        <v>1308.78</v>
      </c>
      <c r="R421">
        <v>843</v>
      </c>
      <c r="S421">
        <v>465.78</v>
      </c>
      <c r="T421" t="str">
        <f>PROPER(TRIM([1]raw_orders!T421))</f>
        <v>Paid</v>
      </c>
      <c r="U421" t="str">
        <f>PROPER(TRIM([1]raw_orders!U421))</f>
        <v>Completed</v>
      </c>
      <c r="V421" s="6">
        <f t="shared" si="48"/>
        <v>0.35588869023059644</v>
      </c>
      <c r="W421" t="str">
        <f t="shared" si="49"/>
        <v>September</v>
      </c>
      <c r="X421">
        <f t="shared" si="50"/>
        <v>2025</v>
      </c>
      <c r="Y421">
        <f t="shared" si="51"/>
        <v>4</v>
      </c>
      <c r="Z421" s="7">
        <f t="shared" si="52"/>
        <v>0.05</v>
      </c>
      <c r="AA421">
        <f t="shared" si="53"/>
        <v>1308.777</v>
      </c>
      <c r="AB421">
        <f t="shared" si="54"/>
        <v>465.78</v>
      </c>
      <c r="AC421" t="str">
        <f t="shared" si="55"/>
        <v>Clean</v>
      </c>
    </row>
    <row r="422" spans="1:29">
      <c r="A422" t="s">
        <v>1303</v>
      </c>
      <c r="B422" s="4">
        <v>45734</v>
      </c>
      <c r="C422" s="4">
        <v>45735</v>
      </c>
      <c r="D422" t="s">
        <v>1304</v>
      </c>
      <c r="E422" t="str">
        <f>PROPER(TRIM([1]raw_orders!E422))</f>
        <v>Isha Nair</v>
      </c>
      <c r="F422" t="str">
        <f>PROPER(TRIM([1]raw_orders!F422))</f>
        <v>Corporate</v>
      </c>
      <c r="G422" t="str">
        <f>IF('[1]Cleaned Text Field'!G422="","Unknown",'[1]Cleaned Text Field'!G422)</f>
        <v>South</v>
      </c>
      <c r="H422" t="str">
        <f>PROPER(TRIM([1]raw_orders!H422))</f>
        <v>Tamil Nadu</v>
      </c>
      <c r="I422" t="str">
        <f>PROPER(TRIM([1]raw_orders!I422))</f>
        <v>Chennai</v>
      </c>
      <c r="J422" t="str">
        <f>PROPER(TRIM([1]raw_orders!J422))</f>
        <v>Technology</v>
      </c>
      <c r="K422" t="str">
        <f>PROPER(TRIM([1]raw_orders!K422))</f>
        <v>Machines</v>
      </c>
      <c r="L422" t="s">
        <v>1305</v>
      </c>
      <c r="M422" t="str">
        <f>IF('[1]Cleaned Text Field'!M422="","Unknown",'[1]Cleaned Text Field'!M422)</f>
        <v>Standard Class</v>
      </c>
      <c r="N422">
        <f>IF('[1]Cleaned Text Field'!N422="",0,'[1]Cleaned Text Field'!N422)</f>
        <v>2</v>
      </c>
      <c r="O422">
        <v>1209.99</v>
      </c>
      <c r="P422" s="5">
        <f>IF('[1]Cleaned Text Field'!P422="",0,'[1]Cleaned Text Field'!P422)</f>
        <v>0.25</v>
      </c>
      <c r="Q422">
        <v>1814.99</v>
      </c>
      <c r="R422">
        <v>1120.06</v>
      </c>
      <c r="S422">
        <v>694.93</v>
      </c>
      <c r="T422" t="str">
        <f>PROPER(TRIM([1]raw_orders!T422))</f>
        <v>Pending</v>
      </c>
      <c r="U422" t="str">
        <f>PROPER(TRIM([1]raw_orders!U422))</f>
        <v>Cancelled</v>
      </c>
      <c r="V422" s="6">
        <f t="shared" si="48"/>
        <v>0.38288365225152754</v>
      </c>
      <c r="W422" t="str">
        <f t="shared" si="49"/>
        <v>March</v>
      </c>
      <c r="X422">
        <f t="shared" si="50"/>
        <v>2025</v>
      </c>
      <c r="Y422">
        <f t="shared" si="51"/>
        <v>1</v>
      </c>
      <c r="Z422" s="7">
        <f t="shared" si="52"/>
        <v>0.25</v>
      </c>
      <c r="AA422">
        <f t="shared" si="53"/>
        <v>1814.9850000000001</v>
      </c>
      <c r="AB422">
        <f t="shared" si="54"/>
        <v>694.93000000000006</v>
      </c>
      <c r="AC422" t="str">
        <f t="shared" si="55"/>
        <v>Clean</v>
      </c>
    </row>
    <row r="423" spans="1:29">
      <c r="A423" t="s">
        <v>1306</v>
      </c>
      <c r="B423" s="4">
        <v>45822</v>
      </c>
      <c r="C423" s="4">
        <v>45827</v>
      </c>
      <c r="D423" t="s">
        <v>1307</v>
      </c>
      <c r="E423" t="str">
        <f>PROPER(TRIM([1]raw_orders!E423))</f>
        <v>Rohan Mehta</v>
      </c>
      <c r="F423" t="str">
        <f>PROPER(TRIM([1]raw_orders!F423))</f>
        <v>Small Business</v>
      </c>
      <c r="G423" t="str">
        <f>IF('[1]Cleaned Text Field'!G423="","Unknown",'[1]Cleaned Text Field'!G423)</f>
        <v>North</v>
      </c>
      <c r="H423" t="str">
        <f>PROPER(TRIM([1]raw_orders!H423))</f>
        <v>Delhi</v>
      </c>
      <c r="I423" t="str">
        <f>PROPER(TRIM([1]raw_orders!I423))</f>
        <v>New Delhi</v>
      </c>
      <c r="J423" t="str">
        <f>PROPER(TRIM([1]raw_orders!J423))</f>
        <v>Office Supplies</v>
      </c>
      <c r="K423" t="str">
        <f>PROPER(TRIM([1]raw_orders!K423))</f>
        <v>Binders</v>
      </c>
      <c r="L423" t="s">
        <v>1308</v>
      </c>
      <c r="M423" t="str">
        <f>IF('[1]Cleaned Text Field'!M423="","Unknown",'[1]Cleaned Text Field'!M423)</f>
        <v>Same Day</v>
      </c>
      <c r="N423">
        <f>IF('[1]Cleaned Text Field'!N423="",0,'[1]Cleaned Text Field'!N423)</f>
        <v>3</v>
      </c>
      <c r="O423">
        <v>1037.45</v>
      </c>
      <c r="P423" s="5">
        <f>IF('[1]Cleaned Text Field'!P423="",0,'[1]Cleaned Text Field'!P423)</f>
        <v>0.2</v>
      </c>
      <c r="Q423">
        <v>2489.88</v>
      </c>
      <c r="R423">
        <v>1707.52</v>
      </c>
      <c r="S423">
        <v>782.36</v>
      </c>
      <c r="T423" t="str">
        <f>PROPER(TRIM([1]raw_orders!T423))</f>
        <v>Pending</v>
      </c>
      <c r="U423" t="str">
        <f>PROPER(TRIM([1]raw_orders!U423))</f>
        <v>Returned</v>
      </c>
      <c r="V423" s="6">
        <f t="shared" si="48"/>
        <v>0.31421594615001525</v>
      </c>
      <c r="W423" t="str">
        <f t="shared" si="49"/>
        <v>June</v>
      </c>
      <c r="X423">
        <f t="shared" si="50"/>
        <v>2025</v>
      </c>
      <c r="Y423">
        <f t="shared" si="51"/>
        <v>5</v>
      </c>
      <c r="Z423" s="7">
        <f t="shared" si="52"/>
        <v>0.2</v>
      </c>
      <c r="AA423">
        <f t="shared" si="53"/>
        <v>2489.8800000000006</v>
      </c>
      <c r="AB423">
        <f t="shared" si="54"/>
        <v>782.36000000000013</v>
      </c>
      <c r="AC423" t="str">
        <f t="shared" si="55"/>
        <v>Clean</v>
      </c>
    </row>
    <row r="424" spans="1:29">
      <c r="A424" t="s">
        <v>1309</v>
      </c>
      <c r="B424" s="4">
        <v>45903</v>
      </c>
      <c r="C424" s="4">
        <v>45906</v>
      </c>
      <c r="D424" t="s">
        <v>1310</v>
      </c>
      <c r="E424" t="str">
        <f>PROPER(TRIM([1]raw_orders!E424))</f>
        <v>Kabir Singh</v>
      </c>
      <c r="F424" t="str">
        <f>PROPER(TRIM([1]raw_orders!F424))</f>
        <v>Consumer</v>
      </c>
      <c r="G424" t="str">
        <f>IF('[1]Cleaned Text Field'!G424="","Unknown",'[1]Cleaned Text Field'!G424)</f>
        <v>West</v>
      </c>
      <c r="H424" t="str">
        <f>PROPER(TRIM([1]raw_orders!H424))</f>
        <v>Madhya Pradesh</v>
      </c>
      <c r="I424" t="str">
        <f>PROPER(TRIM([1]raw_orders!I424))</f>
        <v>Indore</v>
      </c>
      <c r="J424" t="str">
        <f>PROPER(TRIM([1]raw_orders!J424))</f>
        <v>Technology</v>
      </c>
      <c r="K424" t="str">
        <f>PROPER(TRIM([1]raw_orders!K424))</f>
        <v>Copiers</v>
      </c>
      <c r="L424" t="s">
        <v>1311</v>
      </c>
      <c r="M424" t="str">
        <f>IF('[1]Cleaned Text Field'!M424="","Unknown",'[1]Cleaned Text Field'!M424)</f>
        <v>Same Day</v>
      </c>
      <c r="N424">
        <f>IF('[1]Cleaned Text Field'!N424="",0,'[1]Cleaned Text Field'!N424)</f>
        <v>7</v>
      </c>
      <c r="O424">
        <v>688.85</v>
      </c>
      <c r="P424" s="5">
        <f>IF('[1]Cleaned Text Field'!P424="",0,'[1]Cleaned Text Field'!P424)</f>
        <v>0.15</v>
      </c>
      <c r="Q424">
        <v>4098.66</v>
      </c>
      <c r="R424">
        <v>2678.06</v>
      </c>
      <c r="S424">
        <v>1420.6</v>
      </c>
      <c r="T424" t="str">
        <f>PROPER(TRIM([1]raw_orders!T424))</f>
        <v>Paid</v>
      </c>
      <c r="U424" t="str">
        <f>PROPER(TRIM([1]raw_orders!U424))</f>
        <v>Completed</v>
      </c>
      <c r="V424" s="6">
        <f t="shared" si="48"/>
        <v>0.34660108425680586</v>
      </c>
      <c r="W424" t="str">
        <f t="shared" si="49"/>
        <v>September</v>
      </c>
      <c r="X424">
        <f t="shared" si="50"/>
        <v>2025</v>
      </c>
      <c r="Y424">
        <f t="shared" si="51"/>
        <v>3</v>
      </c>
      <c r="Z424" s="7">
        <f t="shared" si="52"/>
        <v>0.15</v>
      </c>
      <c r="AA424">
        <f t="shared" si="53"/>
        <v>4098.6574999999993</v>
      </c>
      <c r="AB424">
        <f t="shared" si="54"/>
        <v>1420.6</v>
      </c>
      <c r="AC424" t="str">
        <f t="shared" si="55"/>
        <v>Clean</v>
      </c>
    </row>
    <row r="425" spans="1:29">
      <c r="A425" t="s">
        <v>1312</v>
      </c>
      <c r="B425" s="4">
        <v>45342</v>
      </c>
      <c r="C425" s="4">
        <v>45349</v>
      </c>
      <c r="D425" t="s">
        <v>1313</v>
      </c>
      <c r="E425" t="str">
        <f>PROPER(TRIM([1]raw_orders!E425))</f>
        <v>Diya Patel</v>
      </c>
      <c r="F425" t="str">
        <f>PROPER(TRIM([1]raw_orders!F425))</f>
        <v>Consumer</v>
      </c>
      <c r="G425" t="str">
        <f>IF('[1]Cleaned Text Field'!G425="","Unknown",'[1]Cleaned Text Field'!G425)</f>
        <v>South</v>
      </c>
      <c r="H425" t="str">
        <f>PROPER(TRIM([1]raw_orders!H425))</f>
        <v>Kerala</v>
      </c>
      <c r="I425" t="str">
        <f>PROPER(TRIM([1]raw_orders!I425))</f>
        <v>Kochi</v>
      </c>
      <c r="J425" t="str">
        <f>PROPER(TRIM([1]raw_orders!J425))</f>
        <v>Technology</v>
      </c>
      <c r="K425" t="str">
        <f>PROPER(TRIM([1]raw_orders!K425))</f>
        <v>Accessories</v>
      </c>
      <c r="L425" t="s">
        <v>1314</v>
      </c>
      <c r="M425" t="str">
        <f>IF('[1]Cleaned Text Field'!M425="","Unknown",'[1]Cleaned Text Field'!M425)</f>
        <v>First Class</v>
      </c>
      <c r="N425">
        <f>IF('[1]Cleaned Text Field'!N425="",0,'[1]Cleaned Text Field'!N425)</f>
        <v>9</v>
      </c>
      <c r="O425">
        <v>3779.31</v>
      </c>
      <c r="P425" s="5">
        <f>IF('[1]Cleaned Text Field'!P425="",0,'[1]Cleaned Text Field'!P425)</f>
        <v>0.2</v>
      </c>
      <c r="Q425">
        <v>27211.03</v>
      </c>
      <c r="R425">
        <v>17940.43</v>
      </c>
      <c r="S425">
        <v>9270.6</v>
      </c>
      <c r="T425" t="str">
        <f>PROPER(TRIM([1]raw_orders!T425))</f>
        <v>Paid</v>
      </c>
      <c r="U425" t="str">
        <f>PROPER(TRIM([1]raw_orders!U425))</f>
        <v>Completed</v>
      </c>
      <c r="V425" s="6">
        <f t="shared" si="48"/>
        <v>0.34069272644218174</v>
      </c>
      <c r="W425" t="str">
        <f t="shared" si="49"/>
        <v>February</v>
      </c>
      <c r="X425">
        <f t="shared" si="50"/>
        <v>2024</v>
      </c>
      <c r="Y425">
        <f t="shared" si="51"/>
        <v>7</v>
      </c>
      <c r="Z425" s="7">
        <f t="shared" si="52"/>
        <v>0.2</v>
      </c>
      <c r="AA425">
        <f t="shared" si="53"/>
        <v>27211.032000000003</v>
      </c>
      <c r="AB425">
        <f t="shared" si="54"/>
        <v>9270.5999999999985</v>
      </c>
      <c r="AC425" t="str">
        <f t="shared" si="55"/>
        <v>Clean</v>
      </c>
    </row>
    <row r="426" spans="1:29">
      <c r="A426" t="s">
        <v>1315</v>
      </c>
      <c r="B426" s="4">
        <v>45469</v>
      </c>
      <c r="C426" s="4">
        <v>45472</v>
      </c>
      <c r="D426" t="s">
        <v>1316</v>
      </c>
      <c r="E426" t="str">
        <f>PROPER(TRIM([1]raw_orders!E426))</f>
        <v>Neha Gupta</v>
      </c>
      <c r="F426" t="str">
        <f>PROPER(TRIM([1]raw_orders!F426))</f>
        <v>Corporate</v>
      </c>
      <c r="G426" t="str">
        <f>IF('[1]Cleaned Text Field'!G426="","Unknown",'[1]Cleaned Text Field'!G426)</f>
        <v>North</v>
      </c>
      <c r="H426" t="str">
        <f>PROPER(TRIM([1]raw_orders!H426))</f>
        <v>Punjab</v>
      </c>
      <c r="I426" t="str">
        <f>PROPER(TRIM([1]raw_orders!I426))</f>
        <v>Ludhiana</v>
      </c>
      <c r="J426" t="str">
        <f>PROPER(TRIM([1]raw_orders!J426))</f>
        <v>Technology</v>
      </c>
      <c r="K426" t="str">
        <f>PROPER(TRIM([1]raw_orders!K426))</f>
        <v>Phones</v>
      </c>
      <c r="L426" t="s">
        <v>1317</v>
      </c>
      <c r="M426" t="str">
        <f>IF('[1]Cleaned Text Field'!M426="","Unknown",'[1]Cleaned Text Field'!M426)</f>
        <v>Standard Class</v>
      </c>
      <c r="N426">
        <f>IF('[1]Cleaned Text Field'!N426="",0,'[1]Cleaned Text Field'!N426)</f>
        <v>8</v>
      </c>
      <c r="O426">
        <v>804.52</v>
      </c>
      <c r="P426" s="5">
        <f>IF('[1]Cleaned Text Field'!P426="",0,'[1]Cleaned Text Field'!P426)</f>
        <v>0</v>
      </c>
      <c r="Q426">
        <v>6436.16</v>
      </c>
      <c r="R426">
        <v>4263.83</v>
      </c>
      <c r="S426">
        <v>2172.33</v>
      </c>
      <c r="T426" t="str">
        <f>PROPER(TRIM([1]raw_orders!T426))</f>
        <v>Paid</v>
      </c>
      <c r="U426" t="str">
        <f>PROPER(TRIM([1]raw_orders!U426))</f>
        <v>Completed</v>
      </c>
      <c r="V426" s="6">
        <f t="shared" si="48"/>
        <v>0.33751957689056827</v>
      </c>
      <c r="W426" t="str">
        <f t="shared" si="49"/>
        <v>June</v>
      </c>
      <c r="X426">
        <f t="shared" si="50"/>
        <v>2024</v>
      </c>
      <c r="Y426">
        <f t="shared" si="51"/>
        <v>3</v>
      </c>
      <c r="Z426" s="7">
        <f t="shared" si="52"/>
        <v>0</v>
      </c>
      <c r="AA426">
        <f t="shared" si="53"/>
        <v>6436.16</v>
      </c>
      <c r="AB426">
        <f t="shared" si="54"/>
        <v>2172.33</v>
      </c>
      <c r="AC426" t="str">
        <f t="shared" si="55"/>
        <v>Clean</v>
      </c>
    </row>
    <row r="427" spans="1:29">
      <c r="A427" t="s">
        <v>1318</v>
      </c>
      <c r="B427" s="4">
        <v>45561</v>
      </c>
      <c r="C427" s="4">
        <v>45562</v>
      </c>
      <c r="D427" t="s">
        <v>1319</v>
      </c>
      <c r="E427" t="str">
        <f>PROPER(TRIM([1]raw_orders!E427))</f>
        <v>Isha Nair</v>
      </c>
      <c r="F427" t="str">
        <f>PROPER(TRIM([1]raw_orders!F427))</f>
        <v>Home Office</v>
      </c>
      <c r="G427" t="str">
        <f>IF('[1]Cleaned Text Field'!G427="","Unknown",'[1]Cleaned Text Field'!G427)</f>
        <v>North</v>
      </c>
      <c r="H427" t="str">
        <f>PROPER(TRIM([1]raw_orders!H427))</f>
        <v>Delhi</v>
      </c>
      <c r="I427" t="str">
        <f>PROPER(TRIM([1]raw_orders!I427))</f>
        <v>New Delhi</v>
      </c>
      <c r="J427" t="str">
        <f>PROPER(TRIM([1]raw_orders!J427))</f>
        <v>Office Supplies</v>
      </c>
      <c r="K427" t="str">
        <f>PROPER(TRIM([1]raw_orders!K427))</f>
        <v>Labels</v>
      </c>
      <c r="L427" t="s">
        <v>1320</v>
      </c>
      <c r="M427" t="str">
        <f>IF('[1]Cleaned Text Field'!M427="","Unknown",'[1]Cleaned Text Field'!M427)</f>
        <v>First Class</v>
      </c>
      <c r="N427">
        <f>IF('[1]Cleaned Text Field'!N427="",0,'[1]Cleaned Text Field'!N427)</f>
        <v>2</v>
      </c>
      <c r="O427">
        <v>1065.69</v>
      </c>
      <c r="P427" s="5">
        <f>IF('[1]Cleaned Text Field'!P427="",0,'[1]Cleaned Text Field'!P427)</f>
        <v>0.1</v>
      </c>
      <c r="Q427">
        <v>1918.24</v>
      </c>
      <c r="R427">
        <v>1373.52</v>
      </c>
      <c r="S427">
        <v>544.72</v>
      </c>
      <c r="T427" t="str">
        <f>PROPER(TRIM([1]raw_orders!T427))</f>
        <v>Refunded</v>
      </c>
      <c r="U427" t="str">
        <f>PROPER(TRIM([1]raw_orders!U427))</f>
        <v>Cancelled</v>
      </c>
      <c r="V427" s="6">
        <f t="shared" si="48"/>
        <v>0.28396863791809157</v>
      </c>
      <c r="W427" t="str">
        <f t="shared" si="49"/>
        <v>September</v>
      </c>
      <c r="X427">
        <f t="shared" si="50"/>
        <v>2024</v>
      </c>
      <c r="Y427">
        <f t="shared" si="51"/>
        <v>1</v>
      </c>
      <c r="Z427" s="7">
        <f t="shared" si="52"/>
        <v>0.1</v>
      </c>
      <c r="AA427">
        <f t="shared" si="53"/>
        <v>1918.2420000000002</v>
      </c>
      <c r="AB427">
        <f t="shared" si="54"/>
        <v>544.72</v>
      </c>
      <c r="AC427" t="str">
        <f t="shared" si="55"/>
        <v>Clean</v>
      </c>
    </row>
    <row r="428" spans="1:29">
      <c r="A428" t="s">
        <v>1321</v>
      </c>
      <c r="B428" s="4">
        <v>45473</v>
      </c>
      <c r="C428" s="4">
        <v>45298</v>
      </c>
      <c r="D428" t="s">
        <v>1322</v>
      </c>
      <c r="E428" t="str">
        <f>PROPER(TRIM([1]raw_orders!E428))</f>
        <v>Aditi Sen</v>
      </c>
      <c r="F428" t="str">
        <f>PROPER(TRIM([1]raw_orders!F428))</f>
        <v>Consumer</v>
      </c>
      <c r="G428" t="str">
        <f>IF('[1]Cleaned Text Field'!G428="","Unknown",'[1]Cleaned Text Field'!G428)</f>
        <v>North</v>
      </c>
      <c r="H428" t="str">
        <f>PROPER(TRIM([1]raw_orders!H428))</f>
        <v>Haryana</v>
      </c>
      <c r="I428" t="str">
        <f>PROPER(TRIM([1]raw_orders!I428))</f>
        <v>Gurugram</v>
      </c>
      <c r="J428" t="str">
        <f>PROPER(TRIM([1]raw_orders!J428))</f>
        <v>Technology</v>
      </c>
      <c r="K428" t="str">
        <f>PROPER(TRIM([1]raw_orders!K428))</f>
        <v>Copiers</v>
      </c>
      <c r="L428" t="s">
        <v>1323</v>
      </c>
      <c r="M428" t="str">
        <f>IF('[1]Cleaned Text Field'!M428="","Unknown",'[1]Cleaned Text Field'!M428)</f>
        <v>Same Day</v>
      </c>
      <c r="N428">
        <f>IF('[1]Cleaned Text Field'!N428="",0,'[1]Cleaned Text Field'!N428)</f>
        <v>8</v>
      </c>
      <c r="O428">
        <v>3756.66</v>
      </c>
      <c r="P428" s="5">
        <f>IF('[1]Cleaned Text Field'!P428="",0,'[1]Cleaned Text Field'!P428)</f>
        <v>0.1</v>
      </c>
      <c r="Q428">
        <v>27047.95</v>
      </c>
      <c r="R428">
        <v>18431.330000000002</v>
      </c>
      <c r="S428">
        <v>8616.6200000000008</v>
      </c>
      <c r="T428" t="str">
        <f>PROPER(TRIM([1]raw_orders!T428))</f>
        <v>Paid</v>
      </c>
      <c r="U428" t="str">
        <f>PROPER(TRIM([1]raw_orders!U428))</f>
        <v>Completed</v>
      </c>
      <c r="V428" s="6">
        <f t="shared" si="48"/>
        <v>0.3185683203348128</v>
      </c>
      <c r="W428" t="str">
        <f t="shared" si="49"/>
        <v>June</v>
      </c>
      <c r="X428">
        <f t="shared" si="50"/>
        <v>2024</v>
      </c>
      <c r="Y428">
        <f t="shared" si="51"/>
        <v>-175</v>
      </c>
      <c r="Z428" s="7">
        <f t="shared" si="52"/>
        <v>0.1</v>
      </c>
      <c r="AA428">
        <f t="shared" si="53"/>
        <v>27047.952000000001</v>
      </c>
      <c r="AB428">
        <f t="shared" si="54"/>
        <v>8616.619999999999</v>
      </c>
      <c r="AC428" t="str">
        <f t="shared" si="55"/>
        <v>Warning</v>
      </c>
    </row>
    <row r="429" spans="1:29">
      <c r="A429" t="s">
        <v>1324</v>
      </c>
      <c r="B429" s="4">
        <v>45769</v>
      </c>
      <c r="C429" s="4">
        <v>45771</v>
      </c>
      <c r="D429" t="s">
        <v>1325</v>
      </c>
      <c r="E429" t="str">
        <f>PROPER(TRIM([1]raw_orders!E429))</f>
        <v>Isha Nair</v>
      </c>
      <c r="F429" t="str">
        <f>PROPER(TRIM([1]raw_orders!F429))</f>
        <v>Corporate</v>
      </c>
      <c r="G429" t="str">
        <f>IF('[1]Cleaned Text Field'!G429="","Unknown",'[1]Cleaned Text Field'!G429)</f>
        <v>Unknown</v>
      </c>
      <c r="H429" t="str">
        <f>PROPER(TRIM([1]raw_orders!H429))</f>
        <v>Jharkhand</v>
      </c>
      <c r="I429" t="str">
        <f>PROPER(TRIM([1]raw_orders!I429))</f>
        <v>Ranchi</v>
      </c>
      <c r="J429" t="str">
        <f>PROPER(TRIM([1]raw_orders!J429))</f>
        <v>Technology</v>
      </c>
      <c r="K429" t="str">
        <f>PROPER(TRIM([1]raw_orders!K429))</f>
        <v>Accessories</v>
      </c>
      <c r="L429" t="s">
        <v>1326</v>
      </c>
      <c r="M429" t="str">
        <f>IF('[1]Cleaned Text Field'!M429="","Unknown",'[1]Cleaned Text Field'!M429)</f>
        <v>Standard Class</v>
      </c>
      <c r="N429">
        <f>IF('[1]Cleaned Text Field'!N429="",0,'[1]Cleaned Text Field'!N429)</f>
        <v>9</v>
      </c>
      <c r="O429">
        <v>2939.44</v>
      </c>
      <c r="P429" s="5">
        <f>IF('[1]Cleaned Text Field'!P429="",0,'[1]Cleaned Text Field'!P429)</f>
        <v>0</v>
      </c>
      <c r="Q429">
        <v>26454.959999999999</v>
      </c>
      <c r="R429">
        <v>17630.25</v>
      </c>
      <c r="S429">
        <v>8824.7099999999991</v>
      </c>
      <c r="T429" t="str">
        <f>PROPER(TRIM([1]raw_orders!T429))</f>
        <v>Paid</v>
      </c>
      <c r="U429" t="str">
        <f>PROPER(TRIM([1]raw_orders!U429))</f>
        <v>Completed</v>
      </c>
      <c r="V429" s="6">
        <f t="shared" si="48"/>
        <v>0.33357487594008833</v>
      </c>
      <c r="W429" t="str">
        <f t="shared" si="49"/>
        <v>April</v>
      </c>
      <c r="X429">
        <f t="shared" si="50"/>
        <v>2025</v>
      </c>
      <c r="Y429">
        <f t="shared" si="51"/>
        <v>2</v>
      </c>
      <c r="Z429" s="7">
        <f t="shared" si="52"/>
        <v>0</v>
      </c>
      <c r="AA429">
        <f t="shared" si="53"/>
        <v>26454.959999999999</v>
      </c>
      <c r="AB429">
        <f t="shared" si="54"/>
        <v>8824.7099999999991</v>
      </c>
      <c r="AC429" t="str">
        <f t="shared" si="55"/>
        <v>Clean</v>
      </c>
    </row>
    <row r="430" spans="1:29">
      <c r="A430" t="s">
        <v>1327</v>
      </c>
      <c r="B430" s="4">
        <v>45731</v>
      </c>
      <c r="C430" s="4">
        <v>45738</v>
      </c>
      <c r="D430" t="s">
        <v>1328</v>
      </c>
      <c r="E430" t="str">
        <f>PROPER(TRIM([1]raw_orders!E430))</f>
        <v>Karan Malhotra</v>
      </c>
      <c r="F430" t="str">
        <f>PROPER(TRIM([1]raw_orders!F430))</f>
        <v>Small Business</v>
      </c>
      <c r="G430" t="str">
        <f>IF('[1]Cleaned Text Field'!G430="","Unknown",'[1]Cleaned Text Field'!G430)</f>
        <v>East</v>
      </c>
      <c r="H430" t="str">
        <f>PROPER(TRIM([1]raw_orders!H430))</f>
        <v>West Bengal</v>
      </c>
      <c r="I430" t="str">
        <f>PROPER(TRIM([1]raw_orders!I430))</f>
        <v>Kolkata</v>
      </c>
      <c r="J430" t="str">
        <f>PROPER(TRIM([1]raw_orders!J430))</f>
        <v>Technology</v>
      </c>
      <c r="K430" t="str">
        <f>PROPER(TRIM([1]raw_orders!K430))</f>
        <v>Phones</v>
      </c>
      <c r="L430" t="s">
        <v>1329</v>
      </c>
      <c r="M430" t="str">
        <f>IF('[1]Cleaned Text Field'!M430="","Unknown",'[1]Cleaned Text Field'!M430)</f>
        <v>Same Day</v>
      </c>
      <c r="N430">
        <f>IF('[1]Cleaned Text Field'!N430="",0,'[1]Cleaned Text Field'!N430)</f>
        <v>2</v>
      </c>
      <c r="O430">
        <v>1235.93</v>
      </c>
      <c r="P430" s="5">
        <f>IF('[1]Cleaned Text Field'!P430="",0,'[1]Cleaned Text Field'!P430)</f>
        <v>0.25</v>
      </c>
      <c r="Q430">
        <v>1853.89</v>
      </c>
      <c r="R430">
        <v>1101.23</v>
      </c>
      <c r="S430">
        <v>752.66</v>
      </c>
      <c r="T430" t="str">
        <f>PROPER(TRIM([1]raw_orders!T430))</f>
        <v>Pending</v>
      </c>
      <c r="U430" t="str">
        <f>PROPER(TRIM([1]raw_orders!U430))</f>
        <v>Cancelled</v>
      </c>
      <c r="V430" s="6">
        <f t="shared" si="48"/>
        <v>0.40598956788158946</v>
      </c>
      <c r="W430" t="str">
        <f t="shared" si="49"/>
        <v>March</v>
      </c>
      <c r="X430">
        <f t="shared" si="50"/>
        <v>2025</v>
      </c>
      <c r="Y430">
        <f t="shared" si="51"/>
        <v>7</v>
      </c>
      <c r="Z430" s="7">
        <f t="shared" si="52"/>
        <v>0.25</v>
      </c>
      <c r="AA430">
        <f t="shared" si="53"/>
        <v>1853.895</v>
      </c>
      <c r="AB430">
        <f t="shared" si="54"/>
        <v>752.66000000000008</v>
      </c>
      <c r="AC430" t="str">
        <f t="shared" si="55"/>
        <v>Clean</v>
      </c>
    </row>
    <row r="431" spans="1:29">
      <c r="A431" t="s">
        <v>1330</v>
      </c>
      <c r="B431" s="4">
        <v>45717</v>
      </c>
      <c r="C431" s="4">
        <v>45872</v>
      </c>
      <c r="D431" t="s">
        <v>1331</v>
      </c>
      <c r="E431" t="str">
        <f>PROPER(TRIM([1]raw_orders!E431))</f>
        <v>Neha Gupta</v>
      </c>
      <c r="F431" t="str">
        <f>PROPER(TRIM([1]raw_orders!F431))</f>
        <v>Home Office</v>
      </c>
      <c r="G431" t="str">
        <f>IF('[1]Cleaned Text Field'!G431="","Unknown",'[1]Cleaned Text Field'!G431)</f>
        <v>North</v>
      </c>
      <c r="H431" t="str">
        <f>PROPER(TRIM([1]raw_orders!H431))</f>
        <v>Rajasthan</v>
      </c>
      <c r="I431" t="str">
        <f>PROPER(TRIM([1]raw_orders!I431))</f>
        <v>Jaipur</v>
      </c>
      <c r="J431" t="str">
        <f>PROPER(TRIM([1]raw_orders!J431))</f>
        <v>Technology</v>
      </c>
      <c r="K431" t="str">
        <f>PROPER(TRIM([1]raw_orders!K431))</f>
        <v>Copiers</v>
      </c>
      <c r="L431" t="s">
        <v>1332</v>
      </c>
      <c r="M431" t="str">
        <f>IF('[1]Cleaned Text Field'!M431="","Unknown",'[1]Cleaned Text Field'!M431)</f>
        <v>Same Day</v>
      </c>
      <c r="N431">
        <f>IF('[1]Cleaned Text Field'!N431="",0,'[1]Cleaned Text Field'!N431)</f>
        <v>8</v>
      </c>
      <c r="O431">
        <v>2943.1</v>
      </c>
      <c r="P431" s="5">
        <f>IF('[1]Cleaned Text Field'!P431="",0,'[1]Cleaned Text Field'!P431)</f>
        <v>0.25</v>
      </c>
      <c r="Q431">
        <v>17658.599999999999</v>
      </c>
      <c r="R431">
        <v>13842.48</v>
      </c>
      <c r="S431">
        <v>3816.12</v>
      </c>
      <c r="T431" t="str">
        <f>PROPER(TRIM([1]raw_orders!T431))</f>
        <v>Paid</v>
      </c>
      <c r="U431" t="str">
        <f>PROPER(TRIM([1]raw_orders!U431))</f>
        <v>Completed</v>
      </c>
      <c r="V431" s="6">
        <f t="shared" si="48"/>
        <v>0.21610546702456596</v>
      </c>
      <c r="W431" t="str">
        <f t="shared" si="49"/>
        <v>March</v>
      </c>
      <c r="X431">
        <f t="shared" si="50"/>
        <v>2025</v>
      </c>
      <c r="Y431">
        <f t="shared" si="51"/>
        <v>155</v>
      </c>
      <c r="Z431" s="7">
        <f t="shared" si="52"/>
        <v>0.25</v>
      </c>
      <c r="AA431">
        <f t="shared" si="53"/>
        <v>17658.599999999999</v>
      </c>
      <c r="AB431">
        <f t="shared" si="54"/>
        <v>3816.119999999999</v>
      </c>
      <c r="AC431" t="str">
        <f t="shared" si="55"/>
        <v>Clean</v>
      </c>
    </row>
    <row r="432" spans="1:29">
      <c r="A432" t="s">
        <v>1333</v>
      </c>
      <c r="B432" s="4">
        <v>45534</v>
      </c>
      <c r="C432" s="4">
        <v>45331</v>
      </c>
      <c r="D432" t="s">
        <v>1334</v>
      </c>
      <c r="E432" t="str">
        <f>PROPER(TRIM([1]raw_orders!E432))</f>
        <v>Neha Gupta</v>
      </c>
      <c r="F432" t="str">
        <f>PROPER(TRIM([1]raw_orders!F432))</f>
        <v>Small Business</v>
      </c>
      <c r="G432" t="str">
        <f>IF('[1]Cleaned Text Field'!G432="","Unknown",'[1]Cleaned Text Field'!G432)</f>
        <v>North</v>
      </c>
      <c r="H432" t="str">
        <f>PROPER(TRIM([1]raw_orders!H432))</f>
        <v>Haryana</v>
      </c>
      <c r="I432" t="str">
        <f>PROPER(TRIM([1]raw_orders!I432))</f>
        <v>Gurugram</v>
      </c>
      <c r="J432" t="str">
        <f>PROPER(TRIM([1]raw_orders!J432))</f>
        <v>Office Supplies</v>
      </c>
      <c r="K432" t="str">
        <f>PROPER(TRIM([1]raw_orders!K432))</f>
        <v>Paper</v>
      </c>
      <c r="L432" t="s">
        <v>1335</v>
      </c>
      <c r="M432" t="str">
        <f>IF('[1]Cleaned Text Field'!M432="","Unknown",'[1]Cleaned Text Field'!M432)</f>
        <v>Second Class</v>
      </c>
      <c r="N432">
        <f>IF('[1]Cleaned Text Field'!N432="",0,'[1]Cleaned Text Field'!N432)</f>
        <v>1</v>
      </c>
      <c r="O432">
        <v>4320.84</v>
      </c>
      <c r="P432" s="5">
        <f>IF('[1]Cleaned Text Field'!P432="",0,'[1]Cleaned Text Field'!P432)</f>
        <v>0.15</v>
      </c>
      <c r="Q432">
        <v>3672.71</v>
      </c>
      <c r="R432">
        <v>2714.23</v>
      </c>
      <c r="S432">
        <v>763.38</v>
      </c>
      <c r="T432" t="str">
        <f>PROPER(TRIM([1]raw_orders!T432))</f>
        <v>Paid</v>
      </c>
      <c r="U432" t="str">
        <f>PROPER(TRIM([1]raw_orders!U432))</f>
        <v>Completed</v>
      </c>
      <c r="V432" s="6">
        <f t="shared" si="48"/>
        <v>0.20785196762063979</v>
      </c>
      <c r="W432" t="str">
        <f t="shared" si="49"/>
        <v>August</v>
      </c>
      <c r="X432">
        <f t="shared" si="50"/>
        <v>2024</v>
      </c>
      <c r="Y432">
        <f t="shared" si="51"/>
        <v>-203</v>
      </c>
      <c r="Z432" s="7">
        <f t="shared" si="52"/>
        <v>0.15</v>
      </c>
      <c r="AA432">
        <f t="shared" si="53"/>
        <v>3672.7139999999999</v>
      </c>
      <c r="AB432">
        <f t="shared" si="54"/>
        <v>958.48</v>
      </c>
      <c r="AC432" t="str">
        <f t="shared" si="55"/>
        <v>Warning</v>
      </c>
    </row>
    <row r="433" spans="1:29">
      <c r="A433" t="s">
        <v>1336</v>
      </c>
      <c r="B433" s="4">
        <v>45332</v>
      </c>
      <c r="C433" s="4">
        <v>45335</v>
      </c>
      <c r="D433" t="s">
        <v>1337</v>
      </c>
      <c r="E433" t="str">
        <f>PROPER(TRIM([1]raw_orders!E433))</f>
        <v>Karan Malhotra</v>
      </c>
      <c r="F433" t="str">
        <f>PROPER(TRIM([1]raw_orders!F433))</f>
        <v>Home Office</v>
      </c>
      <c r="G433" t="str">
        <f>IF('[1]Cleaned Text Field'!G433="","Unknown",'[1]Cleaned Text Field'!G433)</f>
        <v>West</v>
      </c>
      <c r="H433" t="str">
        <f>PROPER(TRIM([1]raw_orders!H433))</f>
        <v>Goa</v>
      </c>
      <c r="I433" t="str">
        <f>PROPER(TRIM([1]raw_orders!I433))</f>
        <v>Panaji</v>
      </c>
      <c r="J433" t="str">
        <f>PROPER(TRIM([1]raw_orders!J433))</f>
        <v>Technology</v>
      </c>
      <c r="K433" t="str">
        <f>PROPER(TRIM([1]raw_orders!K433))</f>
        <v>Machines</v>
      </c>
      <c r="L433" t="s">
        <v>1338</v>
      </c>
      <c r="M433" t="str">
        <f>IF('[1]Cleaned Text Field'!M433="","Unknown",'[1]Cleaned Text Field'!M433)</f>
        <v>Same Day</v>
      </c>
      <c r="N433">
        <f>IF('[1]Cleaned Text Field'!N433="",0,'[1]Cleaned Text Field'!N433)</f>
        <v>2</v>
      </c>
      <c r="O433">
        <v>4118.45</v>
      </c>
      <c r="P433" s="5">
        <f>IF('[1]Cleaned Text Field'!P433="",0,'[1]Cleaned Text Field'!P433)</f>
        <v>0.25</v>
      </c>
      <c r="Q433">
        <v>6177.67</v>
      </c>
      <c r="R433">
        <v>4520.75</v>
      </c>
      <c r="S433">
        <v>1656.92</v>
      </c>
      <c r="T433" t="str">
        <f>PROPER(TRIM([1]raw_orders!T433))</f>
        <v>Paid</v>
      </c>
      <c r="U433" t="str">
        <f>PROPER(TRIM([1]raw_orders!U433))</f>
        <v>Completed</v>
      </c>
      <c r="V433" s="6">
        <f t="shared" si="48"/>
        <v>0.26821115404351481</v>
      </c>
      <c r="W433" t="str">
        <f t="shared" si="49"/>
        <v>February</v>
      </c>
      <c r="X433">
        <f t="shared" si="50"/>
        <v>2024</v>
      </c>
      <c r="Y433">
        <f t="shared" si="51"/>
        <v>3</v>
      </c>
      <c r="Z433" s="7">
        <f t="shared" si="52"/>
        <v>0.25</v>
      </c>
      <c r="AA433">
        <f t="shared" si="53"/>
        <v>6177.6749999999993</v>
      </c>
      <c r="AB433">
        <f t="shared" si="54"/>
        <v>1656.92</v>
      </c>
      <c r="AC433" t="str">
        <f t="shared" si="55"/>
        <v>Clean</v>
      </c>
    </row>
    <row r="434" spans="1:29">
      <c r="A434" t="s">
        <v>1339</v>
      </c>
      <c r="B434" s="4">
        <v>45533</v>
      </c>
      <c r="C434" s="4">
        <v>45331</v>
      </c>
      <c r="D434" t="s">
        <v>1340</v>
      </c>
      <c r="E434" t="str">
        <f>PROPER(TRIM([1]raw_orders!E434))</f>
        <v>Priya Menon</v>
      </c>
      <c r="F434" t="str">
        <f>PROPER(TRIM([1]raw_orders!F434))</f>
        <v>Small Business</v>
      </c>
      <c r="G434" t="str">
        <f>IF('[1]Cleaned Text Field'!G434="","Unknown",'[1]Cleaned Text Field'!G434)</f>
        <v>West</v>
      </c>
      <c r="H434" t="str">
        <f>PROPER(TRIM([1]raw_orders!H434))</f>
        <v>Maharashtra</v>
      </c>
      <c r="I434" t="str">
        <f>PROPER(TRIM([1]raw_orders!I434))</f>
        <v>Mumbai</v>
      </c>
      <c r="J434" t="str">
        <f>PROPER(TRIM([1]raw_orders!J434))</f>
        <v>Furniture</v>
      </c>
      <c r="K434" t="str">
        <f>PROPER(TRIM([1]raw_orders!K434))</f>
        <v>Bookcases</v>
      </c>
      <c r="L434" t="s">
        <v>1341</v>
      </c>
      <c r="M434" t="str">
        <f>IF('[1]Cleaned Text Field'!M434="","Unknown",'[1]Cleaned Text Field'!M434)</f>
        <v>Standard Class</v>
      </c>
      <c r="N434">
        <f>IF('[1]Cleaned Text Field'!N434="",0,'[1]Cleaned Text Field'!N434)</f>
        <v>6</v>
      </c>
      <c r="O434">
        <v>172.82</v>
      </c>
      <c r="P434" s="5">
        <f>IF('[1]Cleaned Text Field'!P434="",0,'[1]Cleaned Text Field'!P434)</f>
        <v>0.05</v>
      </c>
      <c r="Q434">
        <v>985.07</v>
      </c>
      <c r="R434">
        <v>844.48</v>
      </c>
      <c r="S434">
        <v>140.59</v>
      </c>
      <c r="T434" t="str">
        <f>PROPER(TRIM([1]raw_orders!T434))</f>
        <v>Paid</v>
      </c>
      <c r="U434" t="str">
        <f>PROPER(TRIM([1]raw_orders!U434))</f>
        <v>Completed</v>
      </c>
      <c r="V434" s="6">
        <f t="shared" si="48"/>
        <v>0.14272082187052695</v>
      </c>
      <c r="W434" t="str">
        <f t="shared" si="49"/>
        <v>August</v>
      </c>
      <c r="X434">
        <f t="shared" si="50"/>
        <v>2024</v>
      </c>
      <c r="Y434">
        <f t="shared" si="51"/>
        <v>-202</v>
      </c>
      <c r="Z434" s="7">
        <f t="shared" si="52"/>
        <v>0.05</v>
      </c>
      <c r="AA434">
        <f t="shared" si="53"/>
        <v>985.07400000000007</v>
      </c>
      <c r="AB434">
        <f t="shared" si="54"/>
        <v>140.59000000000003</v>
      </c>
      <c r="AC434" t="str">
        <f t="shared" si="55"/>
        <v>Warning</v>
      </c>
    </row>
    <row r="435" spans="1:29">
      <c r="A435" t="s">
        <v>1342</v>
      </c>
      <c r="B435" s="4">
        <v>45401</v>
      </c>
      <c r="C435" s="4">
        <v>45402</v>
      </c>
      <c r="D435" t="s">
        <v>1343</v>
      </c>
      <c r="E435" t="str">
        <f>PROPER(TRIM([1]raw_orders!E435))</f>
        <v>Priya Menon</v>
      </c>
      <c r="F435" t="str">
        <f>PROPER(TRIM([1]raw_orders!F435))</f>
        <v>Corporate</v>
      </c>
      <c r="G435" t="str">
        <f>IF('[1]Cleaned Text Field'!G435="","Unknown",'[1]Cleaned Text Field'!G435)</f>
        <v>South</v>
      </c>
      <c r="H435" t="str">
        <f>PROPER(TRIM([1]raw_orders!H435))</f>
        <v>Kerala</v>
      </c>
      <c r="I435" t="str">
        <f>PROPER(TRIM([1]raw_orders!I435))</f>
        <v>Kochi</v>
      </c>
      <c r="J435" t="str">
        <f>PROPER(TRIM([1]raw_orders!J435))</f>
        <v>Office Supplies</v>
      </c>
      <c r="K435" t="str">
        <f>PROPER(TRIM([1]raw_orders!K435))</f>
        <v>Art</v>
      </c>
      <c r="L435" t="s">
        <v>1344</v>
      </c>
      <c r="M435" t="str">
        <f>IF('[1]Cleaned Text Field'!M435="","Unknown",'[1]Cleaned Text Field'!M435)</f>
        <v>Second Class</v>
      </c>
      <c r="N435">
        <f>IF('[1]Cleaned Text Field'!N435="",0,'[1]Cleaned Text Field'!N435)</f>
        <v>4</v>
      </c>
      <c r="O435">
        <v>1540.22</v>
      </c>
      <c r="P435" s="5">
        <f>IF('[1]Cleaned Text Field'!P435="",0,'[1]Cleaned Text Field'!P435)</f>
        <v>0</v>
      </c>
      <c r="Q435">
        <v>6160.88</v>
      </c>
      <c r="R435">
        <v>4938.7</v>
      </c>
      <c r="S435">
        <v>1222.18</v>
      </c>
      <c r="T435" t="str">
        <f>PROPER(TRIM([1]raw_orders!T435))</f>
        <v>Refunded</v>
      </c>
      <c r="U435" t="str">
        <f>PROPER(TRIM([1]raw_orders!U435))</f>
        <v>Returned</v>
      </c>
      <c r="V435" s="6">
        <f t="shared" si="48"/>
        <v>0.1983775045123424</v>
      </c>
      <c r="W435" t="str">
        <f t="shared" si="49"/>
        <v>April</v>
      </c>
      <c r="X435">
        <f t="shared" si="50"/>
        <v>2024</v>
      </c>
      <c r="Y435">
        <f t="shared" si="51"/>
        <v>1</v>
      </c>
      <c r="Z435" s="7">
        <f t="shared" si="52"/>
        <v>0</v>
      </c>
      <c r="AA435">
        <f t="shared" si="53"/>
        <v>6160.88</v>
      </c>
      <c r="AB435">
        <f t="shared" si="54"/>
        <v>1222.1800000000003</v>
      </c>
      <c r="AC435" t="str">
        <f t="shared" si="55"/>
        <v>Clean</v>
      </c>
    </row>
    <row r="436" spans="1:29">
      <c r="A436" t="s">
        <v>1345</v>
      </c>
      <c r="B436" s="4">
        <v>45758</v>
      </c>
      <c r="C436" s="4">
        <v>45762</v>
      </c>
      <c r="D436" t="s">
        <v>1346</v>
      </c>
      <c r="E436" t="str">
        <f>PROPER(TRIM([1]raw_orders!E436))</f>
        <v>Mira Das</v>
      </c>
      <c r="F436" t="str">
        <f>PROPER(TRIM([1]raw_orders!F436))</f>
        <v>Home Office</v>
      </c>
      <c r="G436" t="str">
        <f>IF('[1]Cleaned Text Field'!G436="","Unknown",'[1]Cleaned Text Field'!G436)</f>
        <v>North</v>
      </c>
      <c r="H436" t="str">
        <f>PROPER(TRIM([1]raw_orders!H436))</f>
        <v>Uttar Pradesh</v>
      </c>
      <c r="I436" t="str">
        <f>PROPER(TRIM([1]raw_orders!I436))</f>
        <v>Noida</v>
      </c>
      <c r="J436" t="str">
        <f>PROPER(TRIM([1]raw_orders!J436))</f>
        <v>Technology</v>
      </c>
      <c r="K436" t="str">
        <f>PROPER(TRIM([1]raw_orders!K436))</f>
        <v>Accessories</v>
      </c>
      <c r="L436" t="s">
        <v>1347</v>
      </c>
      <c r="M436" t="str">
        <f>IF('[1]Cleaned Text Field'!M436="","Unknown",'[1]Cleaned Text Field'!M436)</f>
        <v>Second Class</v>
      </c>
      <c r="N436">
        <f>IF('[1]Cleaned Text Field'!N436="",0,'[1]Cleaned Text Field'!N436)</f>
        <v>5</v>
      </c>
      <c r="O436">
        <v>652.78</v>
      </c>
      <c r="P436" s="5">
        <f>IF('[1]Cleaned Text Field'!P436="",0,'[1]Cleaned Text Field'!P436)</f>
        <v>0</v>
      </c>
      <c r="Q436">
        <v>3263.9</v>
      </c>
      <c r="R436">
        <v>2068.44</v>
      </c>
      <c r="S436">
        <v>1195.46</v>
      </c>
      <c r="T436" t="str">
        <f>PROPER(TRIM([1]raw_orders!T436))</f>
        <v>Paid</v>
      </c>
      <c r="U436" t="str">
        <f>PROPER(TRIM([1]raw_orders!U436))</f>
        <v>Completed</v>
      </c>
      <c r="V436" s="6">
        <f t="shared" si="48"/>
        <v>0.36626734887711021</v>
      </c>
      <c r="W436" t="str">
        <f t="shared" si="49"/>
        <v>April</v>
      </c>
      <c r="X436">
        <f t="shared" si="50"/>
        <v>2025</v>
      </c>
      <c r="Y436">
        <f t="shared" si="51"/>
        <v>4</v>
      </c>
      <c r="Z436" s="7">
        <f t="shared" si="52"/>
        <v>0</v>
      </c>
      <c r="AA436">
        <f t="shared" si="53"/>
        <v>3263.8999999999996</v>
      </c>
      <c r="AB436">
        <f t="shared" si="54"/>
        <v>1195.46</v>
      </c>
      <c r="AC436" t="str">
        <f t="shared" si="55"/>
        <v>Clean</v>
      </c>
    </row>
    <row r="437" spans="1:29">
      <c r="A437" t="s">
        <v>1348</v>
      </c>
      <c r="B437" s="4">
        <v>45759</v>
      </c>
      <c r="C437" s="4">
        <v>45767</v>
      </c>
      <c r="D437" t="s">
        <v>1349</v>
      </c>
      <c r="E437" t="str">
        <f>PROPER(TRIM([1]raw_orders!E437))</f>
        <v>Kabir Singh</v>
      </c>
      <c r="F437" t="str">
        <f>PROPER(TRIM([1]raw_orders!F437))</f>
        <v>Home Office</v>
      </c>
      <c r="G437" t="str">
        <f>IF('[1]Cleaned Text Field'!G437="","Unknown",'[1]Cleaned Text Field'!G437)</f>
        <v>North</v>
      </c>
      <c r="H437" t="str">
        <f>PROPER(TRIM([1]raw_orders!H437))</f>
        <v>Delhi</v>
      </c>
      <c r="I437" t="str">
        <f>PROPER(TRIM([1]raw_orders!I437))</f>
        <v>New Delhi</v>
      </c>
      <c r="J437" t="str">
        <f>PROPER(TRIM([1]raw_orders!J437))</f>
        <v>Technology</v>
      </c>
      <c r="K437" t="str">
        <f>PROPER(TRIM([1]raw_orders!K437))</f>
        <v>Machines</v>
      </c>
      <c r="L437" t="s">
        <v>1350</v>
      </c>
      <c r="M437" t="str">
        <f>IF('[1]Cleaned Text Field'!M437="","Unknown",'[1]Cleaned Text Field'!M437)</f>
        <v>Standard Class</v>
      </c>
      <c r="N437">
        <f>IF('[1]Cleaned Text Field'!N437="",0,'[1]Cleaned Text Field'!N437)</f>
        <v>1</v>
      </c>
      <c r="O437">
        <v>2737.71</v>
      </c>
      <c r="P437" s="5">
        <f>IF('[1]Cleaned Text Field'!P437="",0,'[1]Cleaned Text Field'!P437)</f>
        <v>0.15</v>
      </c>
      <c r="Q437">
        <v>2327.0500000000002</v>
      </c>
      <c r="R437">
        <v>1919.42</v>
      </c>
      <c r="S437">
        <v>407.63</v>
      </c>
      <c r="T437" t="str">
        <f>PROPER(TRIM([1]raw_orders!T437))</f>
        <v>Paid</v>
      </c>
      <c r="U437" t="str">
        <f>PROPER(TRIM([1]raw_orders!U437))</f>
        <v>Cancelled</v>
      </c>
      <c r="V437" s="6">
        <f t="shared" si="48"/>
        <v>0.17517027996820006</v>
      </c>
      <c r="W437" t="str">
        <f t="shared" si="49"/>
        <v>April</v>
      </c>
      <c r="X437">
        <f t="shared" si="50"/>
        <v>2025</v>
      </c>
      <c r="Y437">
        <f t="shared" si="51"/>
        <v>8</v>
      </c>
      <c r="Z437" s="7">
        <f t="shared" si="52"/>
        <v>0.15</v>
      </c>
      <c r="AA437">
        <f t="shared" si="53"/>
        <v>2327.0535</v>
      </c>
      <c r="AB437">
        <f t="shared" si="54"/>
        <v>407.63000000000011</v>
      </c>
      <c r="AC437" t="str">
        <f t="shared" si="55"/>
        <v>Clean</v>
      </c>
    </row>
    <row r="438" spans="1:29">
      <c r="A438" t="s">
        <v>1351</v>
      </c>
      <c r="B438" s="4">
        <v>45459</v>
      </c>
      <c r="C438" s="4">
        <v>45464</v>
      </c>
      <c r="D438" t="s">
        <v>1352</v>
      </c>
      <c r="E438" t="str">
        <f>PROPER(TRIM([1]raw_orders!E438))</f>
        <v>Neha Gupta</v>
      </c>
      <c r="F438" t="str">
        <f>PROPER(TRIM([1]raw_orders!F438))</f>
        <v>Consumer</v>
      </c>
      <c r="G438" t="str">
        <f>IF('[1]Cleaned Text Field'!G438="","Unknown",'[1]Cleaned Text Field'!G438)</f>
        <v>South</v>
      </c>
      <c r="H438" t="str">
        <f>PROPER(TRIM([1]raw_orders!H438))</f>
        <v>Kerala</v>
      </c>
      <c r="I438" t="str">
        <f>PROPER(TRIM([1]raw_orders!I438))</f>
        <v>Kochi</v>
      </c>
      <c r="J438" t="str">
        <f>PROPER(TRIM([1]raw_orders!J438))</f>
        <v>Furniture</v>
      </c>
      <c r="K438" t="str">
        <f>PROPER(TRIM([1]raw_orders!K438))</f>
        <v>Furnishings</v>
      </c>
      <c r="L438" t="s">
        <v>1353</v>
      </c>
      <c r="M438" t="str">
        <f>IF('[1]Cleaned Text Field'!M438="","Unknown",'[1]Cleaned Text Field'!M438)</f>
        <v>Same Day</v>
      </c>
      <c r="N438">
        <f>IF('[1]Cleaned Text Field'!N438="",0,'[1]Cleaned Text Field'!N438)</f>
        <v>6</v>
      </c>
      <c r="O438">
        <v>1156.78</v>
      </c>
      <c r="P438" s="5">
        <f>IF('[1]Cleaned Text Field'!P438="",0,'[1]Cleaned Text Field'!P438)</f>
        <v>0.05</v>
      </c>
      <c r="Q438">
        <v>6593.65</v>
      </c>
      <c r="R438">
        <v>4359.3900000000003</v>
      </c>
      <c r="S438">
        <v>2234.2600000000002</v>
      </c>
      <c r="T438" t="str">
        <f>PROPER(TRIM([1]raw_orders!T438))</f>
        <v>Paid</v>
      </c>
      <c r="U438" t="str">
        <f>PROPER(TRIM([1]raw_orders!U438))</f>
        <v>Returned</v>
      </c>
      <c r="V438" s="6">
        <f t="shared" si="48"/>
        <v>0.33885025744466274</v>
      </c>
      <c r="W438" t="str">
        <f t="shared" si="49"/>
        <v>June</v>
      </c>
      <c r="X438">
        <f t="shared" si="50"/>
        <v>2024</v>
      </c>
      <c r="Y438">
        <f t="shared" si="51"/>
        <v>5</v>
      </c>
      <c r="Z438" s="7">
        <f t="shared" si="52"/>
        <v>0.05</v>
      </c>
      <c r="AA438">
        <f t="shared" si="53"/>
        <v>6593.6459999999997</v>
      </c>
      <c r="AB438">
        <f t="shared" si="54"/>
        <v>2234.2599999999993</v>
      </c>
      <c r="AC438" t="str">
        <f t="shared" si="55"/>
        <v>Clean</v>
      </c>
    </row>
    <row r="439" spans="1:29">
      <c r="A439" t="s">
        <v>1354</v>
      </c>
      <c r="B439" s="4">
        <v>45337</v>
      </c>
      <c r="C439" s="4">
        <v>45340</v>
      </c>
      <c r="D439" t="s">
        <v>1355</v>
      </c>
      <c r="E439" t="str">
        <f>PROPER(TRIM([1]raw_orders!E439))</f>
        <v>Aditi Sen</v>
      </c>
      <c r="F439" t="str">
        <f>PROPER(TRIM([1]raw_orders!F439))</f>
        <v>Small Business</v>
      </c>
      <c r="G439" t="str">
        <f>IF('[1]Cleaned Text Field'!G439="","Unknown",'[1]Cleaned Text Field'!G439)</f>
        <v>South</v>
      </c>
      <c r="H439" t="str">
        <f>PROPER(TRIM([1]raw_orders!H439))</f>
        <v>Kerala</v>
      </c>
      <c r="I439" t="str">
        <f>PROPER(TRIM([1]raw_orders!I439))</f>
        <v>Kochi</v>
      </c>
      <c r="J439" t="str">
        <f>PROPER(TRIM([1]raw_orders!J439))</f>
        <v>Technology</v>
      </c>
      <c r="K439" t="str">
        <f>PROPER(TRIM([1]raw_orders!K439))</f>
        <v>Accessories</v>
      </c>
      <c r="L439" t="s">
        <v>1356</v>
      </c>
      <c r="M439" t="str">
        <f>IF('[1]Cleaned Text Field'!M439="","Unknown",'[1]Cleaned Text Field'!M439)</f>
        <v>Same Day</v>
      </c>
      <c r="N439">
        <f>IF('[1]Cleaned Text Field'!N439="",0,'[1]Cleaned Text Field'!N439)</f>
        <v>8</v>
      </c>
      <c r="O439">
        <v>379.82</v>
      </c>
      <c r="P439" s="5">
        <f>IF('[1]Cleaned Text Field'!P439="",0,'[1]Cleaned Text Field'!P439)</f>
        <v>0.05</v>
      </c>
      <c r="Q439">
        <v>2886.63</v>
      </c>
      <c r="R439">
        <v>1588.23</v>
      </c>
      <c r="S439">
        <v>1298.4000000000001</v>
      </c>
      <c r="T439" t="str">
        <f>PROPER(TRIM([1]raw_orders!T439))</f>
        <v>Failed</v>
      </c>
      <c r="U439" t="str">
        <f>PROPER(TRIM([1]raw_orders!U439))</f>
        <v>Returned</v>
      </c>
      <c r="V439" s="6">
        <f t="shared" si="48"/>
        <v>0.44979786117375625</v>
      </c>
      <c r="W439" t="str">
        <f t="shared" si="49"/>
        <v>February</v>
      </c>
      <c r="X439">
        <f t="shared" si="50"/>
        <v>2024</v>
      </c>
      <c r="Y439">
        <f t="shared" si="51"/>
        <v>3</v>
      </c>
      <c r="Z439" s="7">
        <f t="shared" si="52"/>
        <v>0.05</v>
      </c>
      <c r="AA439">
        <f t="shared" si="53"/>
        <v>2886.6319999999996</v>
      </c>
      <c r="AB439">
        <f t="shared" si="54"/>
        <v>1298.4000000000001</v>
      </c>
      <c r="AC439" t="str">
        <f t="shared" si="55"/>
        <v>Clean</v>
      </c>
    </row>
    <row r="440" spans="1:29">
      <c r="A440" t="s">
        <v>1357</v>
      </c>
      <c r="B440" s="4">
        <v>45784</v>
      </c>
      <c r="C440" s="4">
        <v>45782</v>
      </c>
      <c r="D440" t="s">
        <v>1358</v>
      </c>
      <c r="E440" t="str">
        <f>PROPER(TRIM([1]raw_orders!E440))</f>
        <v>Neha Gupta</v>
      </c>
      <c r="F440" t="str">
        <f>PROPER(TRIM([1]raw_orders!F440))</f>
        <v>Corporate</v>
      </c>
      <c r="G440" t="str">
        <f>IF('[1]Cleaned Text Field'!G440="","Unknown",'[1]Cleaned Text Field'!G440)</f>
        <v>East</v>
      </c>
      <c r="H440" t="str">
        <f>PROPER(TRIM([1]raw_orders!H440))</f>
        <v>Jharkhand</v>
      </c>
      <c r="I440" t="str">
        <f>PROPER(TRIM([1]raw_orders!I440))</f>
        <v>Ranchi</v>
      </c>
      <c r="J440" t="str">
        <f>PROPER(TRIM([1]raw_orders!J440))</f>
        <v>Technology</v>
      </c>
      <c r="K440" t="str">
        <f>PROPER(TRIM([1]raw_orders!K440))</f>
        <v>Phones</v>
      </c>
      <c r="L440" t="s">
        <v>1359</v>
      </c>
      <c r="M440" t="str">
        <f>IF('[1]Cleaned Text Field'!M440="","Unknown",'[1]Cleaned Text Field'!M440)</f>
        <v>Standard Class</v>
      </c>
      <c r="N440">
        <f>IF('[1]Cleaned Text Field'!N440="",0,'[1]Cleaned Text Field'!N440)</f>
        <v>1</v>
      </c>
      <c r="O440">
        <v>2266.4699999999998</v>
      </c>
      <c r="P440" s="5">
        <f>IF('[1]Cleaned Text Field'!P440="",0,'[1]Cleaned Text Field'!P440)</f>
        <v>0.2</v>
      </c>
      <c r="Q440">
        <v>1813.18</v>
      </c>
      <c r="R440">
        <v>1363.64</v>
      </c>
      <c r="S440">
        <v>449.54</v>
      </c>
      <c r="T440" t="str">
        <f>PROPER(TRIM([1]raw_orders!T440))</f>
        <v>Paid</v>
      </c>
      <c r="U440" t="str">
        <f>PROPER(TRIM([1]raw_orders!U440))</f>
        <v>Completed</v>
      </c>
      <c r="V440" s="6">
        <f t="shared" si="48"/>
        <v>0.24792905282431971</v>
      </c>
      <c r="W440" t="str">
        <f t="shared" si="49"/>
        <v>May</v>
      </c>
      <c r="X440">
        <f t="shared" si="50"/>
        <v>2025</v>
      </c>
      <c r="Y440">
        <f t="shared" si="51"/>
        <v>-2</v>
      </c>
      <c r="Z440" s="7">
        <f t="shared" si="52"/>
        <v>0.2</v>
      </c>
      <c r="AA440">
        <f t="shared" si="53"/>
        <v>1813.1759999999999</v>
      </c>
      <c r="AB440">
        <f t="shared" si="54"/>
        <v>449.53999999999996</v>
      </c>
      <c r="AC440" t="str">
        <f t="shared" si="55"/>
        <v>Warning</v>
      </c>
    </row>
    <row r="441" spans="1:29">
      <c r="A441" t="s">
        <v>1360</v>
      </c>
      <c r="B441" s="4">
        <v>45838</v>
      </c>
      <c r="C441" s="4">
        <v>45841</v>
      </c>
      <c r="D441" t="s">
        <v>1361</v>
      </c>
      <c r="E441" t="str">
        <f>PROPER(TRIM([1]raw_orders!E441))</f>
        <v>Aarav Sharma</v>
      </c>
      <c r="F441" t="str">
        <f>PROPER(TRIM([1]raw_orders!F441))</f>
        <v>Home Office</v>
      </c>
      <c r="G441" t="str">
        <f>IF('[1]Cleaned Text Field'!G441="","Unknown",'[1]Cleaned Text Field'!G441)</f>
        <v>West</v>
      </c>
      <c r="H441" t="str">
        <f>PROPER(TRIM([1]raw_orders!H441))</f>
        <v>Goa</v>
      </c>
      <c r="I441" t="str">
        <f>PROPER(TRIM([1]raw_orders!I441))</f>
        <v>Panaji</v>
      </c>
      <c r="J441" t="str">
        <f>PROPER(TRIM([1]raw_orders!J441))</f>
        <v>Office Supplies</v>
      </c>
      <c r="K441" t="str">
        <f>PROPER(TRIM([1]raw_orders!K441))</f>
        <v>Storage</v>
      </c>
      <c r="L441" t="s">
        <v>1362</v>
      </c>
      <c r="M441" t="str">
        <f>IF('[1]Cleaned Text Field'!M441="","Unknown",'[1]Cleaned Text Field'!M441)</f>
        <v>Same Day</v>
      </c>
      <c r="N441">
        <f>IF('[1]Cleaned Text Field'!N441="",0,'[1]Cleaned Text Field'!N441)</f>
        <v>5</v>
      </c>
      <c r="O441">
        <v>665.25</v>
      </c>
      <c r="P441" s="5">
        <f>IF('[1]Cleaned Text Field'!P441="",0,'[1]Cleaned Text Field'!P441)</f>
        <v>0</v>
      </c>
      <c r="Q441">
        <v>3326.25</v>
      </c>
      <c r="R441">
        <v>2689.36</v>
      </c>
      <c r="S441">
        <v>636.89</v>
      </c>
      <c r="T441" t="str">
        <f>PROPER(TRIM([1]raw_orders!T441))</f>
        <v>Refunded</v>
      </c>
      <c r="U441" t="str">
        <f>PROPER(TRIM([1]raw_orders!U441))</f>
        <v>Returned</v>
      </c>
      <c r="V441" s="6">
        <f t="shared" si="48"/>
        <v>0.19147388199924839</v>
      </c>
      <c r="W441" t="str">
        <f t="shared" si="49"/>
        <v>June</v>
      </c>
      <c r="X441">
        <f t="shared" si="50"/>
        <v>2025</v>
      </c>
      <c r="Y441">
        <f t="shared" si="51"/>
        <v>3</v>
      </c>
      <c r="Z441" s="7">
        <f t="shared" si="52"/>
        <v>0</v>
      </c>
      <c r="AA441">
        <f t="shared" si="53"/>
        <v>3326.25</v>
      </c>
      <c r="AB441">
        <f t="shared" si="54"/>
        <v>636.88999999999987</v>
      </c>
      <c r="AC441" t="str">
        <f t="shared" si="55"/>
        <v>Clean</v>
      </c>
    </row>
    <row r="442" spans="1:29">
      <c r="A442" t="s">
        <v>1363</v>
      </c>
      <c r="B442" s="4">
        <v>45384</v>
      </c>
      <c r="C442" s="4">
        <v>45390</v>
      </c>
      <c r="D442" t="s">
        <v>216</v>
      </c>
      <c r="E442" t="str">
        <f>PROPER(TRIM([1]raw_orders!E442))</f>
        <v>Vikram Iyer</v>
      </c>
      <c r="F442" t="str">
        <f>PROPER(TRIM([1]raw_orders!F442))</f>
        <v>Corporate</v>
      </c>
      <c r="G442" t="str">
        <f>IF('[1]Cleaned Text Field'!G442="","Unknown",'[1]Cleaned Text Field'!G442)</f>
        <v>East</v>
      </c>
      <c r="H442" t="str">
        <f>PROPER(TRIM([1]raw_orders!H442))</f>
        <v>Odisha</v>
      </c>
      <c r="I442" t="str">
        <f>PROPER(TRIM([1]raw_orders!I442))</f>
        <v>Bhubaneswar</v>
      </c>
      <c r="J442" t="str">
        <f>PROPER(TRIM([1]raw_orders!J442))</f>
        <v>Technology</v>
      </c>
      <c r="K442" t="str">
        <f>PROPER(TRIM([1]raw_orders!K442))</f>
        <v>Machines</v>
      </c>
      <c r="L442" t="s">
        <v>1364</v>
      </c>
      <c r="M442" t="str">
        <f>IF('[1]Cleaned Text Field'!M442="","Unknown",'[1]Cleaned Text Field'!M442)</f>
        <v>Second Class</v>
      </c>
      <c r="N442">
        <f>IF('[1]Cleaned Text Field'!N442="",0,'[1]Cleaned Text Field'!N442)</f>
        <v>6</v>
      </c>
      <c r="O442">
        <v>3722.84</v>
      </c>
      <c r="P442" s="5">
        <f>IF('[1]Cleaned Text Field'!P442="",0,'[1]Cleaned Text Field'!P442)</f>
        <v>0.2</v>
      </c>
      <c r="Q442">
        <v>17869.63</v>
      </c>
      <c r="R442">
        <v>12163.8</v>
      </c>
      <c r="S442">
        <v>5705.83</v>
      </c>
      <c r="T442" t="str">
        <f>PROPER(TRIM([1]raw_orders!T442))</f>
        <v>Paid</v>
      </c>
      <c r="U442" t="str">
        <f>PROPER(TRIM([1]raw_orders!U442))</f>
        <v>Completed</v>
      </c>
      <c r="V442" s="6">
        <f t="shared" si="48"/>
        <v>0.31930319765994031</v>
      </c>
      <c r="W442" t="str">
        <f t="shared" si="49"/>
        <v>April</v>
      </c>
      <c r="X442">
        <f t="shared" si="50"/>
        <v>2024</v>
      </c>
      <c r="Y442">
        <f t="shared" si="51"/>
        <v>6</v>
      </c>
      <c r="Z442" s="7">
        <f t="shared" si="52"/>
        <v>0.2</v>
      </c>
      <c r="AA442">
        <f t="shared" si="53"/>
        <v>17869.632000000001</v>
      </c>
      <c r="AB442">
        <f t="shared" si="54"/>
        <v>5705.8300000000017</v>
      </c>
      <c r="AC442" t="str">
        <f t="shared" si="55"/>
        <v>Clean</v>
      </c>
    </row>
    <row r="443" spans="1:29">
      <c r="A443" t="s">
        <v>1365</v>
      </c>
      <c r="B443" s="4">
        <v>45361</v>
      </c>
      <c r="C443" s="4">
        <v>45568</v>
      </c>
      <c r="D443" t="s">
        <v>1366</v>
      </c>
      <c r="E443" t="str">
        <f>PROPER(TRIM([1]raw_orders!E443))</f>
        <v>Karan Malhotra</v>
      </c>
      <c r="F443" t="str">
        <f>PROPER(TRIM([1]raw_orders!F443))</f>
        <v>Consumer</v>
      </c>
      <c r="G443" t="str">
        <f>IF('[1]Cleaned Text Field'!G443="","Unknown",'[1]Cleaned Text Field'!G443)</f>
        <v>East</v>
      </c>
      <c r="H443" t="str">
        <f>PROPER(TRIM([1]raw_orders!H443))</f>
        <v>Bihar</v>
      </c>
      <c r="I443" t="str">
        <f>PROPER(TRIM([1]raw_orders!I443))</f>
        <v>Patna</v>
      </c>
      <c r="J443" t="str">
        <f>PROPER(TRIM([1]raw_orders!J443))</f>
        <v>Furniture</v>
      </c>
      <c r="K443" t="str">
        <f>PROPER(TRIM([1]raw_orders!K443))</f>
        <v>Bookcases</v>
      </c>
      <c r="L443" t="s">
        <v>1367</v>
      </c>
      <c r="M443" t="str">
        <f>IF('[1]Cleaned Text Field'!M443="","Unknown",'[1]Cleaned Text Field'!M443)</f>
        <v>Standard Class</v>
      </c>
      <c r="N443">
        <f>IF('[1]Cleaned Text Field'!N443="",0,'[1]Cleaned Text Field'!N443)</f>
        <v>6</v>
      </c>
      <c r="O443">
        <v>4217.49</v>
      </c>
      <c r="P443" s="5">
        <f>IF('[1]Cleaned Text Field'!P443="",0,'[1]Cleaned Text Field'!P443)</f>
        <v>0</v>
      </c>
      <c r="Q443">
        <v>25304.94</v>
      </c>
      <c r="R443">
        <v>20771.95</v>
      </c>
      <c r="S443">
        <v>4532.99</v>
      </c>
      <c r="T443" t="str">
        <f>PROPER(TRIM([1]raw_orders!T443))</f>
        <v>Paid</v>
      </c>
      <c r="U443" t="str">
        <f>PROPER(TRIM([1]raw_orders!U443))</f>
        <v>Cancelled</v>
      </c>
      <c r="V443" s="6">
        <f t="shared" si="48"/>
        <v>0.17913458795002082</v>
      </c>
      <c r="W443" t="str">
        <f t="shared" si="49"/>
        <v>March</v>
      </c>
      <c r="X443">
        <f t="shared" si="50"/>
        <v>2024</v>
      </c>
      <c r="Y443">
        <f t="shared" si="51"/>
        <v>207</v>
      </c>
      <c r="Z443" s="7">
        <f t="shared" si="52"/>
        <v>0</v>
      </c>
      <c r="AA443">
        <f t="shared" si="53"/>
        <v>25304.94</v>
      </c>
      <c r="AB443">
        <f t="shared" si="54"/>
        <v>4532.989999999998</v>
      </c>
      <c r="AC443" t="str">
        <f t="shared" si="55"/>
        <v>Clean</v>
      </c>
    </row>
    <row r="444" spans="1:29">
      <c r="A444" t="s">
        <v>1368</v>
      </c>
      <c r="B444" s="4">
        <v>45669</v>
      </c>
      <c r="C444" s="4">
        <v>45676</v>
      </c>
      <c r="D444" t="s">
        <v>1369</v>
      </c>
      <c r="E444" t="str">
        <f>PROPER(TRIM([1]raw_orders!E444))</f>
        <v>Aarav Sharma</v>
      </c>
      <c r="F444" t="str">
        <f>PROPER(TRIM([1]raw_orders!F444))</f>
        <v>Consumer</v>
      </c>
      <c r="G444" t="str">
        <f>IF('[1]Cleaned Text Field'!G444="","Unknown",'[1]Cleaned Text Field'!G444)</f>
        <v>East</v>
      </c>
      <c r="H444" t="str">
        <f>PROPER(TRIM([1]raw_orders!H444))</f>
        <v>Jharkhand</v>
      </c>
      <c r="I444" t="str">
        <f>PROPER(TRIM([1]raw_orders!I444))</f>
        <v>Ranchi</v>
      </c>
      <c r="J444" t="str">
        <f>PROPER(TRIM([1]raw_orders!J444))</f>
        <v>Furniture</v>
      </c>
      <c r="K444" t="str">
        <f>PROPER(TRIM([1]raw_orders!K444))</f>
        <v>Tables</v>
      </c>
      <c r="L444" t="s">
        <v>1370</v>
      </c>
      <c r="M444" t="str">
        <f>IF('[1]Cleaned Text Field'!M444="","Unknown",'[1]Cleaned Text Field'!M444)</f>
        <v>First Class</v>
      </c>
      <c r="N444">
        <f>IF('[1]Cleaned Text Field'!N444="",0,'[1]Cleaned Text Field'!N444)</f>
        <v>1</v>
      </c>
      <c r="O444">
        <v>1842.31</v>
      </c>
      <c r="P444" s="5">
        <f>IF('[1]Cleaned Text Field'!P444="",0,'[1]Cleaned Text Field'!P444)</f>
        <v>0</v>
      </c>
      <c r="Q444">
        <v>1842.31</v>
      </c>
      <c r="R444">
        <v>1019.17</v>
      </c>
      <c r="S444">
        <v>823.14</v>
      </c>
      <c r="T444" t="str">
        <f>PROPER(TRIM([1]raw_orders!T444))</f>
        <v>Paid</v>
      </c>
      <c r="U444" t="str">
        <f>PROPER(TRIM([1]raw_orders!U444))</f>
        <v>Completed</v>
      </c>
      <c r="V444" s="6">
        <f t="shared" si="48"/>
        <v>0.44679777019068451</v>
      </c>
      <c r="W444" t="str">
        <f t="shared" si="49"/>
        <v>January</v>
      </c>
      <c r="X444">
        <f t="shared" si="50"/>
        <v>2025</v>
      </c>
      <c r="Y444">
        <f t="shared" si="51"/>
        <v>7</v>
      </c>
      <c r="Z444" s="7">
        <f t="shared" si="52"/>
        <v>0</v>
      </c>
      <c r="AA444">
        <f t="shared" si="53"/>
        <v>1842.31</v>
      </c>
      <c r="AB444">
        <f t="shared" si="54"/>
        <v>823.14</v>
      </c>
      <c r="AC444" t="str">
        <f t="shared" si="55"/>
        <v>Clean</v>
      </c>
    </row>
    <row r="445" spans="1:29">
      <c r="A445" t="s">
        <v>1371</v>
      </c>
      <c r="B445" s="4">
        <v>45386</v>
      </c>
      <c r="C445" s="4">
        <v>45389</v>
      </c>
      <c r="D445" t="s">
        <v>1372</v>
      </c>
      <c r="E445" t="str">
        <f>PROPER(TRIM([1]raw_orders!E445))</f>
        <v>Rohan Mehta</v>
      </c>
      <c r="F445" t="str">
        <f>PROPER(TRIM([1]raw_orders!F445))</f>
        <v>Home Office</v>
      </c>
      <c r="G445" t="str">
        <f>IF('[1]Cleaned Text Field'!G445="","Unknown",'[1]Cleaned Text Field'!G445)</f>
        <v>East</v>
      </c>
      <c r="H445" t="str">
        <f>PROPER(TRIM([1]raw_orders!H445))</f>
        <v>Odisha</v>
      </c>
      <c r="I445" t="str">
        <f>PROPER(TRIM([1]raw_orders!I445))</f>
        <v>Bhubaneswar</v>
      </c>
      <c r="J445" t="str">
        <f>PROPER(TRIM([1]raw_orders!J445))</f>
        <v>Furniture</v>
      </c>
      <c r="K445" t="str">
        <f>PROPER(TRIM([1]raw_orders!K445))</f>
        <v>Furnishings</v>
      </c>
      <c r="L445" t="s">
        <v>1373</v>
      </c>
      <c r="M445" t="str">
        <f>IF('[1]Cleaned Text Field'!M445="","Unknown",'[1]Cleaned Text Field'!M445)</f>
        <v>First Class</v>
      </c>
      <c r="N445">
        <f>IF('[1]Cleaned Text Field'!N445="",0,'[1]Cleaned Text Field'!N445)</f>
        <v>1</v>
      </c>
      <c r="O445">
        <v>3683.75</v>
      </c>
      <c r="P445" s="5">
        <f>IF('[1]Cleaned Text Field'!P445="",0,'[1]Cleaned Text Field'!P445)</f>
        <v>0.1</v>
      </c>
      <c r="Q445">
        <v>3315.38</v>
      </c>
      <c r="R445">
        <v>2347.6799999999998</v>
      </c>
      <c r="S445">
        <v>967.7</v>
      </c>
      <c r="T445" t="str">
        <f>PROPER(TRIM([1]raw_orders!T445))</f>
        <v>Paid</v>
      </c>
      <c r="U445" t="str">
        <f>PROPER(TRIM([1]raw_orders!U445))</f>
        <v>Completed</v>
      </c>
      <c r="V445" s="6">
        <f t="shared" si="48"/>
        <v>0.29188207686600026</v>
      </c>
      <c r="W445" t="str">
        <f t="shared" si="49"/>
        <v>April</v>
      </c>
      <c r="X445">
        <f t="shared" si="50"/>
        <v>2024</v>
      </c>
      <c r="Y445">
        <f t="shared" si="51"/>
        <v>3</v>
      </c>
      <c r="Z445" s="7">
        <f t="shared" si="52"/>
        <v>0.1</v>
      </c>
      <c r="AA445">
        <f t="shared" si="53"/>
        <v>3315.375</v>
      </c>
      <c r="AB445">
        <f t="shared" si="54"/>
        <v>967.70000000000027</v>
      </c>
      <c r="AC445" t="str">
        <f t="shared" si="55"/>
        <v>Clean</v>
      </c>
    </row>
    <row r="446" spans="1:29">
      <c r="A446" t="s">
        <v>1374</v>
      </c>
      <c r="B446" s="4">
        <v>45881</v>
      </c>
      <c r="C446" s="4">
        <v>45885</v>
      </c>
      <c r="D446" t="s">
        <v>1375</v>
      </c>
      <c r="E446" t="str">
        <f>PROPER(TRIM([1]raw_orders!E446))</f>
        <v>Ananya Rao</v>
      </c>
      <c r="F446" t="str">
        <f>PROPER(TRIM([1]raw_orders!F446))</f>
        <v>Consumer</v>
      </c>
      <c r="G446" t="str">
        <f>IF('[1]Cleaned Text Field'!G446="","Unknown",'[1]Cleaned Text Field'!G446)</f>
        <v>East</v>
      </c>
      <c r="H446" t="str">
        <f>PROPER(TRIM([1]raw_orders!H446))</f>
        <v>Assam</v>
      </c>
      <c r="I446" t="str">
        <f>PROPER(TRIM([1]raw_orders!I446))</f>
        <v>Guwahati</v>
      </c>
      <c r="J446" t="str">
        <f>PROPER(TRIM([1]raw_orders!J446))</f>
        <v>Technology</v>
      </c>
      <c r="K446" t="str">
        <f>PROPER(TRIM([1]raw_orders!K446))</f>
        <v>Accessories</v>
      </c>
      <c r="L446" t="s">
        <v>1376</v>
      </c>
      <c r="M446" t="str">
        <f>IF('[1]Cleaned Text Field'!M446="","Unknown",'[1]Cleaned Text Field'!M446)</f>
        <v>Same Day</v>
      </c>
      <c r="N446">
        <f>IF('[1]Cleaned Text Field'!N446="",0,'[1]Cleaned Text Field'!N446)</f>
        <v>9</v>
      </c>
      <c r="O446">
        <v>2379.2399999999998</v>
      </c>
      <c r="P446" s="5">
        <f>IF('[1]Cleaned Text Field'!P446="",0,'[1]Cleaned Text Field'!P446)</f>
        <v>0.05</v>
      </c>
      <c r="Q446">
        <v>20342.5</v>
      </c>
      <c r="R446">
        <v>12407.51</v>
      </c>
      <c r="S446">
        <v>7934.99</v>
      </c>
      <c r="T446" t="str">
        <f>PROPER(TRIM([1]raw_orders!T446))</f>
        <v>Paid</v>
      </c>
      <c r="U446" t="str">
        <f>PROPER(TRIM([1]raw_orders!U446))</f>
        <v>Completed</v>
      </c>
      <c r="V446" s="6">
        <f t="shared" si="48"/>
        <v>0.39006955880545657</v>
      </c>
      <c r="W446" t="str">
        <f t="shared" si="49"/>
        <v>August</v>
      </c>
      <c r="X446">
        <f t="shared" si="50"/>
        <v>2025</v>
      </c>
      <c r="Y446">
        <f t="shared" si="51"/>
        <v>4</v>
      </c>
      <c r="Z446" s="7">
        <f t="shared" si="52"/>
        <v>0.05</v>
      </c>
      <c r="AA446">
        <f t="shared" si="53"/>
        <v>20342.501999999997</v>
      </c>
      <c r="AB446">
        <f t="shared" si="54"/>
        <v>7934.99</v>
      </c>
      <c r="AC446" t="str">
        <f t="shared" si="55"/>
        <v>Clean</v>
      </c>
    </row>
    <row r="447" spans="1:29">
      <c r="A447" t="s">
        <v>1377</v>
      </c>
      <c r="B447" s="4">
        <v>45421</v>
      </c>
      <c r="C447" s="4">
        <v>45417</v>
      </c>
      <c r="D447" t="s">
        <v>1378</v>
      </c>
      <c r="E447" t="str">
        <f>PROPER(TRIM([1]raw_orders!E447))</f>
        <v>Arjun Bose</v>
      </c>
      <c r="F447" t="str">
        <f>PROPER(TRIM([1]raw_orders!F447))</f>
        <v>Consumer</v>
      </c>
      <c r="G447" t="str">
        <f>IF('[1]Cleaned Text Field'!G447="","Unknown",'[1]Cleaned Text Field'!G447)</f>
        <v>East</v>
      </c>
      <c r="H447" t="str">
        <f>PROPER(TRIM([1]raw_orders!H447))</f>
        <v>Assam</v>
      </c>
      <c r="I447" t="str">
        <f>PROPER(TRIM([1]raw_orders!I447))</f>
        <v>Guwahati</v>
      </c>
      <c r="J447" t="str">
        <f>PROPER(TRIM([1]raw_orders!J447))</f>
        <v>Furniture</v>
      </c>
      <c r="K447" t="str">
        <f>PROPER(TRIM([1]raw_orders!K447))</f>
        <v>Bookcases</v>
      </c>
      <c r="L447" t="s">
        <v>1379</v>
      </c>
      <c r="M447" t="str">
        <f>IF('[1]Cleaned Text Field'!M447="","Unknown",'[1]Cleaned Text Field'!M447)</f>
        <v>Same Day</v>
      </c>
      <c r="N447">
        <f>IF('[1]Cleaned Text Field'!N447="",0,'[1]Cleaned Text Field'!N447)</f>
        <v>2</v>
      </c>
      <c r="O447">
        <v>2111.23</v>
      </c>
      <c r="P447" s="5">
        <f>IF('[1]Cleaned Text Field'!P447="",0,'[1]Cleaned Text Field'!P447)</f>
        <v>0.2</v>
      </c>
      <c r="Q447">
        <v>3377.97</v>
      </c>
      <c r="R447">
        <v>2496.29</v>
      </c>
      <c r="S447">
        <v>881.68</v>
      </c>
      <c r="T447" t="str">
        <f>PROPER(TRIM([1]raw_orders!T447))</f>
        <v>Paid</v>
      </c>
      <c r="U447" t="str">
        <f>PROPER(TRIM([1]raw_orders!U447))</f>
        <v>Completed</v>
      </c>
      <c r="V447" s="6">
        <f t="shared" si="48"/>
        <v>0.26100883074746073</v>
      </c>
      <c r="W447" t="str">
        <f t="shared" si="49"/>
        <v>May</v>
      </c>
      <c r="X447">
        <f t="shared" si="50"/>
        <v>2024</v>
      </c>
      <c r="Y447">
        <f t="shared" si="51"/>
        <v>-4</v>
      </c>
      <c r="Z447" s="7">
        <f t="shared" si="52"/>
        <v>0.2</v>
      </c>
      <c r="AA447">
        <f t="shared" si="53"/>
        <v>3377.9680000000003</v>
      </c>
      <c r="AB447">
        <f t="shared" si="54"/>
        <v>881.67999999999984</v>
      </c>
      <c r="AC447" t="str">
        <f t="shared" si="55"/>
        <v>Warning</v>
      </c>
    </row>
    <row r="448" spans="1:29">
      <c r="A448" t="s">
        <v>1380</v>
      </c>
      <c r="B448" s="4">
        <v>45918</v>
      </c>
      <c r="C448" s="4">
        <v>45919</v>
      </c>
      <c r="D448" t="s">
        <v>1381</v>
      </c>
      <c r="E448" t="str">
        <f>PROPER(TRIM([1]raw_orders!E448))</f>
        <v>Sneha Kapoor</v>
      </c>
      <c r="F448" t="str">
        <f>PROPER(TRIM([1]raw_orders!F448))</f>
        <v>Home Office</v>
      </c>
      <c r="G448" t="str">
        <f>IF('[1]Cleaned Text Field'!G448="","Unknown",'[1]Cleaned Text Field'!G448)</f>
        <v>South</v>
      </c>
      <c r="H448" t="str">
        <f>PROPER(TRIM([1]raw_orders!H448))</f>
        <v>Andhra Pradesh</v>
      </c>
      <c r="I448" t="str">
        <f>PROPER(TRIM([1]raw_orders!I448))</f>
        <v>Vijayawada</v>
      </c>
      <c r="J448" t="str">
        <f>PROPER(TRIM([1]raw_orders!J448))</f>
        <v>Office Supplies</v>
      </c>
      <c r="K448" t="str">
        <f>PROPER(TRIM([1]raw_orders!K448))</f>
        <v>Storage</v>
      </c>
      <c r="L448" t="s">
        <v>1382</v>
      </c>
      <c r="M448" t="str">
        <f>IF('[1]Cleaned Text Field'!M448="","Unknown",'[1]Cleaned Text Field'!M448)</f>
        <v>Same Day</v>
      </c>
      <c r="N448">
        <f>IF('[1]Cleaned Text Field'!N448="",0,'[1]Cleaned Text Field'!N448)</f>
        <v>8</v>
      </c>
      <c r="O448">
        <v>4242.51</v>
      </c>
      <c r="P448" s="5">
        <f>IF('[1]Cleaned Text Field'!P448="",0,'[1]Cleaned Text Field'!P448)</f>
        <v>0</v>
      </c>
      <c r="Q448">
        <v>33940.080000000002</v>
      </c>
      <c r="R448">
        <v>23754.19</v>
      </c>
      <c r="S448">
        <v>10185.89</v>
      </c>
      <c r="T448" t="str">
        <f>PROPER(TRIM([1]raw_orders!T448))</f>
        <v>Paid</v>
      </c>
      <c r="U448" t="str">
        <f>PROPER(TRIM([1]raw_orders!U448))</f>
        <v>Completed</v>
      </c>
      <c r="V448" s="6">
        <f t="shared" si="48"/>
        <v>0.30011390662603032</v>
      </c>
      <c r="W448" t="str">
        <f t="shared" si="49"/>
        <v>September</v>
      </c>
      <c r="X448">
        <f t="shared" si="50"/>
        <v>2025</v>
      </c>
      <c r="Y448">
        <f t="shared" si="51"/>
        <v>1</v>
      </c>
      <c r="Z448" s="7">
        <f t="shared" si="52"/>
        <v>0</v>
      </c>
      <c r="AA448">
        <f t="shared" si="53"/>
        <v>33940.080000000002</v>
      </c>
      <c r="AB448">
        <f t="shared" si="54"/>
        <v>10185.890000000003</v>
      </c>
      <c r="AC448" t="str">
        <f t="shared" si="55"/>
        <v>Clean</v>
      </c>
    </row>
    <row r="449" spans="1:29">
      <c r="A449" t="s">
        <v>1383</v>
      </c>
      <c r="B449" s="4">
        <v>45938</v>
      </c>
      <c r="C449" s="4">
        <v>45879</v>
      </c>
      <c r="D449" t="s">
        <v>1384</v>
      </c>
      <c r="E449" t="str">
        <f>PROPER(TRIM([1]raw_orders!E449))</f>
        <v>Rohan Mehta</v>
      </c>
      <c r="F449" t="str">
        <f>PROPER(TRIM([1]raw_orders!F449))</f>
        <v>Home Office</v>
      </c>
      <c r="G449" t="str">
        <f>IF('[1]Cleaned Text Field'!G449="","Unknown",'[1]Cleaned Text Field'!G449)</f>
        <v>South</v>
      </c>
      <c r="H449" t="str">
        <f>PROPER(TRIM([1]raw_orders!H449))</f>
        <v>Telangana</v>
      </c>
      <c r="I449" t="str">
        <f>PROPER(TRIM([1]raw_orders!I449))</f>
        <v>Hyderabad</v>
      </c>
      <c r="J449" t="str">
        <f>PROPER(TRIM([1]raw_orders!J449))</f>
        <v>Furniture</v>
      </c>
      <c r="K449" t="str">
        <f>PROPER(TRIM([1]raw_orders!K449))</f>
        <v>Bookcases</v>
      </c>
      <c r="L449" t="s">
        <v>1385</v>
      </c>
      <c r="M449" t="str">
        <f>IF('[1]Cleaned Text Field'!M449="","Unknown",'[1]Cleaned Text Field'!M449)</f>
        <v>Standard Class</v>
      </c>
      <c r="N449">
        <f>IF('[1]Cleaned Text Field'!N449="",0,'[1]Cleaned Text Field'!N449)</f>
        <v>6</v>
      </c>
      <c r="O449">
        <v>4288.7</v>
      </c>
      <c r="P449" s="5">
        <f>IF('[1]Cleaned Text Field'!P449="",0,'[1]Cleaned Text Field'!P449)</f>
        <v>0.15</v>
      </c>
      <c r="Q449">
        <v>21872.37</v>
      </c>
      <c r="R449">
        <v>13829.5</v>
      </c>
      <c r="S449">
        <v>8042.87</v>
      </c>
      <c r="T449" t="str">
        <f>PROPER(TRIM([1]raw_orders!T449))</f>
        <v>Pending</v>
      </c>
      <c r="U449" t="str">
        <f>PROPER(TRIM([1]raw_orders!U449))</f>
        <v>Returned</v>
      </c>
      <c r="V449" s="6">
        <f t="shared" si="48"/>
        <v>0.36771826738483304</v>
      </c>
      <c r="W449" t="str">
        <f t="shared" si="49"/>
        <v>October</v>
      </c>
      <c r="X449">
        <f t="shared" si="50"/>
        <v>2025</v>
      </c>
      <c r="Y449">
        <f t="shared" si="51"/>
        <v>-59</v>
      </c>
      <c r="Z449" s="7">
        <f t="shared" si="52"/>
        <v>0.15</v>
      </c>
      <c r="AA449">
        <f t="shared" si="53"/>
        <v>21872.369999999995</v>
      </c>
      <c r="AB449">
        <f t="shared" si="54"/>
        <v>8042.869999999999</v>
      </c>
      <c r="AC449" t="str">
        <f t="shared" si="55"/>
        <v>Warning</v>
      </c>
    </row>
    <row r="450" spans="1:29">
      <c r="A450" t="s">
        <v>1386</v>
      </c>
      <c r="B450" s="4">
        <v>45306</v>
      </c>
      <c r="C450" s="4">
        <v>45309</v>
      </c>
      <c r="D450" t="s">
        <v>1387</v>
      </c>
      <c r="E450" t="str">
        <f>PROPER(TRIM([1]raw_orders!E450))</f>
        <v>Mira Das</v>
      </c>
      <c r="F450" t="str">
        <f>PROPER(TRIM([1]raw_orders!F450))</f>
        <v>Small Business</v>
      </c>
      <c r="G450" t="str">
        <f>IF('[1]Cleaned Text Field'!G450="","Unknown",'[1]Cleaned Text Field'!G450)</f>
        <v>South</v>
      </c>
      <c r="H450" t="str">
        <f>PROPER(TRIM([1]raw_orders!H450))</f>
        <v>Andhra Pradesh</v>
      </c>
      <c r="I450" t="str">
        <f>PROPER(TRIM([1]raw_orders!I450))</f>
        <v>Vijayawada</v>
      </c>
      <c r="J450" t="str">
        <f>PROPER(TRIM([1]raw_orders!J450))</f>
        <v>Furniture</v>
      </c>
      <c r="K450" t="str">
        <f>PROPER(TRIM([1]raw_orders!K450))</f>
        <v>Chairs</v>
      </c>
      <c r="L450" t="s">
        <v>1388</v>
      </c>
      <c r="M450" t="str">
        <f>IF('[1]Cleaned Text Field'!M450="","Unknown",'[1]Cleaned Text Field'!M450)</f>
        <v>First Class</v>
      </c>
      <c r="N450">
        <f>IF('[1]Cleaned Text Field'!N450="",0,'[1]Cleaned Text Field'!N450)</f>
        <v>2</v>
      </c>
      <c r="O450">
        <v>201.21</v>
      </c>
      <c r="P450" s="5">
        <f>IF('[1]Cleaned Text Field'!P450="",0,'[1]Cleaned Text Field'!P450)</f>
        <v>0.15</v>
      </c>
      <c r="Q450">
        <v>342.06</v>
      </c>
      <c r="R450">
        <v>244.57</v>
      </c>
      <c r="S450">
        <v>97.49</v>
      </c>
      <c r="T450" t="str">
        <f>PROPER(TRIM([1]raw_orders!T450))</f>
        <v>Paid</v>
      </c>
      <c r="U450" t="str">
        <f>PROPER(TRIM([1]raw_orders!U450))</f>
        <v>Completed</v>
      </c>
      <c r="V450" s="6">
        <f t="shared" si="48"/>
        <v>0.28500847804478746</v>
      </c>
      <c r="W450" t="str">
        <f t="shared" si="49"/>
        <v>January</v>
      </c>
      <c r="X450">
        <f t="shared" si="50"/>
        <v>2024</v>
      </c>
      <c r="Y450">
        <f t="shared" si="51"/>
        <v>3</v>
      </c>
      <c r="Z450" s="7">
        <f t="shared" si="52"/>
        <v>0.15</v>
      </c>
      <c r="AA450">
        <f t="shared" si="53"/>
        <v>342.05700000000002</v>
      </c>
      <c r="AB450">
        <f t="shared" si="54"/>
        <v>97.490000000000009</v>
      </c>
      <c r="AC450" t="str">
        <f t="shared" si="55"/>
        <v>Clean</v>
      </c>
    </row>
    <row r="451" spans="1:29">
      <c r="A451" t="s">
        <v>1389</v>
      </c>
      <c r="B451" s="4">
        <v>45449</v>
      </c>
      <c r="C451" s="4">
        <v>45456</v>
      </c>
      <c r="D451" t="s">
        <v>1283</v>
      </c>
      <c r="E451" t="str">
        <f>PROPER(TRIM([1]raw_orders!E451))</f>
        <v>Aditi Sen</v>
      </c>
      <c r="F451" t="str">
        <f>PROPER(TRIM([1]raw_orders!F451))</f>
        <v>Corporate</v>
      </c>
      <c r="G451" t="str">
        <f>IF('[1]Cleaned Text Field'!G451="","Unknown",'[1]Cleaned Text Field'!G451)</f>
        <v>East</v>
      </c>
      <c r="H451" t="str">
        <f>PROPER(TRIM([1]raw_orders!H451))</f>
        <v>Assam</v>
      </c>
      <c r="I451" t="str">
        <f>PROPER(TRIM([1]raw_orders!I451))</f>
        <v>Guwahati</v>
      </c>
      <c r="J451" t="str">
        <f>PROPER(TRIM([1]raw_orders!J451))</f>
        <v>Technology</v>
      </c>
      <c r="K451" t="str">
        <f>PROPER(TRIM([1]raw_orders!K451))</f>
        <v>Machines</v>
      </c>
      <c r="L451" t="s">
        <v>1390</v>
      </c>
      <c r="M451" t="str">
        <f>IF('[1]Cleaned Text Field'!M451="","Unknown",'[1]Cleaned Text Field'!M451)</f>
        <v>Second Class</v>
      </c>
      <c r="N451">
        <f>IF('[1]Cleaned Text Field'!N451="",0,'[1]Cleaned Text Field'!N451)</f>
        <v>6</v>
      </c>
      <c r="O451">
        <v>3270.36</v>
      </c>
      <c r="P451" s="5">
        <f>IF('[1]Cleaned Text Field'!P451="",0,'[1]Cleaned Text Field'!P451)</f>
        <v>0</v>
      </c>
      <c r="Q451">
        <v>19622.16</v>
      </c>
      <c r="R451">
        <v>14271.27</v>
      </c>
      <c r="S451">
        <v>5350.89</v>
      </c>
      <c r="T451" t="str">
        <f>PROPER(TRIM([1]raw_orders!T451))</f>
        <v>Paid</v>
      </c>
      <c r="U451" t="str">
        <f>PROPER(TRIM([1]raw_orders!U451))</f>
        <v>Completed</v>
      </c>
      <c r="V451" s="6">
        <f t="shared" ref="V451:V514" si="56">IF(Q451=0,0,S451/Q451)</f>
        <v>0.27269627808559305</v>
      </c>
      <c r="W451" t="str">
        <f t="shared" ref="W451:W514" si="57">TEXT(B451,"mmmm")</f>
        <v>June</v>
      </c>
      <c r="X451">
        <f t="shared" ref="X451:X514" si="58">YEAR(B451)</f>
        <v>2024</v>
      </c>
      <c r="Y451">
        <f t="shared" ref="Y451:Y514" si="59">C451-B451</f>
        <v>7</v>
      </c>
      <c r="Z451" s="7">
        <f t="shared" ref="Z451:Z514" si="60">P451</f>
        <v>0</v>
      </c>
      <c r="AA451">
        <f t="shared" ref="AA451:AA514" si="61">N451*O451*(1-P451)</f>
        <v>19622.16</v>
      </c>
      <c r="AB451">
        <f t="shared" ref="AB451:AB514" si="62">Q451-R451</f>
        <v>5350.8899999999994</v>
      </c>
      <c r="AC451" t="str">
        <f t="shared" ref="AC451:AC514" si="63">IF(OR(B451="",C451="",AA451&lt;=0),"Invalid",IF(Y451&lt;0,"Warning",IF(Z451&gt;100%,"Warning","Clean")))</f>
        <v>Clean</v>
      </c>
    </row>
    <row r="452" spans="1:29">
      <c r="A452" t="s">
        <v>1391</v>
      </c>
      <c r="B452" s="4">
        <v>45820</v>
      </c>
      <c r="C452" s="4">
        <v>45827</v>
      </c>
      <c r="D452" t="s">
        <v>1392</v>
      </c>
      <c r="E452" t="str">
        <f>PROPER(TRIM([1]raw_orders!E452))</f>
        <v>Ananya Rao</v>
      </c>
      <c r="F452" t="str">
        <f>PROPER(TRIM([1]raw_orders!F452))</f>
        <v>Corporate</v>
      </c>
      <c r="G452" t="str">
        <f>IF('[1]Cleaned Text Field'!G452="","Unknown",'[1]Cleaned Text Field'!G452)</f>
        <v>North</v>
      </c>
      <c r="H452" t="str">
        <f>PROPER(TRIM([1]raw_orders!H452))</f>
        <v>Delhi</v>
      </c>
      <c r="I452" t="str">
        <f>PROPER(TRIM([1]raw_orders!I452))</f>
        <v>New Delhi</v>
      </c>
      <c r="J452" t="str">
        <f>PROPER(TRIM([1]raw_orders!J452))</f>
        <v>Furniture</v>
      </c>
      <c r="K452" t="str">
        <f>PROPER(TRIM([1]raw_orders!K452))</f>
        <v>Chairs</v>
      </c>
      <c r="L452" t="s">
        <v>1393</v>
      </c>
      <c r="M452" t="str">
        <f>IF('[1]Cleaned Text Field'!M452="","Unknown",'[1]Cleaned Text Field'!M452)</f>
        <v>Standard Class</v>
      </c>
      <c r="N452">
        <f>IF('[1]Cleaned Text Field'!N452="",0,'[1]Cleaned Text Field'!N452)</f>
        <v>9</v>
      </c>
      <c r="O452">
        <v>2278.5700000000002</v>
      </c>
      <c r="P452" s="5">
        <f>IF('[1]Cleaned Text Field'!P452="",0,'[1]Cleaned Text Field'!P452)</f>
        <v>0.25</v>
      </c>
      <c r="Q452">
        <v>15380.35</v>
      </c>
      <c r="R452">
        <v>9907.3700000000008</v>
      </c>
      <c r="S452">
        <v>5472.98</v>
      </c>
      <c r="T452" t="str">
        <f>PROPER(TRIM([1]raw_orders!T452))</f>
        <v>Paid</v>
      </c>
      <c r="U452" t="str">
        <f>PROPER(TRIM([1]raw_orders!U452))</f>
        <v>Completed</v>
      </c>
      <c r="V452" s="6">
        <f t="shared" si="56"/>
        <v>0.35584235729355962</v>
      </c>
      <c r="W452" t="str">
        <f t="shared" si="57"/>
        <v>June</v>
      </c>
      <c r="X452">
        <f t="shared" si="58"/>
        <v>2025</v>
      </c>
      <c r="Y452">
        <f t="shared" si="59"/>
        <v>7</v>
      </c>
      <c r="Z452" s="7">
        <f t="shared" si="60"/>
        <v>0.25</v>
      </c>
      <c r="AA452">
        <f t="shared" si="61"/>
        <v>15380.3475</v>
      </c>
      <c r="AB452">
        <f t="shared" si="62"/>
        <v>5472.98</v>
      </c>
      <c r="AC452" t="str">
        <f t="shared" si="63"/>
        <v>Clean</v>
      </c>
    </row>
    <row r="453" spans="1:29">
      <c r="A453" t="s">
        <v>1394</v>
      </c>
      <c r="B453" s="4">
        <v>45375</v>
      </c>
      <c r="C453" s="4">
        <v>45377</v>
      </c>
      <c r="D453" t="s">
        <v>1395</v>
      </c>
      <c r="E453" t="str">
        <f>PROPER(TRIM([1]raw_orders!E453))</f>
        <v>Rohan Mehta</v>
      </c>
      <c r="F453" t="str">
        <f>PROPER(TRIM([1]raw_orders!F453))</f>
        <v>Small Business</v>
      </c>
      <c r="G453" t="str">
        <f>IF('[1]Cleaned Text Field'!G453="","Unknown",'[1]Cleaned Text Field'!G453)</f>
        <v>North</v>
      </c>
      <c r="H453" t="str">
        <f>PROPER(TRIM([1]raw_orders!H453))</f>
        <v>Haryana</v>
      </c>
      <c r="I453" t="str">
        <f>PROPER(TRIM([1]raw_orders!I453))</f>
        <v>Gurugram</v>
      </c>
      <c r="J453" t="str">
        <f>PROPER(TRIM([1]raw_orders!J453))</f>
        <v>Office Supplies</v>
      </c>
      <c r="K453" t="str">
        <f>PROPER(TRIM([1]raw_orders!K453))</f>
        <v>Paper</v>
      </c>
      <c r="L453" t="s">
        <v>1396</v>
      </c>
      <c r="M453" t="str">
        <f>IF('[1]Cleaned Text Field'!M453="","Unknown",'[1]Cleaned Text Field'!M453)</f>
        <v>Second Class</v>
      </c>
      <c r="N453">
        <f>IF('[1]Cleaned Text Field'!N453="",0,'[1]Cleaned Text Field'!N453)</f>
        <v>8</v>
      </c>
      <c r="O453">
        <v>1917.64</v>
      </c>
      <c r="P453" s="5">
        <f>IF('[1]Cleaned Text Field'!P453="",0,'[1]Cleaned Text Field'!P453)</f>
        <v>0.15</v>
      </c>
      <c r="Q453">
        <v>13039.95</v>
      </c>
      <c r="R453">
        <v>11127.82</v>
      </c>
      <c r="S453">
        <v>1912.13</v>
      </c>
      <c r="T453" t="str">
        <f>PROPER(TRIM([1]raw_orders!T453))</f>
        <v>Paid</v>
      </c>
      <c r="U453" t="str">
        <f>PROPER(TRIM([1]raw_orders!U453))</f>
        <v>Cancelled</v>
      </c>
      <c r="V453" s="6">
        <f t="shared" si="56"/>
        <v>0.14663629845206461</v>
      </c>
      <c r="W453" t="str">
        <f t="shared" si="57"/>
        <v>March</v>
      </c>
      <c r="X453">
        <f t="shared" si="58"/>
        <v>2024</v>
      </c>
      <c r="Y453">
        <f t="shared" si="59"/>
        <v>2</v>
      </c>
      <c r="Z453" s="7">
        <f t="shared" si="60"/>
        <v>0.15</v>
      </c>
      <c r="AA453">
        <f t="shared" si="61"/>
        <v>13039.952000000001</v>
      </c>
      <c r="AB453">
        <f t="shared" si="62"/>
        <v>1912.130000000001</v>
      </c>
      <c r="AC453" t="str">
        <f t="shared" si="63"/>
        <v>Clean</v>
      </c>
    </row>
    <row r="454" spans="1:29">
      <c r="A454" t="s">
        <v>1397</v>
      </c>
      <c r="B454" s="4">
        <v>45570</v>
      </c>
      <c r="C454" s="4">
        <v>45428</v>
      </c>
      <c r="D454" t="s">
        <v>1398</v>
      </c>
      <c r="E454" t="str">
        <f>PROPER(TRIM([1]raw_orders!E454))</f>
        <v>Diya Patel</v>
      </c>
      <c r="F454" t="str">
        <f>PROPER(TRIM([1]raw_orders!F454))</f>
        <v>Home Office</v>
      </c>
      <c r="G454" t="str">
        <f>IF('[1]Cleaned Text Field'!G454="","Unknown",'[1]Cleaned Text Field'!G454)</f>
        <v>East</v>
      </c>
      <c r="H454" t="str">
        <f>PROPER(TRIM([1]raw_orders!H454))</f>
        <v>Jharkhand</v>
      </c>
      <c r="I454" t="str">
        <f>PROPER(TRIM([1]raw_orders!I454))</f>
        <v>Ranchi</v>
      </c>
      <c r="J454" t="str">
        <f>PROPER(TRIM([1]raw_orders!J454))</f>
        <v>Technology</v>
      </c>
      <c r="K454" t="str">
        <f>PROPER(TRIM([1]raw_orders!K454))</f>
        <v>Accessories</v>
      </c>
      <c r="L454" t="s">
        <v>1399</v>
      </c>
      <c r="M454" t="str">
        <f>IF('[1]Cleaned Text Field'!M454="","Unknown",'[1]Cleaned Text Field'!M454)</f>
        <v>Second Class</v>
      </c>
      <c r="N454">
        <f>IF('[1]Cleaned Text Field'!N454="",0,'[1]Cleaned Text Field'!N454)</f>
        <v>6</v>
      </c>
      <c r="O454">
        <v>2013.33</v>
      </c>
      <c r="P454" s="5">
        <f>IF('[1]Cleaned Text Field'!P454="",0,'[1]Cleaned Text Field'!P454)</f>
        <v>0.2</v>
      </c>
      <c r="Q454">
        <v>9663.98</v>
      </c>
      <c r="R454">
        <v>5628.93</v>
      </c>
      <c r="S454">
        <v>4035.05</v>
      </c>
      <c r="T454" t="str">
        <f>PROPER(TRIM([1]raw_orders!T454))</f>
        <v>Paid</v>
      </c>
      <c r="U454" t="str">
        <f>PROPER(TRIM([1]raw_orders!U454))</f>
        <v>Completed</v>
      </c>
      <c r="V454" s="6">
        <f t="shared" si="56"/>
        <v>0.41753501145490785</v>
      </c>
      <c r="W454" t="str">
        <f t="shared" si="57"/>
        <v>October</v>
      </c>
      <c r="X454">
        <f t="shared" si="58"/>
        <v>2024</v>
      </c>
      <c r="Y454">
        <f t="shared" si="59"/>
        <v>-142</v>
      </c>
      <c r="Z454" s="7">
        <f t="shared" si="60"/>
        <v>0.2</v>
      </c>
      <c r="AA454">
        <f t="shared" si="61"/>
        <v>9663.9840000000004</v>
      </c>
      <c r="AB454">
        <f t="shared" si="62"/>
        <v>4035.0499999999993</v>
      </c>
      <c r="AC454" t="str">
        <f t="shared" si="63"/>
        <v>Warning</v>
      </c>
    </row>
    <row r="455" spans="1:29">
      <c r="A455" t="s">
        <v>1400</v>
      </c>
      <c r="B455" s="4">
        <v>45780</v>
      </c>
      <c r="C455" s="4">
        <v>45788</v>
      </c>
      <c r="D455" t="s">
        <v>1401</v>
      </c>
      <c r="E455" t="str">
        <f>PROPER(TRIM([1]raw_orders!E455))</f>
        <v>Rohan Mehta</v>
      </c>
      <c r="F455" t="str">
        <f>PROPER(TRIM([1]raw_orders!F455))</f>
        <v>Small Business</v>
      </c>
      <c r="G455" t="str">
        <f>IF('[1]Cleaned Text Field'!G455="","Unknown",'[1]Cleaned Text Field'!G455)</f>
        <v>West</v>
      </c>
      <c r="H455" t="str">
        <f>PROPER(TRIM([1]raw_orders!H455))</f>
        <v>Madhya Pradesh</v>
      </c>
      <c r="I455" t="str">
        <f>PROPER(TRIM([1]raw_orders!I455))</f>
        <v>Indore</v>
      </c>
      <c r="J455" t="str">
        <f>PROPER(TRIM([1]raw_orders!J455))</f>
        <v>Office Supplies</v>
      </c>
      <c r="K455" t="str">
        <f>PROPER(TRIM([1]raw_orders!K455))</f>
        <v>Labels</v>
      </c>
      <c r="L455" t="s">
        <v>1402</v>
      </c>
      <c r="M455" t="str">
        <f>IF('[1]Cleaned Text Field'!M455="","Unknown",'[1]Cleaned Text Field'!M455)</f>
        <v>Same Day</v>
      </c>
      <c r="N455">
        <f>IF('[1]Cleaned Text Field'!N455="",0,'[1]Cleaned Text Field'!N455)</f>
        <v>5</v>
      </c>
      <c r="O455">
        <v>1483.52</v>
      </c>
      <c r="P455" s="5">
        <f>IF('[1]Cleaned Text Field'!P455="",0,'[1]Cleaned Text Field'!P455)</f>
        <v>0</v>
      </c>
      <c r="Q455">
        <v>7417.6</v>
      </c>
      <c r="R455">
        <v>4955.8599999999997</v>
      </c>
      <c r="S455">
        <v>2461.7399999999998</v>
      </c>
      <c r="T455" t="str">
        <f>PROPER(TRIM([1]raw_orders!T455))</f>
        <v>Paid</v>
      </c>
      <c r="U455" t="str">
        <f>PROPER(TRIM([1]raw_orders!U455))</f>
        <v>Completed</v>
      </c>
      <c r="V455" s="6">
        <f t="shared" si="56"/>
        <v>0.33187823554788604</v>
      </c>
      <c r="W455" t="str">
        <f t="shared" si="57"/>
        <v>May</v>
      </c>
      <c r="X455">
        <f t="shared" si="58"/>
        <v>2025</v>
      </c>
      <c r="Y455">
        <f t="shared" si="59"/>
        <v>8</v>
      </c>
      <c r="Z455" s="7">
        <f t="shared" si="60"/>
        <v>0</v>
      </c>
      <c r="AA455">
        <f t="shared" si="61"/>
        <v>7417.6</v>
      </c>
      <c r="AB455">
        <f t="shared" si="62"/>
        <v>2461.7400000000007</v>
      </c>
      <c r="AC455" t="str">
        <f t="shared" si="63"/>
        <v>Clean</v>
      </c>
    </row>
    <row r="456" spans="1:29">
      <c r="A456" t="s">
        <v>1403</v>
      </c>
      <c r="B456" s="4">
        <v>45739</v>
      </c>
      <c r="C456" s="4">
        <v>45744</v>
      </c>
      <c r="D456" t="s">
        <v>1404</v>
      </c>
      <c r="E456" t="str">
        <f>PROPER(TRIM([1]raw_orders!E456))</f>
        <v>Vikram Iyer</v>
      </c>
      <c r="F456" t="str">
        <f>PROPER(TRIM([1]raw_orders!F456))</f>
        <v>Small Business</v>
      </c>
      <c r="G456" t="str">
        <f>IF('[1]Cleaned Text Field'!G456="","Unknown",'[1]Cleaned Text Field'!G456)</f>
        <v>North</v>
      </c>
      <c r="H456" t="str">
        <f>PROPER(TRIM([1]raw_orders!H456))</f>
        <v>Rajasthan</v>
      </c>
      <c r="I456" t="str">
        <f>PROPER(TRIM([1]raw_orders!I456))</f>
        <v>Jaipur</v>
      </c>
      <c r="J456" t="str">
        <f>PROPER(TRIM([1]raw_orders!J456))</f>
        <v>Furniture</v>
      </c>
      <c r="K456" t="str">
        <f>PROPER(TRIM([1]raw_orders!K456))</f>
        <v>Furnishings</v>
      </c>
      <c r="L456" t="s">
        <v>1405</v>
      </c>
      <c r="M456" t="str">
        <f>IF('[1]Cleaned Text Field'!M456="","Unknown",'[1]Cleaned Text Field'!M456)</f>
        <v>Standard Class</v>
      </c>
      <c r="N456">
        <f>IF('[1]Cleaned Text Field'!N456="",0,'[1]Cleaned Text Field'!N456)</f>
        <v>9</v>
      </c>
      <c r="O456">
        <v>3298</v>
      </c>
      <c r="P456" s="5">
        <f>IF('[1]Cleaned Text Field'!P456="",0,'[1]Cleaned Text Field'!P456)</f>
        <v>0.15</v>
      </c>
      <c r="Q456">
        <v>25229.7</v>
      </c>
      <c r="R456">
        <v>20170.43</v>
      </c>
      <c r="S456">
        <v>5059.2700000000004</v>
      </c>
      <c r="T456" t="str">
        <f>PROPER(TRIM([1]raw_orders!T456))</f>
        <v>Paid</v>
      </c>
      <c r="U456" t="str">
        <f>PROPER(TRIM([1]raw_orders!U456))</f>
        <v>Completed</v>
      </c>
      <c r="V456" s="6">
        <f t="shared" si="56"/>
        <v>0.20052834556098567</v>
      </c>
      <c r="W456" t="str">
        <f t="shared" si="57"/>
        <v>March</v>
      </c>
      <c r="X456">
        <f t="shared" si="58"/>
        <v>2025</v>
      </c>
      <c r="Y456">
        <f t="shared" si="59"/>
        <v>5</v>
      </c>
      <c r="Z456" s="7">
        <f t="shared" si="60"/>
        <v>0.15</v>
      </c>
      <c r="AA456">
        <f t="shared" si="61"/>
        <v>25229.7</v>
      </c>
      <c r="AB456">
        <f t="shared" si="62"/>
        <v>5059.2700000000004</v>
      </c>
      <c r="AC456" t="str">
        <f t="shared" si="63"/>
        <v>Clean</v>
      </c>
    </row>
    <row r="457" spans="1:29">
      <c r="A457" t="s">
        <v>1406</v>
      </c>
      <c r="B457" s="4">
        <v>45491</v>
      </c>
      <c r="C457" s="4">
        <v>45495</v>
      </c>
      <c r="D457" t="s">
        <v>1407</v>
      </c>
      <c r="E457" t="str">
        <f>PROPER(TRIM([1]raw_orders!E457))</f>
        <v>Neha Gupta</v>
      </c>
      <c r="F457" t="str">
        <f>PROPER(TRIM([1]raw_orders!F457))</f>
        <v>Small Business</v>
      </c>
      <c r="G457" t="str">
        <f>IF('[1]Cleaned Text Field'!G457="","Unknown",'[1]Cleaned Text Field'!G457)</f>
        <v>South</v>
      </c>
      <c r="H457" t="str">
        <f>PROPER(TRIM([1]raw_orders!H457))</f>
        <v>Telangana</v>
      </c>
      <c r="I457" t="str">
        <f>PROPER(TRIM([1]raw_orders!I457))</f>
        <v>Hyderabad</v>
      </c>
      <c r="J457" t="str">
        <f>PROPER(TRIM([1]raw_orders!J457))</f>
        <v>Office Supplies</v>
      </c>
      <c r="K457" t="str">
        <f>PROPER(TRIM([1]raw_orders!K457))</f>
        <v>Art</v>
      </c>
      <c r="L457" t="s">
        <v>1408</v>
      </c>
      <c r="M457" t="str">
        <f>IF('[1]Cleaned Text Field'!M457="","Unknown",'[1]Cleaned Text Field'!M457)</f>
        <v>Standard Class</v>
      </c>
      <c r="N457">
        <f>IF('[1]Cleaned Text Field'!N457="",0,'[1]Cleaned Text Field'!N457)</f>
        <v>4</v>
      </c>
      <c r="O457">
        <v>808.77</v>
      </c>
      <c r="P457" s="5">
        <f>IF('[1]Cleaned Text Field'!P457="",0,'[1]Cleaned Text Field'!P457)</f>
        <v>0</v>
      </c>
      <c r="Q457">
        <v>3235.08</v>
      </c>
      <c r="R457">
        <v>1848.6</v>
      </c>
      <c r="S457">
        <v>1386.48</v>
      </c>
      <c r="T457" t="str">
        <f>PROPER(TRIM([1]raw_orders!T457))</f>
        <v>Paid</v>
      </c>
      <c r="U457" t="str">
        <f>PROPER(TRIM([1]raw_orders!U457))</f>
        <v>Completed</v>
      </c>
      <c r="V457" s="6">
        <f t="shared" si="56"/>
        <v>0.42857672762342819</v>
      </c>
      <c r="W457" t="str">
        <f t="shared" si="57"/>
        <v>July</v>
      </c>
      <c r="X457">
        <f t="shared" si="58"/>
        <v>2024</v>
      </c>
      <c r="Y457">
        <f t="shared" si="59"/>
        <v>4</v>
      </c>
      <c r="Z457" s="7">
        <f t="shared" si="60"/>
        <v>0</v>
      </c>
      <c r="AA457">
        <f t="shared" si="61"/>
        <v>3235.08</v>
      </c>
      <c r="AB457">
        <f t="shared" si="62"/>
        <v>1386.48</v>
      </c>
      <c r="AC457" t="str">
        <f t="shared" si="63"/>
        <v>Clean</v>
      </c>
    </row>
    <row r="458" spans="1:29">
      <c r="A458" t="s">
        <v>1409</v>
      </c>
      <c r="B458" s="4">
        <v>45342</v>
      </c>
      <c r="C458" s="4">
        <v>45342</v>
      </c>
      <c r="D458" t="s">
        <v>1410</v>
      </c>
      <c r="E458" t="str">
        <f>PROPER(TRIM([1]raw_orders!E458))</f>
        <v>Neha Gupta</v>
      </c>
      <c r="F458" t="str">
        <f>PROPER(TRIM([1]raw_orders!F458))</f>
        <v>Corporate</v>
      </c>
      <c r="G458" t="str">
        <f>IF('[1]Cleaned Text Field'!G458="","Unknown",'[1]Cleaned Text Field'!G458)</f>
        <v>North</v>
      </c>
      <c r="H458" t="str">
        <f>PROPER(TRIM([1]raw_orders!H458))</f>
        <v>Uttar Pradesh</v>
      </c>
      <c r="I458" t="str">
        <f>PROPER(TRIM([1]raw_orders!I458))</f>
        <v>Noida</v>
      </c>
      <c r="J458" t="str">
        <f>PROPER(TRIM([1]raw_orders!J458))</f>
        <v>Technology</v>
      </c>
      <c r="K458" t="str">
        <f>PROPER(TRIM([1]raw_orders!K458))</f>
        <v>Accessories</v>
      </c>
      <c r="L458" t="s">
        <v>1411</v>
      </c>
      <c r="M458" t="str">
        <f>IF('[1]Cleaned Text Field'!M458="","Unknown",'[1]Cleaned Text Field'!M458)</f>
        <v>Same Day</v>
      </c>
      <c r="N458">
        <f>IF('[1]Cleaned Text Field'!N458="",0,'[1]Cleaned Text Field'!N458)</f>
        <v>5</v>
      </c>
      <c r="O458">
        <v>2604.91</v>
      </c>
      <c r="P458" s="5">
        <f>IF('[1]Cleaned Text Field'!P458="",0,'[1]Cleaned Text Field'!P458)</f>
        <v>0.15</v>
      </c>
      <c r="Q458">
        <v>11070.87</v>
      </c>
      <c r="R458">
        <v>6623.61</v>
      </c>
      <c r="S458">
        <v>4447.26</v>
      </c>
      <c r="T458" t="str">
        <f>PROPER(TRIM([1]raw_orders!T458))</f>
        <v>Paid</v>
      </c>
      <c r="U458" t="str">
        <f>PROPER(TRIM([1]raw_orders!U458))</f>
        <v>Returned</v>
      </c>
      <c r="V458" s="6">
        <f t="shared" si="56"/>
        <v>0.40170826682997812</v>
      </c>
      <c r="W458" t="str">
        <f t="shared" si="57"/>
        <v>February</v>
      </c>
      <c r="X458">
        <f t="shared" si="58"/>
        <v>2024</v>
      </c>
      <c r="Y458">
        <f t="shared" si="59"/>
        <v>0</v>
      </c>
      <c r="Z458" s="7">
        <f t="shared" si="60"/>
        <v>0.15</v>
      </c>
      <c r="AA458">
        <f t="shared" si="61"/>
        <v>11070.867499999998</v>
      </c>
      <c r="AB458">
        <f t="shared" si="62"/>
        <v>4447.2600000000011</v>
      </c>
      <c r="AC458" t="str">
        <f t="shared" si="63"/>
        <v>Clean</v>
      </c>
    </row>
    <row r="459" spans="1:29">
      <c r="A459" t="s">
        <v>1412</v>
      </c>
      <c r="B459" s="4">
        <v>45416</v>
      </c>
      <c r="C459" s="4">
        <v>45416</v>
      </c>
      <c r="D459" t="s">
        <v>1413</v>
      </c>
      <c r="E459" t="str">
        <f>PROPER(TRIM([1]raw_orders!E459))</f>
        <v>Mira Das</v>
      </c>
      <c r="F459" t="str">
        <f>PROPER(TRIM([1]raw_orders!F459))</f>
        <v>Small Business</v>
      </c>
      <c r="G459" t="str">
        <f>IF('[1]Cleaned Text Field'!G459="","Unknown",'[1]Cleaned Text Field'!G459)</f>
        <v>West</v>
      </c>
      <c r="H459" t="str">
        <f>PROPER(TRIM([1]raw_orders!H459))</f>
        <v>Goa</v>
      </c>
      <c r="I459" t="str">
        <f>PROPER(TRIM([1]raw_orders!I459))</f>
        <v>Panaji</v>
      </c>
      <c r="J459" t="str">
        <f>PROPER(TRIM([1]raw_orders!J459))</f>
        <v>Furniture</v>
      </c>
      <c r="K459" t="str">
        <f>PROPER(TRIM([1]raw_orders!K459))</f>
        <v>Tables</v>
      </c>
      <c r="L459" t="s">
        <v>1414</v>
      </c>
      <c r="M459" t="str">
        <f>IF('[1]Cleaned Text Field'!M459="","Unknown",'[1]Cleaned Text Field'!M459)</f>
        <v>Standard Class</v>
      </c>
      <c r="N459">
        <f>IF('[1]Cleaned Text Field'!N459="",0,'[1]Cleaned Text Field'!N459)</f>
        <v>7</v>
      </c>
      <c r="O459">
        <v>2851.51</v>
      </c>
      <c r="P459" s="5">
        <f>IF('[1]Cleaned Text Field'!P459="",0,'[1]Cleaned Text Field'!P459)</f>
        <v>0</v>
      </c>
      <c r="Q459">
        <v>19960.57</v>
      </c>
      <c r="R459">
        <v>16603.599999999999</v>
      </c>
      <c r="S459">
        <v>3356.97</v>
      </c>
      <c r="T459" t="str">
        <f>PROPER(TRIM([1]raw_orders!T459))</f>
        <v>Paid</v>
      </c>
      <c r="U459" t="str">
        <f>PROPER(TRIM([1]raw_orders!U459))</f>
        <v>Completed</v>
      </c>
      <c r="V459" s="6">
        <f t="shared" si="56"/>
        <v>0.16818006700209462</v>
      </c>
      <c r="W459" t="str">
        <f t="shared" si="57"/>
        <v>May</v>
      </c>
      <c r="X459">
        <f t="shared" si="58"/>
        <v>2024</v>
      </c>
      <c r="Y459">
        <f t="shared" si="59"/>
        <v>0</v>
      </c>
      <c r="Z459" s="7">
        <f t="shared" si="60"/>
        <v>0</v>
      </c>
      <c r="AA459">
        <f t="shared" si="61"/>
        <v>19960.57</v>
      </c>
      <c r="AB459">
        <f t="shared" si="62"/>
        <v>3356.9700000000012</v>
      </c>
      <c r="AC459" t="str">
        <f t="shared" si="63"/>
        <v>Clean</v>
      </c>
    </row>
    <row r="460" spans="1:29">
      <c r="A460" t="s">
        <v>1415</v>
      </c>
      <c r="B460" s="4">
        <v>45332</v>
      </c>
      <c r="C460" s="4">
        <v>45333</v>
      </c>
      <c r="D460" t="s">
        <v>1416</v>
      </c>
      <c r="E460" t="str">
        <f>PROPER(TRIM([1]raw_orders!E460))</f>
        <v>Karan Malhotra</v>
      </c>
      <c r="F460" t="str">
        <f>PROPER(TRIM([1]raw_orders!F460))</f>
        <v>Corporate</v>
      </c>
      <c r="G460" t="str">
        <f>IF('[1]Cleaned Text Field'!G460="","Unknown",'[1]Cleaned Text Field'!G460)</f>
        <v>North</v>
      </c>
      <c r="H460" t="str">
        <f>PROPER(TRIM([1]raw_orders!H460))</f>
        <v>Rajasthan</v>
      </c>
      <c r="I460" t="str">
        <f>PROPER(TRIM([1]raw_orders!I460))</f>
        <v>Jaipur</v>
      </c>
      <c r="J460" t="str">
        <f>PROPER(TRIM([1]raw_orders!J460))</f>
        <v>Technology</v>
      </c>
      <c r="K460" t="str">
        <f>PROPER(TRIM([1]raw_orders!K460))</f>
        <v>Phones</v>
      </c>
      <c r="L460" t="s">
        <v>1417</v>
      </c>
      <c r="M460" t="str">
        <f>IF('[1]Cleaned Text Field'!M460="","Unknown",'[1]Cleaned Text Field'!M460)</f>
        <v>Second Class</v>
      </c>
      <c r="N460">
        <f>IF('[1]Cleaned Text Field'!N460="",0,'[1]Cleaned Text Field'!N460)</f>
        <v>3</v>
      </c>
      <c r="O460">
        <v>3183.72</v>
      </c>
      <c r="P460" s="5">
        <f>IF('[1]Cleaned Text Field'!P460="",0,'[1]Cleaned Text Field'!P460)</f>
        <v>0.1</v>
      </c>
      <c r="Q460">
        <v>8596.0400000000009</v>
      </c>
      <c r="R460">
        <v>5378.16</v>
      </c>
      <c r="S460">
        <v>3217.88</v>
      </c>
      <c r="T460" t="str">
        <f>PROPER(TRIM([1]raw_orders!T460))</f>
        <v>Paid</v>
      </c>
      <c r="U460" t="str">
        <f>PROPER(TRIM([1]raw_orders!U460))</f>
        <v>Completed</v>
      </c>
      <c r="V460" s="6">
        <f t="shared" si="56"/>
        <v>0.37434446559113266</v>
      </c>
      <c r="W460" t="str">
        <f t="shared" si="57"/>
        <v>February</v>
      </c>
      <c r="X460">
        <f t="shared" si="58"/>
        <v>2024</v>
      </c>
      <c r="Y460">
        <f t="shared" si="59"/>
        <v>1</v>
      </c>
      <c r="Z460" s="7">
        <f t="shared" si="60"/>
        <v>0.1</v>
      </c>
      <c r="AA460">
        <f t="shared" si="61"/>
        <v>8596.0439999999999</v>
      </c>
      <c r="AB460">
        <f t="shared" si="62"/>
        <v>3217.880000000001</v>
      </c>
      <c r="AC460" t="str">
        <f t="shared" si="63"/>
        <v>Clean</v>
      </c>
    </row>
    <row r="461" spans="1:29">
      <c r="A461" t="s">
        <v>1418</v>
      </c>
      <c r="B461" s="4">
        <v>45379</v>
      </c>
      <c r="C461" s="4">
        <v>45386</v>
      </c>
      <c r="D461" t="s">
        <v>1419</v>
      </c>
      <c r="E461" t="str">
        <f>PROPER(TRIM([1]raw_orders!E461))</f>
        <v>Ananya Rao</v>
      </c>
      <c r="F461" t="str">
        <f>PROPER(TRIM([1]raw_orders!F461))</f>
        <v>Home Office</v>
      </c>
      <c r="G461" t="str">
        <f>IF('[1]Cleaned Text Field'!G461="","Unknown",'[1]Cleaned Text Field'!G461)</f>
        <v>West</v>
      </c>
      <c r="H461" t="str">
        <f>PROPER(TRIM([1]raw_orders!H461))</f>
        <v>Goa</v>
      </c>
      <c r="I461" t="str">
        <f>PROPER(TRIM([1]raw_orders!I461))</f>
        <v>Panaji</v>
      </c>
      <c r="J461" t="str">
        <f>PROPER(TRIM([1]raw_orders!J461))</f>
        <v>Office Supplies</v>
      </c>
      <c r="K461" t="str">
        <f>PROPER(TRIM([1]raw_orders!K461))</f>
        <v>Paper</v>
      </c>
      <c r="L461" t="s">
        <v>1420</v>
      </c>
      <c r="M461" t="str">
        <f>IF('[1]Cleaned Text Field'!M461="","Unknown",'[1]Cleaned Text Field'!M461)</f>
        <v>First Class</v>
      </c>
      <c r="N461">
        <f>IF('[1]Cleaned Text Field'!N461="",0,'[1]Cleaned Text Field'!N461)</f>
        <v>3</v>
      </c>
      <c r="O461">
        <v>1150.92</v>
      </c>
      <c r="P461" s="5">
        <f>IF('[1]Cleaned Text Field'!P461="",0,'[1]Cleaned Text Field'!P461)</f>
        <v>0</v>
      </c>
      <c r="Q461">
        <v>3452.76</v>
      </c>
      <c r="R461">
        <v>2077.96</v>
      </c>
      <c r="S461">
        <v>1374.8</v>
      </c>
      <c r="T461" t="str">
        <f>PROPER(TRIM([1]raw_orders!T461))</f>
        <v>Paid</v>
      </c>
      <c r="U461" t="str">
        <f>PROPER(TRIM([1]raw_orders!U461))</f>
        <v>Completed</v>
      </c>
      <c r="V461" s="6">
        <f t="shared" si="56"/>
        <v>0.39817421425178695</v>
      </c>
      <c r="W461" t="str">
        <f t="shared" si="57"/>
        <v>March</v>
      </c>
      <c r="X461">
        <f t="shared" si="58"/>
        <v>2024</v>
      </c>
      <c r="Y461">
        <f t="shared" si="59"/>
        <v>7</v>
      </c>
      <c r="Z461" s="7">
        <f t="shared" si="60"/>
        <v>0</v>
      </c>
      <c r="AA461">
        <f t="shared" si="61"/>
        <v>3452.76</v>
      </c>
      <c r="AB461">
        <f t="shared" si="62"/>
        <v>1374.8000000000002</v>
      </c>
      <c r="AC461" t="str">
        <f t="shared" si="63"/>
        <v>Clean</v>
      </c>
    </row>
    <row r="462" spans="1:29">
      <c r="A462" t="s">
        <v>1421</v>
      </c>
      <c r="B462" s="4">
        <v>45930</v>
      </c>
      <c r="C462" s="4">
        <v>45936</v>
      </c>
      <c r="D462" t="s">
        <v>1422</v>
      </c>
      <c r="E462" t="str">
        <f>PROPER(TRIM([1]raw_orders!E462))</f>
        <v>Aarav Sharma</v>
      </c>
      <c r="F462" t="str">
        <f>PROPER(TRIM([1]raw_orders!F462))</f>
        <v>Corporate</v>
      </c>
      <c r="G462" t="str">
        <f>IF('[1]Cleaned Text Field'!G462="","Unknown",'[1]Cleaned Text Field'!G462)</f>
        <v>Unknown</v>
      </c>
      <c r="H462" t="str">
        <f>PROPER(TRIM([1]raw_orders!H462))</f>
        <v>Rajasthan</v>
      </c>
      <c r="I462" t="str">
        <f>PROPER(TRIM([1]raw_orders!I462))</f>
        <v>Jaipur</v>
      </c>
      <c r="J462" t="str">
        <f>PROPER(TRIM([1]raw_orders!J462))</f>
        <v>Technology</v>
      </c>
      <c r="K462" t="str">
        <f>PROPER(TRIM([1]raw_orders!K462))</f>
        <v>Copiers</v>
      </c>
      <c r="L462" t="s">
        <v>1423</v>
      </c>
      <c r="M462" t="str">
        <f>IF('[1]Cleaned Text Field'!M462="","Unknown",'[1]Cleaned Text Field'!M462)</f>
        <v>Second Class</v>
      </c>
      <c r="N462">
        <f>IF('[1]Cleaned Text Field'!N462="",0,'[1]Cleaned Text Field'!N462)</f>
        <v>9</v>
      </c>
      <c r="O462">
        <v>1359.88</v>
      </c>
      <c r="P462" s="5">
        <f>IF('[1]Cleaned Text Field'!P462="",0,'[1]Cleaned Text Field'!P462)</f>
        <v>0.05</v>
      </c>
      <c r="Q462">
        <v>11626.97</v>
      </c>
      <c r="R462">
        <v>7394.07</v>
      </c>
      <c r="S462">
        <v>4232.8999999999996</v>
      </c>
      <c r="T462" t="str">
        <f>PROPER(TRIM([1]raw_orders!T462))</f>
        <v>Paid</v>
      </c>
      <c r="U462" t="str">
        <f>PROPER(TRIM([1]raw_orders!U462))</f>
        <v>Completed</v>
      </c>
      <c r="V462" s="6">
        <f t="shared" si="56"/>
        <v>0.36405873585293502</v>
      </c>
      <c r="W462" t="str">
        <f t="shared" si="57"/>
        <v>September</v>
      </c>
      <c r="X462">
        <f t="shared" si="58"/>
        <v>2025</v>
      </c>
      <c r="Y462">
        <f t="shared" si="59"/>
        <v>6</v>
      </c>
      <c r="Z462" s="7">
        <f t="shared" si="60"/>
        <v>0.05</v>
      </c>
      <c r="AA462">
        <f t="shared" si="61"/>
        <v>11626.974000000002</v>
      </c>
      <c r="AB462">
        <f t="shared" si="62"/>
        <v>4232.8999999999996</v>
      </c>
      <c r="AC462" t="str">
        <f t="shared" si="63"/>
        <v>Clean</v>
      </c>
    </row>
    <row r="463" spans="1:29">
      <c r="A463" t="s">
        <v>1424</v>
      </c>
      <c r="B463" s="4">
        <v>45802</v>
      </c>
      <c r="C463" s="4">
        <v>45803</v>
      </c>
      <c r="D463" t="s">
        <v>1425</v>
      </c>
      <c r="E463" t="str">
        <f>PROPER(TRIM([1]raw_orders!E463))</f>
        <v>Neha Gupta</v>
      </c>
      <c r="F463" t="str">
        <f>PROPER(TRIM([1]raw_orders!F463))</f>
        <v>Corporate</v>
      </c>
      <c r="G463" t="str">
        <f>IF('[1]Cleaned Text Field'!G463="","Unknown",'[1]Cleaned Text Field'!G463)</f>
        <v>South</v>
      </c>
      <c r="H463" t="str">
        <f>PROPER(TRIM([1]raw_orders!H463))</f>
        <v>Andhra Pradesh</v>
      </c>
      <c r="I463" t="str">
        <f>PROPER(TRIM([1]raw_orders!I463))</f>
        <v>Vijayawada</v>
      </c>
      <c r="J463" t="str">
        <f>PROPER(TRIM([1]raw_orders!J463))</f>
        <v>Office Supplies</v>
      </c>
      <c r="K463" t="str">
        <f>PROPER(TRIM([1]raw_orders!K463))</f>
        <v>Paper</v>
      </c>
      <c r="L463" t="s">
        <v>1426</v>
      </c>
      <c r="M463" t="str">
        <f>IF('[1]Cleaned Text Field'!M463="","Unknown",'[1]Cleaned Text Field'!M463)</f>
        <v>Standard Class</v>
      </c>
      <c r="N463">
        <f>IF('[1]Cleaned Text Field'!N463="",0,'[1]Cleaned Text Field'!N463)</f>
        <v>3</v>
      </c>
      <c r="O463">
        <v>3378.15</v>
      </c>
      <c r="P463" s="5">
        <f>IF('[1]Cleaned Text Field'!P463="",0,'[1]Cleaned Text Field'!P463)</f>
        <v>0.15</v>
      </c>
      <c r="Q463">
        <v>8614.2800000000007</v>
      </c>
      <c r="R463">
        <v>7052.08</v>
      </c>
      <c r="S463">
        <v>1562.2</v>
      </c>
      <c r="T463" t="str">
        <f>PROPER(TRIM([1]raw_orders!T463))</f>
        <v>Paid</v>
      </c>
      <c r="U463" t="str">
        <f>PROPER(TRIM([1]raw_orders!U463))</f>
        <v>Completed</v>
      </c>
      <c r="V463" s="6">
        <f t="shared" si="56"/>
        <v>0.18135003737979261</v>
      </c>
      <c r="W463" t="str">
        <f t="shared" si="57"/>
        <v>May</v>
      </c>
      <c r="X463">
        <f t="shared" si="58"/>
        <v>2025</v>
      </c>
      <c r="Y463">
        <f t="shared" si="59"/>
        <v>1</v>
      </c>
      <c r="Z463" s="7">
        <f t="shared" si="60"/>
        <v>0.15</v>
      </c>
      <c r="AA463">
        <f t="shared" si="61"/>
        <v>8614.2825000000012</v>
      </c>
      <c r="AB463">
        <f t="shared" si="62"/>
        <v>1562.2000000000007</v>
      </c>
      <c r="AC463" t="str">
        <f t="shared" si="63"/>
        <v>Clean</v>
      </c>
    </row>
    <row r="464" spans="1:29">
      <c r="A464" t="s">
        <v>1427</v>
      </c>
      <c r="B464" s="4">
        <v>45558</v>
      </c>
      <c r="C464" s="4">
        <v>45560</v>
      </c>
      <c r="D464" t="s">
        <v>1428</v>
      </c>
      <c r="E464" t="str">
        <f>PROPER(TRIM([1]raw_orders!E464))</f>
        <v>Aarav Sharma</v>
      </c>
      <c r="F464" t="str">
        <f>PROPER(TRIM([1]raw_orders!F464))</f>
        <v>Home Office</v>
      </c>
      <c r="G464" t="str">
        <f>IF('[1]Cleaned Text Field'!G464="","Unknown",'[1]Cleaned Text Field'!G464)</f>
        <v>North</v>
      </c>
      <c r="H464" t="str">
        <f>PROPER(TRIM([1]raw_orders!H464))</f>
        <v>Delhi</v>
      </c>
      <c r="I464" t="str">
        <f>PROPER(TRIM([1]raw_orders!I464))</f>
        <v>New Delhi</v>
      </c>
      <c r="J464" t="str">
        <f>PROPER(TRIM([1]raw_orders!J464))</f>
        <v>Office Supplies</v>
      </c>
      <c r="K464" t="str">
        <f>PROPER(TRIM([1]raw_orders!K464))</f>
        <v>Binders</v>
      </c>
      <c r="L464" t="s">
        <v>1429</v>
      </c>
      <c r="M464" t="str">
        <f>IF('[1]Cleaned Text Field'!M464="","Unknown",'[1]Cleaned Text Field'!M464)</f>
        <v>First Class</v>
      </c>
      <c r="N464">
        <f>IF('[1]Cleaned Text Field'!N464="",0,'[1]Cleaned Text Field'!N464)</f>
        <v>2</v>
      </c>
      <c r="O464">
        <v>1275.1400000000001</v>
      </c>
      <c r="P464" s="5">
        <f>IF('[1]Cleaned Text Field'!P464="",0,'[1]Cleaned Text Field'!P464)</f>
        <v>0.2</v>
      </c>
      <c r="Q464">
        <v>2040.22</v>
      </c>
      <c r="R464">
        <v>1395.71</v>
      </c>
      <c r="S464">
        <v>644.51</v>
      </c>
      <c r="T464" t="str">
        <f>PROPER(TRIM([1]raw_orders!T464))</f>
        <v>Paid</v>
      </c>
      <c r="U464" t="str">
        <f>PROPER(TRIM([1]raw_orders!U464))</f>
        <v>Completed</v>
      </c>
      <c r="V464" s="6">
        <f t="shared" si="56"/>
        <v>0.31590220662477575</v>
      </c>
      <c r="W464" t="str">
        <f t="shared" si="57"/>
        <v>September</v>
      </c>
      <c r="X464">
        <f t="shared" si="58"/>
        <v>2024</v>
      </c>
      <c r="Y464">
        <f t="shared" si="59"/>
        <v>2</v>
      </c>
      <c r="Z464" s="7">
        <f t="shared" si="60"/>
        <v>0.2</v>
      </c>
      <c r="AA464">
        <f t="shared" si="61"/>
        <v>2040.2240000000002</v>
      </c>
      <c r="AB464">
        <f t="shared" si="62"/>
        <v>644.51</v>
      </c>
      <c r="AC464" t="str">
        <f t="shared" si="63"/>
        <v>Clean</v>
      </c>
    </row>
    <row r="465" spans="1:29">
      <c r="A465" t="s">
        <v>1430</v>
      </c>
      <c r="B465" s="4">
        <v>45840</v>
      </c>
      <c r="C465" s="4">
        <v>45696</v>
      </c>
      <c r="D465" t="s">
        <v>1431</v>
      </c>
      <c r="E465" t="str">
        <f>PROPER(TRIM([1]raw_orders!E465))</f>
        <v>Arjun Bose</v>
      </c>
      <c r="F465" t="str">
        <f>PROPER(TRIM([1]raw_orders!F465))</f>
        <v>Corporate</v>
      </c>
      <c r="G465" t="str">
        <f>IF('[1]Cleaned Text Field'!G465="","Unknown",'[1]Cleaned Text Field'!G465)</f>
        <v>West</v>
      </c>
      <c r="H465" t="str">
        <f>PROPER(TRIM([1]raw_orders!H465))</f>
        <v>Madhya Pradesh</v>
      </c>
      <c r="I465" t="str">
        <f>PROPER(TRIM([1]raw_orders!I465))</f>
        <v>Indore</v>
      </c>
      <c r="J465" t="str">
        <f>PROPER(TRIM([1]raw_orders!J465))</f>
        <v>Technology</v>
      </c>
      <c r="K465" t="str">
        <f>PROPER(TRIM([1]raw_orders!K465))</f>
        <v>Phones</v>
      </c>
      <c r="L465" t="s">
        <v>1432</v>
      </c>
      <c r="M465" t="str">
        <f>IF('[1]Cleaned Text Field'!M465="","Unknown",'[1]Cleaned Text Field'!M465)</f>
        <v>Standard Class</v>
      </c>
      <c r="N465">
        <f>IF('[1]Cleaned Text Field'!N465="",0,'[1]Cleaned Text Field'!N465)</f>
        <v>4</v>
      </c>
      <c r="O465">
        <v>889.5</v>
      </c>
      <c r="P465" s="5">
        <f>IF('[1]Cleaned Text Field'!P465="",0,'[1]Cleaned Text Field'!P465)</f>
        <v>0.2</v>
      </c>
      <c r="Q465">
        <v>2846.4</v>
      </c>
      <c r="R465">
        <v>2132.37</v>
      </c>
      <c r="S465">
        <v>714.03</v>
      </c>
      <c r="T465" t="str">
        <f>PROPER(TRIM([1]raw_orders!T465))</f>
        <v>Paid</v>
      </c>
      <c r="U465" t="str">
        <f>PROPER(TRIM([1]raw_orders!U465))</f>
        <v>Completed</v>
      </c>
      <c r="V465" s="6">
        <f t="shared" si="56"/>
        <v>0.25085370994940975</v>
      </c>
      <c r="W465" t="str">
        <f t="shared" si="57"/>
        <v>July</v>
      </c>
      <c r="X465">
        <f t="shared" si="58"/>
        <v>2025</v>
      </c>
      <c r="Y465">
        <f t="shared" si="59"/>
        <v>-144</v>
      </c>
      <c r="Z465" s="7">
        <f t="shared" si="60"/>
        <v>0.2</v>
      </c>
      <c r="AA465">
        <f t="shared" si="61"/>
        <v>2846.4</v>
      </c>
      <c r="AB465">
        <f t="shared" si="62"/>
        <v>714.0300000000002</v>
      </c>
      <c r="AC465" t="str">
        <f t="shared" si="63"/>
        <v>Warning</v>
      </c>
    </row>
    <row r="466" spans="1:29">
      <c r="A466" t="s">
        <v>1433</v>
      </c>
      <c r="B466" s="4">
        <v>45964</v>
      </c>
      <c r="C466" s="4">
        <v>45731</v>
      </c>
      <c r="D466" t="s">
        <v>1434</v>
      </c>
      <c r="E466" t="str">
        <f>PROPER(TRIM([1]raw_orders!E466))</f>
        <v>Arjun Bose</v>
      </c>
      <c r="F466" t="str">
        <f>PROPER(TRIM([1]raw_orders!F466))</f>
        <v>Corporate</v>
      </c>
      <c r="G466" t="str">
        <f>IF('[1]Cleaned Text Field'!G466="","Unknown",'[1]Cleaned Text Field'!G466)</f>
        <v>East</v>
      </c>
      <c r="H466" t="str">
        <f>PROPER(TRIM([1]raw_orders!H466))</f>
        <v>Bihar</v>
      </c>
      <c r="I466" t="str">
        <f>PROPER(TRIM([1]raw_orders!I466))</f>
        <v>Patna</v>
      </c>
      <c r="J466" t="str">
        <f>PROPER(TRIM([1]raw_orders!J466))</f>
        <v>Office Supplies</v>
      </c>
      <c r="K466" t="str">
        <f>PROPER(TRIM([1]raw_orders!K466))</f>
        <v>Paper</v>
      </c>
      <c r="L466" t="s">
        <v>1435</v>
      </c>
      <c r="M466" t="str">
        <f>IF('[1]Cleaned Text Field'!M466="","Unknown",'[1]Cleaned Text Field'!M466)</f>
        <v>Same Day</v>
      </c>
      <c r="N466">
        <f>IF('[1]Cleaned Text Field'!N466="",0,'[1]Cleaned Text Field'!N466)</f>
        <v>3</v>
      </c>
      <c r="O466">
        <v>3625.08</v>
      </c>
      <c r="P466" s="5">
        <f>IF('[1]Cleaned Text Field'!P466="",0,'[1]Cleaned Text Field'!P466)</f>
        <v>0.05</v>
      </c>
      <c r="Q466">
        <v>10331.48</v>
      </c>
      <c r="R466">
        <v>7131.91</v>
      </c>
      <c r="S466">
        <v>3199.57</v>
      </c>
      <c r="T466" t="str">
        <f>PROPER(TRIM([1]raw_orders!T466))</f>
        <v>Pending</v>
      </c>
      <c r="U466" t="str">
        <f>PROPER(TRIM([1]raw_orders!U466))</f>
        <v>Cancelled</v>
      </c>
      <c r="V466" s="6">
        <f t="shared" si="56"/>
        <v>0.30969135109393819</v>
      </c>
      <c r="W466" t="str">
        <f t="shared" si="57"/>
        <v>November</v>
      </c>
      <c r="X466">
        <f t="shared" si="58"/>
        <v>2025</v>
      </c>
      <c r="Y466">
        <f t="shared" si="59"/>
        <v>-233</v>
      </c>
      <c r="Z466" s="7">
        <f t="shared" si="60"/>
        <v>0.05</v>
      </c>
      <c r="AA466">
        <f t="shared" si="61"/>
        <v>10331.477999999999</v>
      </c>
      <c r="AB466">
        <f t="shared" si="62"/>
        <v>3199.5699999999997</v>
      </c>
      <c r="AC466" t="str">
        <f t="shared" si="63"/>
        <v>Warning</v>
      </c>
    </row>
    <row r="467" spans="1:29">
      <c r="A467" t="s">
        <v>1436</v>
      </c>
      <c r="B467" s="4">
        <v>45320</v>
      </c>
      <c r="C467" s="4">
        <v>45328</v>
      </c>
      <c r="D467" t="s">
        <v>1437</v>
      </c>
      <c r="E467" t="str">
        <f>PROPER(TRIM([1]raw_orders!E467))</f>
        <v>Aarav Sharma</v>
      </c>
      <c r="F467" t="str">
        <f>PROPER(TRIM([1]raw_orders!F467))</f>
        <v>Small Business</v>
      </c>
      <c r="G467" t="str">
        <f>IF('[1]Cleaned Text Field'!G467="","Unknown",'[1]Cleaned Text Field'!G467)</f>
        <v>West</v>
      </c>
      <c r="H467" t="str">
        <f>PROPER(TRIM([1]raw_orders!H467))</f>
        <v>Madhya Pradesh</v>
      </c>
      <c r="I467" t="str">
        <f>PROPER(TRIM([1]raw_orders!I467))</f>
        <v>Indore</v>
      </c>
      <c r="J467" t="str">
        <f>PROPER(TRIM([1]raw_orders!J467))</f>
        <v>Office Supplies</v>
      </c>
      <c r="K467" t="str">
        <f>PROPER(TRIM([1]raw_orders!K467))</f>
        <v>Labels</v>
      </c>
      <c r="L467" t="s">
        <v>1438</v>
      </c>
      <c r="M467" t="str">
        <f>IF('[1]Cleaned Text Field'!M467="","Unknown",'[1]Cleaned Text Field'!M467)</f>
        <v>Standard Class</v>
      </c>
      <c r="N467">
        <f>IF('[1]Cleaned Text Field'!N467="",0,'[1]Cleaned Text Field'!N467)</f>
        <v>2</v>
      </c>
      <c r="O467">
        <v>1258.9000000000001</v>
      </c>
      <c r="P467" s="5">
        <f>IF('[1]Cleaned Text Field'!P467="",0,'[1]Cleaned Text Field'!P467)</f>
        <v>0</v>
      </c>
      <c r="Q467">
        <v>2517.8000000000002</v>
      </c>
      <c r="R467">
        <v>1478.54</v>
      </c>
      <c r="S467">
        <v>1039.26</v>
      </c>
      <c r="T467" t="str">
        <f>PROPER(TRIM([1]raw_orders!T467))</f>
        <v>Paid</v>
      </c>
      <c r="U467" t="str">
        <f>PROPER(TRIM([1]raw_orders!U467))</f>
        <v>Completed</v>
      </c>
      <c r="V467" s="6">
        <f t="shared" si="56"/>
        <v>0.41276511239971403</v>
      </c>
      <c r="W467" t="str">
        <f t="shared" si="57"/>
        <v>January</v>
      </c>
      <c r="X467">
        <f t="shared" si="58"/>
        <v>2024</v>
      </c>
      <c r="Y467">
        <f t="shared" si="59"/>
        <v>8</v>
      </c>
      <c r="Z467" s="7">
        <f t="shared" si="60"/>
        <v>0</v>
      </c>
      <c r="AA467">
        <f t="shared" si="61"/>
        <v>2517.8000000000002</v>
      </c>
      <c r="AB467">
        <f t="shared" si="62"/>
        <v>1039.2600000000002</v>
      </c>
      <c r="AC467" t="str">
        <f t="shared" si="63"/>
        <v>Clean</v>
      </c>
    </row>
    <row r="468" spans="1:29">
      <c r="A468" t="s">
        <v>1439</v>
      </c>
      <c r="B468" s="4">
        <v>45383</v>
      </c>
      <c r="C468" s="4">
        <v>45299</v>
      </c>
      <c r="D468" t="s">
        <v>1440</v>
      </c>
      <c r="E468" t="str">
        <f>PROPER(TRIM([1]raw_orders!E468))</f>
        <v>Mira Das</v>
      </c>
      <c r="F468" t="str">
        <f>PROPER(TRIM([1]raw_orders!F468))</f>
        <v>Small Business</v>
      </c>
      <c r="G468" t="str">
        <f>IF('[1]Cleaned Text Field'!G468="","Unknown",'[1]Cleaned Text Field'!G468)</f>
        <v>East</v>
      </c>
      <c r="H468" t="str">
        <f>PROPER(TRIM([1]raw_orders!H468))</f>
        <v>Bihar</v>
      </c>
      <c r="I468" t="str">
        <f>PROPER(TRIM([1]raw_orders!I468))</f>
        <v>Patna</v>
      </c>
      <c r="J468" t="str">
        <f>PROPER(TRIM([1]raw_orders!J468))</f>
        <v>Technology</v>
      </c>
      <c r="K468" t="str">
        <f>PROPER(TRIM([1]raw_orders!K468))</f>
        <v>Accessories</v>
      </c>
      <c r="L468" t="s">
        <v>1441</v>
      </c>
      <c r="M468" t="str">
        <f>IF('[1]Cleaned Text Field'!M468="","Unknown",'[1]Cleaned Text Field'!M468)</f>
        <v>Same Day</v>
      </c>
      <c r="N468">
        <f>IF('[1]Cleaned Text Field'!N468="",0,'[1]Cleaned Text Field'!N468)</f>
        <v>9</v>
      </c>
      <c r="O468">
        <v>1591.96</v>
      </c>
      <c r="P468" s="5">
        <f>IF('[1]Cleaned Text Field'!P468="",0,'[1]Cleaned Text Field'!P468)</f>
        <v>0.2</v>
      </c>
      <c r="Q468">
        <v>11462.11</v>
      </c>
      <c r="R468">
        <v>7105.48</v>
      </c>
      <c r="S468">
        <v>4356.63</v>
      </c>
      <c r="T468" t="str">
        <f>PROPER(TRIM([1]raw_orders!T468))</f>
        <v>Paid</v>
      </c>
      <c r="U468" t="str">
        <f>PROPER(TRIM([1]raw_orders!U468))</f>
        <v>Completed</v>
      </c>
      <c r="V468" s="6">
        <f t="shared" si="56"/>
        <v>0.38008970425166044</v>
      </c>
      <c r="W468" t="str">
        <f t="shared" si="57"/>
        <v>April</v>
      </c>
      <c r="X468">
        <f t="shared" si="58"/>
        <v>2024</v>
      </c>
      <c r="Y468">
        <f t="shared" si="59"/>
        <v>-84</v>
      </c>
      <c r="Z468" s="7">
        <f t="shared" si="60"/>
        <v>0.2</v>
      </c>
      <c r="AA468">
        <f t="shared" si="61"/>
        <v>11462.112000000001</v>
      </c>
      <c r="AB468">
        <f t="shared" si="62"/>
        <v>4356.630000000001</v>
      </c>
      <c r="AC468" t="str">
        <f t="shared" si="63"/>
        <v>Warning</v>
      </c>
    </row>
    <row r="469" spans="1:29">
      <c r="A469" t="s">
        <v>1442</v>
      </c>
      <c r="B469" s="4">
        <v>45524</v>
      </c>
      <c r="C469" s="4">
        <v>45525</v>
      </c>
      <c r="D469" t="s">
        <v>1443</v>
      </c>
      <c r="E469" t="str">
        <f>PROPER(TRIM([1]raw_orders!E469))</f>
        <v>Aditi Sen</v>
      </c>
      <c r="F469" t="str">
        <f>PROPER(TRIM([1]raw_orders!F469))</f>
        <v>Corporate</v>
      </c>
      <c r="G469" t="str">
        <f>IF('[1]Cleaned Text Field'!G469="","Unknown",'[1]Cleaned Text Field'!G469)</f>
        <v>East</v>
      </c>
      <c r="H469" t="str">
        <f>PROPER(TRIM([1]raw_orders!H469))</f>
        <v>Odisha</v>
      </c>
      <c r="I469" t="str">
        <f>PROPER(TRIM([1]raw_orders!I469))</f>
        <v>Bhubaneswar</v>
      </c>
      <c r="J469" t="str">
        <f>PROPER(TRIM([1]raw_orders!J469))</f>
        <v>Technology</v>
      </c>
      <c r="K469" t="str">
        <f>PROPER(TRIM([1]raw_orders!K469))</f>
        <v>Copiers</v>
      </c>
      <c r="L469" t="s">
        <v>1444</v>
      </c>
      <c r="M469" t="str">
        <f>IF('[1]Cleaned Text Field'!M469="","Unknown",'[1]Cleaned Text Field'!M469)</f>
        <v>First Class</v>
      </c>
      <c r="N469">
        <f>IF('[1]Cleaned Text Field'!N469="",0,'[1]Cleaned Text Field'!N469)</f>
        <v>5</v>
      </c>
      <c r="O469">
        <v>4288.33</v>
      </c>
      <c r="P469" s="5">
        <f>IF('[1]Cleaned Text Field'!P469="",0,'[1]Cleaned Text Field'!P469)</f>
        <v>0.1</v>
      </c>
      <c r="Q469">
        <v>19297.490000000002</v>
      </c>
      <c r="R469">
        <v>15451.66</v>
      </c>
      <c r="S469">
        <v>3845.83</v>
      </c>
      <c r="T469" t="str">
        <f>PROPER(TRIM([1]raw_orders!T469))</f>
        <v>Refunded</v>
      </c>
      <c r="U469" t="str">
        <f>PROPER(TRIM([1]raw_orders!U469))</f>
        <v>Cancelled</v>
      </c>
      <c r="V469" s="6">
        <f t="shared" si="56"/>
        <v>0.19929172135858081</v>
      </c>
      <c r="W469" t="str">
        <f t="shared" si="57"/>
        <v>August</v>
      </c>
      <c r="X469">
        <f t="shared" si="58"/>
        <v>2024</v>
      </c>
      <c r="Y469">
        <f t="shared" si="59"/>
        <v>1</v>
      </c>
      <c r="Z469" s="7">
        <f t="shared" si="60"/>
        <v>0.1</v>
      </c>
      <c r="AA469">
        <f t="shared" si="61"/>
        <v>19297.485000000001</v>
      </c>
      <c r="AB469">
        <f t="shared" si="62"/>
        <v>3845.8300000000017</v>
      </c>
      <c r="AC469" t="str">
        <f t="shared" si="63"/>
        <v>Clean</v>
      </c>
    </row>
    <row r="470" spans="1:29">
      <c r="A470" t="s">
        <v>1445</v>
      </c>
      <c r="B470" s="4">
        <v>45666</v>
      </c>
      <c r="C470" s="4">
        <v>45664</v>
      </c>
      <c r="D470" t="s">
        <v>1446</v>
      </c>
      <c r="E470" t="str">
        <f>PROPER(TRIM([1]raw_orders!E470))</f>
        <v>Aarav Sharma</v>
      </c>
      <c r="F470" t="str">
        <f>PROPER(TRIM([1]raw_orders!F470))</f>
        <v>Home Office</v>
      </c>
      <c r="G470" t="str">
        <f>IF('[1]Cleaned Text Field'!G470="","Unknown",'[1]Cleaned Text Field'!G470)</f>
        <v>East</v>
      </c>
      <c r="H470" t="str">
        <f>PROPER(TRIM([1]raw_orders!H470))</f>
        <v>West Bengal</v>
      </c>
      <c r="I470" t="str">
        <f>PROPER(TRIM([1]raw_orders!I470))</f>
        <v>Kolkata</v>
      </c>
      <c r="J470" t="str">
        <f>PROPER(TRIM([1]raw_orders!J470))</f>
        <v>Office Supplies</v>
      </c>
      <c r="K470" t="str">
        <f>PROPER(TRIM([1]raw_orders!K470))</f>
        <v>Binders</v>
      </c>
      <c r="L470" t="s">
        <v>1447</v>
      </c>
      <c r="M470" t="str">
        <f>IF('[1]Cleaned Text Field'!M470="","Unknown",'[1]Cleaned Text Field'!M470)</f>
        <v>Second Class</v>
      </c>
      <c r="N470">
        <f>IF('[1]Cleaned Text Field'!N470="",0,'[1]Cleaned Text Field'!N470)</f>
        <v>3</v>
      </c>
      <c r="O470">
        <v>2188.33</v>
      </c>
      <c r="P470" s="5">
        <f>IF('[1]Cleaned Text Field'!P470="",0,'[1]Cleaned Text Field'!P470)</f>
        <v>0</v>
      </c>
      <c r="Q470">
        <v>6564.99</v>
      </c>
      <c r="R470">
        <v>5407.24</v>
      </c>
      <c r="S470">
        <v>1157.75</v>
      </c>
      <c r="T470" t="str">
        <f>PROPER(TRIM([1]raw_orders!T470))</f>
        <v>Paid</v>
      </c>
      <c r="U470" t="str">
        <f>PROPER(TRIM([1]raw_orders!U470))</f>
        <v>Completed</v>
      </c>
      <c r="V470" s="6">
        <f t="shared" si="56"/>
        <v>0.17635213458055535</v>
      </c>
      <c r="W470" t="str">
        <f t="shared" si="57"/>
        <v>January</v>
      </c>
      <c r="X470">
        <f t="shared" si="58"/>
        <v>2025</v>
      </c>
      <c r="Y470">
        <f t="shared" si="59"/>
        <v>-2</v>
      </c>
      <c r="Z470" s="7">
        <f t="shared" si="60"/>
        <v>0</v>
      </c>
      <c r="AA470">
        <f t="shared" si="61"/>
        <v>6564.99</v>
      </c>
      <c r="AB470">
        <f t="shared" si="62"/>
        <v>1157.75</v>
      </c>
      <c r="AC470" t="str">
        <f t="shared" si="63"/>
        <v>Warning</v>
      </c>
    </row>
    <row r="471" spans="1:29">
      <c r="A471" t="s">
        <v>1448</v>
      </c>
      <c r="B471" s="4">
        <v>45310</v>
      </c>
      <c r="C471" s="4">
        <v>45316</v>
      </c>
      <c r="D471" t="s">
        <v>1449</v>
      </c>
      <c r="E471" t="str">
        <f>PROPER(TRIM([1]raw_orders!E471))</f>
        <v>Aditi Sen</v>
      </c>
      <c r="F471" t="str">
        <f>PROPER(TRIM([1]raw_orders!F471))</f>
        <v>Corporate</v>
      </c>
      <c r="G471" t="str">
        <f>IF('[1]Cleaned Text Field'!G471="","Unknown",'[1]Cleaned Text Field'!G471)</f>
        <v>West</v>
      </c>
      <c r="H471" t="str">
        <f>PROPER(TRIM([1]raw_orders!H471))</f>
        <v>Goa</v>
      </c>
      <c r="I471" t="str">
        <f>PROPER(TRIM([1]raw_orders!I471))</f>
        <v>Panaji</v>
      </c>
      <c r="J471" t="str">
        <f>PROPER(TRIM([1]raw_orders!J471))</f>
        <v>Technology</v>
      </c>
      <c r="K471" t="str">
        <f>PROPER(TRIM([1]raw_orders!K471))</f>
        <v>Copiers</v>
      </c>
      <c r="L471" t="s">
        <v>1450</v>
      </c>
      <c r="M471" t="str">
        <f>IF('[1]Cleaned Text Field'!M471="","Unknown",'[1]Cleaned Text Field'!M471)</f>
        <v>First Class</v>
      </c>
      <c r="N471">
        <f>IF('[1]Cleaned Text Field'!N471="",0,'[1]Cleaned Text Field'!N471)</f>
        <v>3</v>
      </c>
      <c r="O471">
        <v>1041.6600000000001</v>
      </c>
      <c r="P471" s="5">
        <f>IF('[1]Cleaned Text Field'!P471="",0,'[1]Cleaned Text Field'!P471)</f>
        <v>0.1</v>
      </c>
      <c r="Q471">
        <v>2812.48</v>
      </c>
      <c r="R471">
        <v>2282.12</v>
      </c>
      <c r="S471">
        <v>530.36</v>
      </c>
      <c r="T471" t="str">
        <f>PROPER(TRIM([1]raw_orders!T471))</f>
        <v>Paid</v>
      </c>
      <c r="U471" t="str">
        <f>PROPER(TRIM([1]raw_orders!U471))</f>
        <v>Completed</v>
      </c>
      <c r="V471" s="6">
        <f t="shared" si="56"/>
        <v>0.18857378541358516</v>
      </c>
      <c r="W471" t="str">
        <f t="shared" si="57"/>
        <v>January</v>
      </c>
      <c r="X471">
        <f t="shared" si="58"/>
        <v>2024</v>
      </c>
      <c r="Y471">
        <f t="shared" si="59"/>
        <v>6</v>
      </c>
      <c r="Z471" s="7">
        <f t="shared" si="60"/>
        <v>0.1</v>
      </c>
      <c r="AA471">
        <f t="shared" si="61"/>
        <v>2812.4820000000004</v>
      </c>
      <c r="AB471">
        <f t="shared" si="62"/>
        <v>530.36000000000013</v>
      </c>
      <c r="AC471" t="str">
        <f t="shared" si="63"/>
        <v>Clean</v>
      </c>
    </row>
    <row r="472" spans="1:29">
      <c r="A472" t="s">
        <v>1451</v>
      </c>
      <c r="B472" s="4">
        <v>45501</v>
      </c>
      <c r="C472" s="4">
        <v>45504</v>
      </c>
      <c r="D472" t="s">
        <v>1452</v>
      </c>
      <c r="E472" t="str">
        <f>PROPER(TRIM([1]raw_orders!E472))</f>
        <v>Aditi Sen</v>
      </c>
      <c r="F472" t="str">
        <f>PROPER(TRIM([1]raw_orders!F472))</f>
        <v>Consumer</v>
      </c>
      <c r="G472" t="str">
        <f>IF('[1]Cleaned Text Field'!G472="","Unknown",'[1]Cleaned Text Field'!G472)</f>
        <v>North</v>
      </c>
      <c r="H472" t="str">
        <f>PROPER(TRIM([1]raw_orders!H472))</f>
        <v>Rajasthan</v>
      </c>
      <c r="I472" t="str">
        <f>PROPER(TRIM([1]raw_orders!I472))</f>
        <v>Jaipur</v>
      </c>
      <c r="J472" t="str">
        <f>PROPER(TRIM([1]raw_orders!J472))</f>
        <v>Furniture</v>
      </c>
      <c r="K472" t="str">
        <f>PROPER(TRIM([1]raw_orders!K472))</f>
        <v>Tables</v>
      </c>
      <c r="L472" t="s">
        <v>1453</v>
      </c>
      <c r="M472" t="str">
        <f>IF('[1]Cleaned Text Field'!M472="","Unknown",'[1]Cleaned Text Field'!M472)</f>
        <v>Same Day</v>
      </c>
      <c r="N472">
        <f>IF('[1]Cleaned Text Field'!N472="",0,'[1]Cleaned Text Field'!N472)</f>
        <v>2</v>
      </c>
      <c r="O472">
        <v>4424.78</v>
      </c>
      <c r="P472" s="5">
        <f>IF('[1]Cleaned Text Field'!P472="",0,'[1]Cleaned Text Field'!P472)</f>
        <v>0.2</v>
      </c>
      <c r="Q472">
        <v>7079.65</v>
      </c>
      <c r="R472">
        <v>4465.91</v>
      </c>
      <c r="S472">
        <v>2613.7399999999998</v>
      </c>
      <c r="T472" t="str">
        <f>PROPER(TRIM([1]raw_orders!T472))</f>
        <v>Paid</v>
      </c>
      <c r="U472" t="str">
        <f>PROPER(TRIM([1]raw_orders!U472))</f>
        <v>Completed</v>
      </c>
      <c r="V472" s="6">
        <f t="shared" si="56"/>
        <v>0.36919056733030586</v>
      </c>
      <c r="W472" t="str">
        <f t="shared" si="57"/>
        <v>July</v>
      </c>
      <c r="X472">
        <f t="shared" si="58"/>
        <v>2024</v>
      </c>
      <c r="Y472">
        <f t="shared" si="59"/>
        <v>3</v>
      </c>
      <c r="Z472" s="7">
        <f t="shared" si="60"/>
        <v>0.2</v>
      </c>
      <c r="AA472">
        <f t="shared" si="61"/>
        <v>7079.6480000000001</v>
      </c>
      <c r="AB472">
        <f t="shared" si="62"/>
        <v>2613.7399999999998</v>
      </c>
      <c r="AC472" t="str">
        <f t="shared" si="63"/>
        <v>Clean</v>
      </c>
    </row>
    <row r="473" spans="1:29">
      <c r="A473" t="s">
        <v>1454</v>
      </c>
      <c r="B473" s="4">
        <v>45598</v>
      </c>
      <c r="C473" s="4">
        <v>45337</v>
      </c>
      <c r="D473" t="s">
        <v>1455</v>
      </c>
      <c r="E473" t="str">
        <f>PROPER(TRIM([1]raw_orders!E473))</f>
        <v>Kabir Singh</v>
      </c>
      <c r="F473" t="str">
        <f>PROPER(TRIM([1]raw_orders!F473))</f>
        <v>Consumer</v>
      </c>
      <c r="G473" t="str">
        <f>IF('[1]Cleaned Text Field'!G473="","Unknown",'[1]Cleaned Text Field'!G473)</f>
        <v>South</v>
      </c>
      <c r="H473" t="str">
        <f>PROPER(TRIM([1]raw_orders!H473))</f>
        <v>Telangana</v>
      </c>
      <c r="I473" t="str">
        <f>PROPER(TRIM([1]raw_orders!I473))</f>
        <v>Hyderabad</v>
      </c>
      <c r="J473" t="str">
        <f>PROPER(TRIM([1]raw_orders!J473))</f>
        <v>Office Supplies</v>
      </c>
      <c r="K473" t="str">
        <f>PROPER(TRIM([1]raw_orders!K473))</f>
        <v>Binders</v>
      </c>
      <c r="L473" t="s">
        <v>1456</v>
      </c>
      <c r="M473" t="str">
        <f>IF('[1]Cleaned Text Field'!M473="","Unknown",'[1]Cleaned Text Field'!M473)</f>
        <v>Standard Class</v>
      </c>
      <c r="N473">
        <f>IF('[1]Cleaned Text Field'!N473="",0,'[1]Cleaned Text Field'!N473)</f>
        <v>3</v>
      </c>
      <c r="O473">
        <v>3019.14</v>
      </c>
      <c r="P473" s="5">
        <f>IF('[1]Cleaned Text Field'!P473="",0,'[1]Cleaned Text Field'!P473)</f>
        <v>0.25</v>
      </c>
      <c r="Q473">
        <v>6793.07</v>
      </c>
      <c r="R473">
        <v>4985.22</v>
      </c>
      <c r="S473">
        <v>1807.85</v>
      </c>
      <c r="T473" t="str">
        <f>PROPER(TRIM([1]raw_orders!T473))</f>
        <v>Paid</v>
      </c>
      <c r="U473" t="str">
        <f>PROPER(TRIM([1]raw_orders!U473))</f>
        <v>Completed</v>
      </c>
      <c r="V473" s="6">
        <f t="shared" si="56"/>
        <v>0.26613151343943164</v>
      </c>
      <c r="W473" t="str">
        <f t="shared" si="57"/>
        <v>November</v>
      </c>
      <c r="X473">
        <f t="shared" si="58"/>
        <v>2024</v>
      </c>
      <c r="Y473">
        <f t="shared" si="59"/>
        <v>-261</v>
      </c>
      <c r="Z473" s="7">
        <f t="shared" si="60"/>
        <v>0.25</v>
      </c>
      <c r="AA473">
        <f t="shared" si="61"/>
        <v>6793.0650000000005</v>
      </c>
      <c r="AB473">
        <f t="shared" si="62"/>
        <v>1807.8499999999995</v>
      </c>
      <c r="AC473" t="str">
        <f t="shared" si="63"/>
        <v>Warning</v>
      </c>
    </row>
    <row r="474" spans="1:29">
      <c r="A474" t="s">
        <v>1457</v>
      </c>
      <c r="B474" s="4">
        <v>45325</v>
      </c>
      <c r="C474" s="4">
        <v>45358</v>
      </c>
      <c r="D474" t="s">
        <v>1458</v>
      </c>
      <c r="E474" t="str">
        <f>PROPER(TRIM([1]raw_orders!E474))</f>
        <v>Rohan Mehta</v>
      </c>
      <c r="F474" t="str">
        <f>PROPER(TRIM([1]raw_orders!F474))</f>
        <v>Corporate</v>
      </c>
      <c r="G474" t="str">
        <f>IF('[1]Cleaned Text Field'!G474="","Unknown",'[1]Cleaned Text Field'!G474)</f>
        <v>East</v>
      </c>
      <c r="H474" t="str">
        <f>PROPER(TRIM([1]raw_orders!H474))</f>
        <v>Odisha</v>
      </c>
      <c r="I474" t="str">
        <f>PROPER(TRIM([1]raw_orders!I474))</f>
        <v>Bhubaneswar</v>
      </c>
      <c r="J474" t="str">
        <f>PROPER(TRIM([1]raw_orders!J474))</f>
        <v>Office Supplies</v>
      </c>
      <c r="K474" t="str">
        <f>PROPER(TRIM([1]raw_orders!K474))</f>
        <v>Storage</v>
      </c>
      <c r="L474" t="s">
        <v>1459</v>
      </c>
      <c r="M474" t="str">
        <f>IF('[1]Cleaned Text Field'!M474="","Unknown",'[1]Cleaned Text Field'!M474)</f>
        <v>Standard Class</v>
      </c>
      <c r="N474">
        <f>IF('[1]Cleaned Text Field'!N474="",0,'[1]Cleaned Text Field'!N474)</f>
        <v>7</v>
      </c>
      <c r="O474">
        <v>263.45999999999998</v>
      </c>
      <c r="P474" s="5">
        <f>IF('[1]Cleaned Text Field'!P474="",0,'[1]Cleaned Text Field'!P474)</f>
        <v>0</v>
      </c>
      <c r="Q474">
        <v>1844.22</v>
      </c>
      <c r="R474">
        <v>1094.21</v>
      </c>
      <c r="S474">
        <v>750.01</v>
      </c>
      <c r="T474" t="str">
        <f>PROPER(TRIM([1]raw_orders!T474))</f>
        <v>Paid</v>
      </c>
      <c r="U474" t="str">
        <f>PROPER(TRIM([1]raw_orders!U474))</f>
        <v>Completed</v>
      </c>
      <c r="V474" s="6">
        <f t="shared" si="56"/>
        <v>0.40668141544934983</v>
      </c>
      <c r="W474" t="str">
        <f t="shared" si="57"/>
        <v>February</v>
      </c>
      <c r="X474">
        <f t="shared" si="58"/>
        <v>2024</v>
      </c>
      <c r="Y474">
        <f t="shared" si="59"/>
        <v>33</v>
      </c>
      <c r="Z474" s="7">
        <f t="shared" si="60"/>
        <v>0</v>
      </c>
      <c r="AA474">
        <f t="shared" si="61"/>
        <v>1844.2199999999998</v>
      </c>
      <c r="AB474">
        <f t="shared" si="62"/>
        <v>750.01</v>
      </c>
      <c r="AC474" t="str">
        <f t="shared" si="63"/>
        <v>Clean</v>
      </c>
    </row>
    <row r="475" spans="1:29">
      <c r="A475" t="s">
        <v>1460</v>
      </c>
      <c r="B475" s="4">
        <v>45609</v>
      </c>
      <c r="C475" s="4">
        <v>45609</v>
      </c>
      <c r="D475" t="s">
        <v>1461</v>
      </c>
      <c r="E475" t="str">
        <f>PROPER(TRIM([1]raw_orders!E475))</f>
        <v>Priya Menon</v>
      </c>
      <c r="F475" t="str">
        <f>PROPER(TRIM([1]raw_orders!F475))</f>
        <v>Consumer</v>
      </c>
      <c r="G475" t="str">
        <f>IF('[1]Cleaned Text Field'!G475="","Unknown",'[1]Cleaned Text Field'!G475)</f>
        <v>West</v>
      </c>
      <c r="H475" t="str">
        <f>PROPER(TRIM([1]raw_orders!H475))</f>
        <v>Goa</v>
      </c>
      <c r="I475" t="str">
        <f>PROPER(TRIM([1]raw_orders!I475))</f>
        <v>Panaji</v>
      </c>
      <c r="J475" t="str">
        <f>PROPER(TRIM([1]raw_orders!J475))</f>
        <v>Technology</v>
      </c>
      <c r="K475" t="str">
        <f>PROPER(TRIM([1]raw_orders!K475))</f>
        <v>Copiers</v>
      </c>
      <c r="L475" t="s">
        <v>1462</v>
      </c>
      <c r="M475" t="str">
        <f>IF('[1]Cleaned Text Field'!M475="","Unknown",'[1]Cleaned Text Field'!M475)</f>
        <v>Standard Class</v>
      </c>
      <c r="N475">
        <f>IF('[1]Cleaned Text Field'!N475="",0,'[1]Cleaned Text Field'!N475)</f>
        <v>6</v>
      </c>
      <c r="O475">
        <v>191.45</v>
      </c>
      <c r="P475" s="5">
        <f>IF('[1]Cleaned Text Field'!P475="",0,'[1]Cleaned Text Field'!P475)</f>
        <v>0.2</v>
      </c>
      <c r="Q475">
        <v>918.96</v>
      </c>
      <c r="R475">
        <v>554.17999999999995</v>
      </c>
      <c r="S475">
        <v>364.78</v>
      </c>
      <c r="T475" t="str">
        <f>PROPER(TRIM([1]raw_orders!T475))</f>
        <v>Paid</v>
      </c>
      <c r="U475" t="str">
        <f>PROPER(TRIM([1]raw_orders!U475))</f>
        <v>Completed</v>
      </c>
      <c r="V475" s="6">
        <f t="shared" si="56"/>
        <v>0.39694872464525111</v>
      </c>
      <c r="W475" t="str">
        <f t="shared" si="57"/>
        <v>November</v>
      </c>
      <c r="X475">
        <f t="shared" si="58"/>
        <v>2024</v>
      </c>
      <c r="Y475">
        <f t="shared" si="59"/>
        <v>0</v>
      </c>
      <c r="Z475" s="7">
        <f t="shared" si="60"/>
        <v>0.2</v>
      </c>
      <c r="AA475">
        <f t="shared" si="61"/>
        <v>918.95999999999992</v>
      </c>
      <c r="AB475">
        <f t="shared" si="62"/>
        <v>364.78000000000009</v>
      </c>
      <c r="AC475" t="str">
        <f t="shared" si="63"/>
        <v>Clean</v>
      </c>
    </row>
    <row r="476" spans="1:29">
      <c r="A476" t="s">
        <v>1463</v>
      </c>
      <c r="B476" s="4">
        <v>45357</v>
      </c>
      <c r="C476" s="4">
        <v>45453</v>
      </c>
      <c r="D476" t="s">
        <v>1464</v>
      </c>
      <c r="E476" t="str">
        <f>PROPER(TRIM([1]raw_orders!E476))</f>
        <v>Diya Patel</v>
      </c>
      <c r="F476" t="str">
        <f>PROPER(TRIM([1]raw_orders!F476))</f>
        <v>Corporate</v>
      </c>
      <c r="G476" t="str">
        <f>IF('[1]Cleaned Text Field'!G476="","Unknown",'[1]Cleaned Text Field'!G476)</f>
        <v>North</v>
      </c>
      <c r="H476" t="str">
        <f>PROPER(TRIM([1]raw_orders!H476))</f>
        <v>Punjab</v>
      </c>
      <c r="I476" t="str">
        <f>PROPER(TRIM([1]raw_orders!I476))</f>
        <v>Ludhiana</v>
      </c>
      <c r="J476" t="str">
        <f>PROPER(TRIM([1]raw_orders!J476))</f>
        <v>Furniture</v>
      </c>
      <c r="K476" t="str">
        <f>PROPER(TRIM([1]raw_orders!K476))</f>
        <v>Furnishings</v>
      </c>
      <c r="L476" t="s">
        <v>1465</v>
      </c>
      <c r="M476" t="str">
        <f>IF('[1]Cleaned Text Field'!M476="","Unknown",'[1]Cleaned Text Field'!M476)</f>
        <v>Standard Class</v>
      </c>
      <c r="N476">
        <f>IF('[1]Cleaned Text Field'!N476="",0,'[1]Cleaned Text Field'!N476)</f>
        <v>3</v>
      </c>
      <c r="O476">
        <v>1633.57</v>
      </c>
      <c r="P476" s="5">
        <f>IF('[1]Cleaned Text Field'!P476="",0,'[1]Cleaned Text Field'!P476)</f>
        <v>0</v>
      </c>
      <c r="Q476">
        <v>4900.71</v>
      </c>
      <c r="R476">
        <v>2713.9</v>
      </c>
      <c r="S476">
        <v>2186.81</v>
      </c>
      <c r="T476" t="str">
        <f>PROPER(TRIM([1]raw_orders!T476))</f>
        <v>Paid</v>
      </c>
      <c r="U476" t="str">
        <f>PROPER(TRIM([1]raw_orders!U476))</f>
        <v>Completed</v>
      </c>
      <c r="V476" s="6">
        <f t="shared" si="56"/>
        <v>0.44622309828575857</v>
      </c>
      <c r="W476" t="str">
        <f t="shared" si="57"/>
        <v>March</v>
      </c>
      <c r="X476">
        <f t="shared" si="58"/>
        <v>2024</v>
      </c>
      <c r="Y476">
        <f t="shared" si="59"/>
        <v>96</v>
      </c>
      <c r="Z476" s="7">
        <f t="shared" si="60"/>
        <v>0</v>
      </c>
      <c r="AA476">
        <f t="shared" si="61"/>
        <v>4900.71</v>
      </c>
      <c r="AB476">
        <f t="shared" si="62"/>
        <v>2186.81</v>
      </c>
      <c r="AC476" t="str">
        <f t="shared" si="63"/>
        <v>Clean</v>
      </c>
    </row>
    <row r="477" spans="1:29">
      <c r="A477" t="s">
        <v>1466</v>
      </c>
      <c r="B477" s="4">
        <v>45717</v>
      </c>
      <c r="C477" s="4">
        <v>45724</v>
      </c>
      <c r="D477" t="s">
        <v>1467</v>
      </c>
      <c r="E477" t="str">
        <f>PROPER(TRIM([1]raw_orders!E477))</f>
        <v>Vikram Iyer</v>
      </c>
      <c r="F477" t="str">
        <f>PROPER(TRIM([1]raw_orders!F477))</f>
        <v>Consumer</v>
      </c>
      <c r="G477" t="str">
        <f>IF('[1]Cleaned Text Field'!G477="","Unknown",'[1]Cleaned Text Field'!G477)</f>
        <v>East</v>
      </c>
      <c r="H477" t="str">
        <f>PROPER(TRIM([1]raw_orders!H477))</f>
        <v>West Bengal</v>
      </c>
      <c r="I477" t="str">
        <f>PROPER(TRIM([1]raw_orders!I477))</f>
        <v>Kolkata</v>
      </c>
      <c r="J477" t="str">
        <f>PROPER(TRIM([1]raw_orders!J477))</f>
        <v>Furniture</v>
      </c>
      <c r="K477" t="str">
        <f>PROPER(TRIM([1]raw_orders!K477))</f>
        <v>Chairs</v>
      </c>
      <c r="L477" t="s">
        <v>1468</v>
      </c>
      <c r="M477" t="str">
        <f>IF('[1]Cleaned Text Field'!M477="","Unknown",'[1]Cleaned Text Field'!M477)</f>
        <v>Same Day</v>
      </c>
      <c r="N477">
        <f>IF('[1]Cleaned Text Field'!N477="",0,'[1]Cleaned Text Field'!N477)</f>
        <v>8</v>
      </c>
      <c r="O477">
        <v>3378.82</v>
      </c>
      <c r="P477" s="5">
        <f>IF('[1]Cleaned Text Field'!P477="",0,'[1]Cleaned Text Field'!P477)</f>
        <v>0.25</v>
      </c>
      <c r="Q477">
        <v>20272.919999999998</v>
      </c>
      <c r="R477">
        <v>15873.38</v>
      </c>
      <c r="S477">
        <v>4399.54</v>
      </c>
      <c r="T477" t="str">
        <f>PROPER(TRIM([1]raw_orders!T477))</f>
        <v>Pending</v>
      </c>
      <c r="U477" t="str">
        <f>PROPER(TRIM([1]raw_orders!U477))</f>
        <v>Returned</v>
      </c>
      <c r="V477" s="6">
        <f t="shared" si="56"/>
        <v>0.21701560505344075</v>
      </c>
      <c r="W477" t="str">
        <f t="shared" si="57"/>
        <v>March</v>
      </c>
      <c r="X477">
        <f t="shared" si="58"/>
        <v>2025</v>
      </c>
      <c r="Y477">
        <f t="shared" si="59"/>
        <v>7</v>
      </c>
      <c r="Z477" s="7">
        <f t="shared" si="60"/>
        <v>0.25</v>
      </c>
      <c r="AA477">
        <f t="shared" si="61"/>
        <v>20272.920000000002</v>
      </c>
      <c r="AB477">
        <f t="shared" si="62"/>
        <v>4399.5399999999991</v>
      </c>
      <c r="AC477" t="str">
        <f t="shared" si="63"/>
        <v>Clean</v>
      </c>
    </row>
    <row r="478" spans="1:29">
      <c r="A478" t="s">
        <v>1469</v>
      </c>
      <c r="B478" s="4">
        <v>45419</v>
      </c>
      <c r="C478" s="4">
        <v>45426</v>
      </c>
      <c r="D478" t="s">
        <v>1470</v>
      </c>
      <c r="E478" t="str">
        <f>PROPER(TRIM([1]raw_orders!E478))</f>
        <v>Sneha Kapoor</v>
      </c>
      <c r="F478" t="str">
        <f>PROPER(TRIM([1]raw_orders!F478))</f>
        <v>Small Business</v>
      </c>
      <c r="G478" t="str">
        <f>IF('[1]Cleaned Text Field'!G478="","Unknown",'[1]Cleaned Text Field'!G478)</f>
        <v>North</v>
      </c>
      <c r="H478" t="str">
        <f>PROPER(TRIM([1]raw_orders!H478))</f>
        <v>Rajasthan</v>
      </c>
      <c r="I478" t="str">
        <f>PROPER(TRIM([1]raw_orders!I478))</f>
        <v>Jaipur</v>
      </c>
      <c r="J478" t="str">
        <f>PROPER(TRIM([1]raw_orders!J478))</f>
        <v>Office Supplies</v>
      </c>
      <c r="K478" t="str">
        <f>PROPER(TRIM([1]raw_orders!K478))</f>
        <v>Storage</v>
      </c>
      <c r="L478" t="s">
        <v>1471</v>
      </c>
      <c r="M478" t="str">
        <f>IF('[1]Cleaned Text Field'!M478="","Unknown",'[1]Cleaned Text Field'!M478)</f>
        <v>First Class</v>
      </c>
      <c r="N478">
        <f>IF('[1]Cleaned Text Field'!N478="",0,'[1]Cleaned Text Field'!N478)</f>
        <v>3</v>
      </c>
      <c r="O478">
        <v>383.58</v>
      </c>
      <c r="P478" s="5">
        <f>IF('[1]Cleaned Text Field'!P478="",0,'[1]Cleaned Text Field'!P478)</f>
        <v>0.1</v>
      </c>
      <c r="Q478">
        <v>1035.67</v>
      </c>
      <c r="R478">
        <v>595.41999999999996</v>
      </c>
      <c r="S478">
        <v>440.25</v>
      </c>
      <c r="T478" t="str">
        <f>PROPER(TRIM([1]raw_orders!T478))</f>
        <v>Paid</v>
      </c>
      <c r="U478" t="str">
        <f>PROPER(TRIM([1]raw_orders!U478))</f>
        <v>Completed</v>
      </c>
      <c r="V478" s="6">
        <f t="shared" si="56"/>
        <v>0.42508714165709149</v>
      </c>
      <c r="W478" t="str">
        <f t="shared" si="57"/>
        <v>May</v>
      </c>
      <c r="X478">
        <f t="shared" si="58"/>
        <v>2024</v>
      </c>
      <c r="Y478">
        <f t="shared" si="59"/>
        <v>7</v>
      </c>
      <c r="Z478" s="7">
        <f t="shared" si="60"/>
        <v>0.1</v>
      </c>
      <c r="AA478">
        <f t="shared" si="61"/>
        <v>1035.6659999999999</v>
      </c>
      <c r="AB478">
        <f t="shared" si="62"/>
        <v>440.25000000000011</v>
      </c>
      <c r="AC478" t="str">
        <f t="shared" si="63"/>
        <v>Clean</v>
      </c>
    </row>
    <row r="479" spans="1:29">
      <c r="A479" t="s">
        <v>1472</v>
      </c>
      <c r="B479" s="4">
        <v>45892</v>
      </c>
      <c r="C479" s="4">
        <v>45897</v>
      </c>
      <c r="D479" t="s">
        <v>1473</v>
      </c>
      <c r="E479" t="str">
        <f>PROPER(TRIM([1]raw_orders!E479))</f>
        <v>Vikram Iyer</v>
      </c>
      <c r="F479" t="str">
        <f>PROPER(TRIM([1]raw_orders!F479))</f>
        <v>Corporate</v>
      </c>
      <c r="G479" t="str">
        <f>IF('[1]Cleaned Text Field'!G479="","Unknown",'[1]Cleaned Text Field'!G479)</f>
        <v>West</v>
      </c>
      <c r="H479" t="str">
        <f>PROPER(TRIM([1]raw_orders!H479))</f>
        <v>Gujarat</v>
      </c>
      <c r="I479" t="str">
        <f>PROPER(TRIM([1]raw_orders!I479))</f>
        <v>Ahmedabad</v>
      </c>
      <c r="J479" t="str">
        <f>PROPER(TRIM([1]raw_orders!J479))</f>
        <v>Furniture</v>
      </c>
      <c r="K479" t="str">
        <f>PROPER(TRIM([1]raw_orders!K479))</f>
        <v>Chairs</v>
      </c>
      <c r="L479" t="s">
        <v>1474</v>
      </c>
      <c r="M479" t="str">
        <f>IF('[1]Cleaned Text Field'!M479="","Unknown",'[1]Cleaned Text Field'!M479)</f>
        <v>Standard Class</v>
      </c>
      <c r="N479">
        <f>IF('[1]Cleaned Text Field'!N479="",0,'[1]Cleaned Text Field'!N479)</f>
        <v>6</v>
      </c>
      <c r="O479">
        <v>2193.23</v>
      </c>
      <c r="P479" s="5">
        <f>IF('[1]Cleaned Text Field'!P479="",0,'[1]Cleaned Text Field'!P479)</f>
        <v>0.1</v>
      </c>
      <c r="Q479">
        <v>11843.44</v>
      </c>
      <c r="R479">
        <v>9356.8799999999992</v>
      </c>
      <c r="S479">
        <v>2486.56</v>
      </c>
      <c r="T479" t="str">
        <f>PROPER(TRIM([1]raw_orders!T479))</f>
        <v>Paid</v>
      </c>
      <c r="U479" t="str">
        <f>PROPER(TRIM([1]raw_orders!U479))</f>
        <v>Cancelled</v>
      </c>
      <c r="V479" s="6">
        <f t="shared" si="56"/>
        <v>0.20995251379666718</v>
      </c>
      <c r="W479" t="str">
        <f t="shared" si="57"/>
        <v>August</v>
      </c>
      <c r="X479">
        <f t="shared" si="58"/>
        <v>2025</v>
      </c>
      <c r="Y479">
        <f t="shared" si="59"/>
        <v>5</v>
      </c>
      <c r="Z479" s="7">
        <f t="shared" si="60"/>
        <v>0.1</v>
      </c>
      <c r="AA479">
        <f t="shared" si="61"/>
        <v>11843.442000000001</v>
      </c>
      <c r="AB479">
        <f t="shared" si="62"/>
        <v>2486.5600000000013</v>
      </c>
      <c r="AC479" t="str">
        <f t="shared" si="63"/>
        <v>Clean</v>
      </c>
    </row>
    <row r="480" spans="1:29">
      <c r="A480" t="s">
        <v>1475</v>
      </c>
      <c r="B480" s="4">
        <v>45452</v>
      </c>
      <c r="C480" s="4">
        <v>45456</v>
      </c>
      <c r="D480" t="s">
        <v>1476</v>
      </c>
      <c r="E480" t="str">
        <f>PROPER(TRIM([1]raw_orders!E480))</f>
        <v>Mira Das</v>
      </c>
      <c r="F480" t="str">
        <f>PROPER(TRIM([1]raw_orders!F480))</f>
        <v>Home Office</v>
      </c>
      <c r="G480" t="str">
        <f>IF('[1]Cleaned Text Field'!G480="","Unknown",'[1]Cleaned Text Field'!G480)</f>
        <v>Unknown</v>
      </c>
      <c r="H480" t="str">
        <f>PROPER(TRIM([1]raw_orders!H480))</f>
        <v>Uttar Pradesh</v>
      </c>
      <c r="I480" t="str">
        <f>PROPER(TRIM([1]raw_orders!I480))</f>
        <v>Noida</v>
      </c>
      <c r="J480" t="str">
        <f>PROPER(TRIM([1]raw_orders!J480))</f>
        <v>Technology</v>
      </c>
      <c r="K480" t="str">
        <f>PROPER(TRIM([1]raw_orders!K480))</f>
        <v>Machines</v>
      </c>
      <c r="L480" t="s">
        <v>1477</v>
      </c>
      <c r="M480" t="str">
        <f>IF('[1]Cleaned Text Field'!M480="","Unknown",'[1]Cleaned Text Field'!M480)</f>
        <v>Same Day</v>
      </c>
      <c r="N480">
        <f>IF('[1]Cleaned Text Field'!N480="",0,'[1]Cleaned Text Field'!N480)</f>
        <v>7</v>
      </c>
      <c r="O480">
        <v>4079.71</v>
      </c>
      <c r="P480" s="5">
        <f>IF('[1]Cleaned Text Field'!P480="",0,'[1]Cleaned Text Field'!P480)</f>
        <v>0.1</v>
      </c>
      <c r="Q480">
        <v>25702.17</v>
      </c>
      <c r="R480">
        <v>14571.48</v>
      </c>
      <c r="S480">
        <v>11130.69</v>
      </c>
      <c r="T480" t="str">
        <f>PROPER(TRIM([1]raw_orders!T480))</f>
        <v>Refunded</v>
      </c>
      <c r="U480" t="str">
        <f>PROPER(TRIM([1]raw_orders!U480))</f>
        <v>Returned</v>
      </c>
      <c r="V480" s="6">
        <f t="shared" si="56"/>
        <v>0.43306421208792883</v>
      </c>
      <c r="W480" t="str">
        <f t="shared" si="57"/>
        <v>June</v>
      </c>
      <c r="X480">
        <f t="shared" si="58"/>
        <v>2024</v>
      </c>
      <c r="Y480">
        <f t="shared" si="59"/>
        <v>4</v>
      </c>
      <c r="Z480" s="7">
        <f t="shared" si="60"/>
        <v>0.1</v>
      </c>
      <c r="AA480">
        <f t="shared" si="61"/>
        <v>25702.173000000003</v>
      </c>
      <c r="AB480">
        <f t="shared" si="62"/>
        <v>11130.689999999999</v>
      </c>
      <c r="AC480" t="str">
        <f t="shared" si="63"/>
        <v>Clean</v>
      </c>
    </row>
    <row r="481" spans="1:29">
      <c r="A481" t="s">
        <v>1478</v>
      </c>
      <c r="B481" s="4">
        <v>45345</v>
      </c>
      <c r="C481" s="4">
        <v>45342</v>
      </c>
      <c r="D481" t="s">
        <v>1479</v>
      </c>
      <c r="E481" t="str">
        <f>PROPER(TRIM([1]raw_orders!E481))</f>
        <v>Arjun Bose</v>
      </c>
      <c r="F481" t="str">
        <f>PROPER(TRIM([1]raw_orders!F481))</f>
        <v>Corporate</v>
      </c>
      <c r="G481" t="str">
        <f>IF('[1]Cleaned Text Field'!G481="","Unknown",'[1]Cleaned Text Field'!G481)</f>
        <v>East</v>
      </c>
      <c r="H481" t="str">
        <f>PROPER(TRIM([1]raw_orders!H481))</f>
        <v>Odisha</v>
      </c>
      <c r="I481" t="str">
        <f>PROPER(TRIM([1]raw_orders!I481))</f>
        <v>Bhubaneswar</v>
      </c>
      <c r="J481" t="str">
        <f>PROPER(TRIM([1]raw_orders!J481))</f>
        <v>Furniture</v>
      </c>
      <c r="K481" t="str">
        <f>PROPER(TRIM([1]raw_orders!K481))</f>
        <v>Chairs</v>
      </c>
      <c r="L481" t="s">
        <v>1480</v>
      </c>
      <c r="M481" t="str">
        <f>IF('[1]Cleaned Text Field'!M481="","Unknown",'[1]Cleaned Text Field'!M481)</f>
        <v>Second Class</v>
      </c>
      <c r="N481">
        <f>IF('[1]Cleaned Text Field'!N481="",0,'[1]Cleaned Text Field'!N481)</f>
        <v>1</v>
      </c>
      <c r="O481">
        <v>2202.5500000000002</v>
      </c>
      <c r="P481" s="5">
        <f>IF('[1]Cleaned Text Field'!P481="",0,'[1]Cleaned Text Field'!P481)</f>
        <v>0</v>
      </c>
      <c r="Q481">
        <v>1651.91</v>
      </c>
      <c r="R481">
        <v>1034.57</v>
      </c>
      <c r="S481">
        <v>617.34</v>
      </c>
      <c r="T481" t="str">
        <f>PROPER(TRIM([1]raw_orders!T481))</f>
        <v>Paid</v>
      </c>
      <c r="U481" t="str">
        <f>PROPER(TRIM([1]raw_orders!U481))</f>
        <v>Completed</v>
      </c>
      <c r="V481" s="6">
        <f t="shared" si="56"/>
        <v>0.37371285360582596</v>
      </c>
      <c r="W481" t="str">
        <f t="shared" si="57"/>
        <v>February</v>
      </c>
      <c r="X481">
        <f t="shared" si="58"/>
        <v>2024</v>
      </c>
      <c r="Y481">
        <f t="shared" si="59"/>
        <v>-3</v>
      </c>
      <c r="Z481" s="7">
        <f t="shared" si="60"/>
        <v>0</v>
      </c>
      <c r="AA481">
        <f t="shared" si="61"/>
        <v>2202.5500000000002</v>
      </c>
      <c r="AB481">
        <f t="shared" si="62"/>
        <v>617.34000000000015</v>
      </c>
      <c r="AC481" t="str">
        <f t="shared" si="63"/>
        <v>Warning</v>
      </c>
    </row>
    <row r="482" spans="1:29">
      <c r="A482" t="s">
        <v>1481</v>
      </c>
      <c r="B482" s="4">
        <v>45662</v>
      </c>
      <c r="C482" s="4">
        <v>45666</v>
      </c>
      <c r="D482" t="s">
        <v>1482</v>
      </c>
      <c r="E482" t="str">
        <f>PROPER(TRIM([1]raw_orders!E482))</f>
        <v>Neha Gupta</v>
      </c>
      <c r="F482" t="str">
        <f>PROPER(TRIM([1]raw_orders!F482))</f>
        <v>Small Business</v>
      </c>
      <c r="G482" t="str">
        <f>IF('[1]Cleaned Text Field'!G482="","Unknown",'[1]Cleaned Text Field'!G482)</f>
        <v>South</v>
      </c>
      <c r="H482" t="str">
        <f>PROPER(TRIM([1]raw_orders!H482))</f>
        <v>Tamil Nadu</v>
      </c>
      <c r="I482" t="str">
        <f>PROPER(TRIM([1]raw_orders!I482))</f>
        <v>Chennai</v>
      </c>
      <c r="J482" t="str">
        <f>PROPER(TRIM([1]raw_orders!J482))</f>
        <v>Office Supplies</v>
      </c>
      <c r="K482" t="str">
        <f>PROPER(TRIM([1]raw_orders!K482))</f>
        <v>Storage</v>
      </c>
      <c r="L482" t="s">
        <v>1483</v>
      </c>
      <c r="M482" t="str">
        <f>IF('[1]Cleaned Text Field'!M482="","Unknown",'[1]Cleaned Text Field'!M482)</f>
        <v>Unknown</v>
      </c>
      <c r="N482">
        <f>IF('[1]Cleaned Text Field'!N482="",0,'[1]Cleaned Text Field'!N482)</f>
        <v>5</v>
      </c>
      <c r="O482">
        <v>905.16</v>
      </c>
      <c r="P482" s="5">
        <f>IF('[1]Cleaned Text Field'!P482="",0,'[1]Cleaned Text Field'!P482)</f>
        <v>0</v>
      </c>
      <c r="Q482">
        <v>4525.8</v>
      </c>
      <c r="R482">
        <v>2714.51</v>
      </c>
      <c r="S482">
        <v>1811.29</v>
      </c>
      <c r="T482" t="str">
        <f>PROPER(TRIM([1]raw_orders!T482))</f>
        <v>Paid</v>
      </c>
      <c r="U482" t="str">
        <f>PROPER(TRIM([1]raw_orders!U482))</f>
        <v>Completed</v>
      </c>
      <c r="V482" s="6">
        <f t="shared" si="56"/>
        <v>0.40021432674886204</v>
      </c>
      <c r="W482" t="str">
        <f t="shared" si="57"/>
        <v>January</v>
      </c>
      <c r="X482">
        <f t="shared" si="58"/>
        <v>2025</v>
      </c>
      <c r="Y482">
        <f t="shared" si="59"/>
        <v>4</v>
      </c>
      <c r="Z482" s="7">
        <f t="shared" si="60"/>
        <v>0</v>
      </c>
      <c r="AA482">
        <f t="shared" si="61"/>
        <v>4525.8</v>
      </c>
      <c r="AB482">
        <f t="shared" si="62"/>
        <v>1811.29</v>
      </c>
      <c r="AC482" t="str">
        <f t="shared" si="63"/>
        <v>Clean</v>
      </c>
    </row>
    <row r="483" spans="1:29">
      <c r="A483" t="s">
        <v>1484</v>
      </c>
      <c r="B483" s="4">
        <v>45813</v>
      </c>
      <c r="C483" s="4">
        <v>45821</v>
      </c>
      <c r="D483" t="s">
        <v>1485</v>
      </c>
      <c r="E483" t="str">
        <f>PROPER(TRIM([1]raw_orders!E483))</f>
        <v>Isha Nair</v>
      </c>
      <c r="F483" t="str">
        <f>PROPER(TRIM([1]raw_orders!F483))</f>
        <v>Consumer</v>
      </c>
      <c r="G483" t="str">
        <f>IF('[1]Cleaned Text Field'!G483="","Unknown",'[1]Cleaned Text Field'!G483)</f>
        <v>North</v>
      </c>
      <c r="H483" t="str">
        <f>PROPER(TRIM([1]raw_orders!H483))</f>
        <v>Uttar Pradesh</v>
      </c>
      <c r="I483" t="str">
        <f>PROPER(TRIM([1]raw_orders!I483))</f>
        <v>Noida</v>
      </c>
      <c r="J483" t="str">
        <f>PROPER(TRIM([1]raw_orders!J483))</f>
        <v>Technology</v>
      </c>
      <c r="K483" t="str">
        <f>PROPER(TRIM([1]raw_orders!K483))</f>
        <v>Machines</v>
      </c>
      <c r="L483" t="s">
        <v>1486</v>
      </c>
      <c r="M483" t="str">
        <f>IF('[1]Cleaned Text Field'!M483="","Unknown",'[1]Cleaned Text Field'!M483)</f>
        <v>Same Day</v>
      </c>
      <c r="N483">
        <f>IF('[1]Cleaned Text Field'!N483="",0,'[1]Cleaned Text Field'!N483)</f>
        <v>4</v>
      </c>
      <c r="O483">
        <v>2793.88</v>
      </c>
      <c r="P483" s="5" t="str">
        <f>IF('[1]Cleaned Text Field'!P483="",0,'[1]Cleaned Text Field'!P483)</f>
        <v>85%</v>
      </c>
      <c r="Q483">
        <v>10616.74</v>
      </c>
      <c r="R483">
        <v>6353.59</v>
      </c>
      <c r="S483">
        <v>4263.1499999999996</v>
      </c>
      <c r="T483" t="str">
        <f>PROPER(TRIM([1]raw_orders!T483))</f>
        <v>Paid</v>
      </c>
      <c r="U483" t="str">
        <f>PROPER(TRIM([1]raw_orders!U483))</f>
        <v>Completed</v>
      </c>
      <c r="V483" s="6">
        <f t="shared" si="56"/>
        <v>0.40154981661037192</v>
      </c>
      <c r="W483" t="str">
        <f t="shared" si="57"/>
        <v>June</v>
      </c>
      <c r="X483">
        <f t="shared" si="58"/>
        <v>2025</v>
      </c>
      <c r="Y483">
        <f t="shared" si="59"/>
        <v>8</v>
      </c>
      <c r="Z483" s="7">
        <f>VALUE(SUBSTITUTE(P483,"%",""))/100</f>
        <v>0.85</v>
      </c>
      <c r="AA483">
        <f t="shared" si="61"/>
        <v>1676.3280000000002</v>
      </c>
      <c r="AB483">
        <f t="shared" si="62"/>
        <v>4263.1499999999996</v>
      </c>
      <c r="AC483" t="str">
        <f t="shared" si="63"/>
        <v>Clean</v>
      </c>
    </row>
    <row r="484" spans="1:29">
      <c r="A484" t="s">
        <v>1487</v>
      </c>
      <c r="B484" s="4">
        <v>45495</v>
      </c>
      <c r="C484" s="4">
        <v>45495</v>
      </c>
      <c r="D484" t="s">
        <v>1488</v>
      </c>
      <c r="E484" t="str">
        <f>PROPER(TRIM([1]raw_orders!E484))</f>
        <v>Priya Menon</v>
      </c>
      <c r="F484" t="str">
        <f>PROPER(TRIM([1]raw_orders!F484))</f>
        <v>Consumer</v>
      </c>
      <c r="G484" t="str">
        <f>IF('[1]Cleaned Text Field'!G484="","Unknown",'[1]Cleaned Text Field'!G484)</f>
        <v>South</v>
      </c>
      <c r="H484" t="str">
        <f>PROPER(TRIM([1]raw_orders!H484))</f>
        <v>Karnataka</v>
      </c>
      <c r="I484" t="str">
        <f>PROPER(TRIM([1]raw_orders!I484))</f>
        <v>Bengaluru</v>
      </c>
      <c r="J484" t="str">
        <f>PROPER(TRIM([1]raw_orders!J484))</f>
        <v>Technology</v>
      </c>
      <c r="K484" t="str">
        <f>PROPER(TRIM([1]raw_orders!K484))</f>
        <v>Accessories</v>
      </c>
      <c r="L484" t="s">
        <v>1489</v>
      </c>
      <c r="M484" t="str">
        <f>IF('[1]Cleaned Text Field'!M484="","Unknown",'[1]Cleaned Text Field'!M484)</f>
        <v>Second Class</v>
      </c>
      <c r="N484">
        <f>IF('[1]Cleaned Text Field'!N484="",0,'[1]Cleaned Text Field'!N484)</f>
        <v>3</v>
      </c>
      <c r="O484">
        <v>1286.22</v>
      </c>
      <c r="P484" s="5">
        <f>IF('[1]Cleaned Text Field'!P484="",0,'[1]Cleaned Text Field'!P484)</f>
        <v>0.25</v>
      </c>
      <c r="Q484">
        <v>2893.99</v>
      </c>
      <c r="R484">
        <v>1856.03</v>
      </c>
      <c r="S484">
        <v>1037.96</v>
      </c>
      <c r="T484" t="str">
        <f>PROPER(TRIM([1]raw_orders!T484))</f>
        <v>Paid</v>
      </c>
      <c r="U484" t="str">
        <f>PROPER(TRIM([1]raw_orders!U484))</f>
        <v>Completed</v>
      </c>
      <c r="V484" s="6">
        <f t="shared" si="56"/>
        <v>0.35866053441787987</v>
      </c>
      <c r="W484" t="str">
        <f t="shared" si="57"/>
        <v>July</v>
      </c>
      <c r="X484">
        <f t="shared" si="58"/>
        <v>2024</v>
      </c>
      <c r="Y484">
        <f t="shared" si="59"/>
        <v>0</v>
      </c>
      <c r="Z484" s="7">
        <f t="shared" si="60"/>
        <v>0.25</v>
      </c>
      <c r="AA484">
        <f t="shared" si="61"/>
        <v>2893.9949999999999</v>
      </c>
      <c r="AB484">
        <f t="shared" si="62"/>
        <v>1037.9599999999998</v>
      </c>
      <c r="AC484" t="str">
        <f t="shared" si="63"/>
        <v>Clean</v>
      </c>
    </row>
    <row r="485" spans="1:29">
      <c r="A485" t="s">
        <v>1490</v>
      </c>
      <c r="B485" s="4">
        <v>45651</v>
      </c>
      <c r="C485" s="4">
        <v>45651</v>
      </c>
      <c r="D485" t="s">
        <v>1491</v>
      </c>
      <c r="E485" t="str">
        <f>PROPER(TRIM([1]raw_orders!E485))</f>
        <v>Mira Das</v>
      </c>
      <c r="F485" t="str">
        <f>PROPER(TRIM([1]raw_orders!F485))</f>
        <v>Corporate</v>
      </c>
      <c r="G485" t="str">
        <f>IF('[1]Cleaned Text Field'!G485="","Unknown",'[1]Cleaned Text Field'!G485)</f>
        <v>East</v>
      </c>
      <c r="H485" t="str">
        <f>PROPER(TRIM([1]raw_orders!H485))</f>
        <v>Bihar</v>
      </c>
      <c r="I485" t="str">
        <f>PROPER(TRIM([1]raw_orders!I485))</f>
        <v>Patna</v>
      </c>
      <c r="J485" t="str">
        <f>PROPER(TRIM([1]raw_orders!J485))</f>
        <v>Technology</v>
      </c>
      <c r="K485" t="str">
        <f>PROPER(TRIM([1]raw_orders!K485))</f>
        <v>Copiers</v>
      </c>
      <c r="L485" t="s">
        <v>1492</v>
      </c>
      <c r="M485" t="str">
        <f>IF('[1]Cleaned Text Field'!M485="","Unknown",'[1]Cleaned Text Field'!M485)</f>
        <v>Standard Class</v>
      </c>
      <c r="N485">
        <f>IF('[1]Cleaned Text Field'!N485="",0,'[1]Cleaned Text Field'!N485)</f>
        <v>1</v>
      </c>
      <c r="O485">
        <v>829.66</v>
      </c>
      <c r="P485" s="5">
        <f>IF('[1]Cleaned Text Field'!P485="",0,'[1]Cleaned Text Field'!P485)</f>
        <v>0.15</v>
      </c>
      <c r="Q485">
        <v>705.21</v>
      </c>
      <c r="R485">
        <v>438.32</v>
      </c>
      <c r="S485">
        <v>266.89</v>
      </c>
      <c r="T485" t="str">
        <f>PROPER(TRIM([1]raw_orders!T485))</f>
        <v>Paid</v>
      </c>
      <c r="U485" t="str">
        <f>PROPER(TRIM([1]raw_orders!U485))</f>
        <v>Completed</v>
      </c>
      <c r="V485" s="6">
        <f t="shared" si="56"/>
        <v>0.3784546447157584</v>
      </c>
      <c r="W485" t="str">
        <f t="shared" si="57"/>
        <v>December</v>
      </c>
      <c r="X485">
        <f t="shared" si="58"/>
        <v>2024</v>
      </c>
      <c r="Y485">
        <f t="shared" si="59"/>
        <v>0</v>
      </c>
      <c r="Z485" s="7">
        <f t="shared" si="60"/>
        <v>0.15</v>
      </c>
      <c r="AA485">
        <f t="shared" si="61"/>
        <v>705.2109999999999</v>
      </c>
      <c r="AB485">
        <f t="shared" si="62"/>
        <v>266.89000000000004</v>
      </c>
      <c r="AC485" t="str">
        <f t="shared" si="63"/>
        <v>Clean</v>
      </c>
    </row>
    <row r="486" spans="1:29">
      <c r="A486" t="s">
        <v>1493</v>
      </c>
      <c r="B486" s="4">
        <v>45654</v>
      </c>
      <c r="C486" s="4">
        <v>45657</v>
      </c>
      <c r="D486" t="s">
        <v>1494</v>
      </c>
      <c r="E486" t="str">
        <f>PROPER(TRIM([1]raw_orders!E486))</f>
        <v>Mira Das</v>
      </c>
      <c r="F486" t="str">
        <f>PROPER(TRIM([1]raw_orders!F486))</f>
        <v>Small Business</v>
      </c>
      <c r="G486" t="str">
        <f>IF('[1]Cleaned Text Field'!G486="","Unknown",'[1]Cleaned Text Field'!G486)</f>
        <v>South</v>
      </c>
      <c r="H486" t="str">
        <f>PROPER(TRIM([1]raw_orders!H486))</f>
        <v>Andhra Pradesh</v>
      </c>
      <c r="I486" t="str">
        <f>PROPER(TRIM([1]raw_orders!I486))</f>
        <v>Vijayawada</v>
      </c>
      <c r="J486" t="str">
        <f>PROPER(TRIM([1]raw_orders!J486))</f>
        <v>Furniture</v>
      </c>
      <c r="K486" t="str">
        <f>PROPER(TRIM([1]raw_orders!K486))</f>
        <v>Furnishings</v>
      </c>
      <c r="L486" t="s">
        <v>1495</v>
      </c>
      <c r="M486" t="str">
        <f>IF('[1]Cleaned Text Field'!M486="","Unknown",'[1]Cleaned Text Field'!M486)</f>
        <v>First Class</v>
      </c>
      <c r="N486">
        <f>IF('[1]Cleaned Text Field'!N486="",0,'[1]Cleaned Text Field'!N486)</f>
        <v>6</v>
      </c>
      <c r="O486">
        <v>3641.22</v>
      </c>
      <c r="P486" s="5">
        <f>IF('[1]Cleaned Text Field'!P486="",0,'[1]Cleaned Text Field'!P486)</f>
        <v>0.25</v>
      </c>
      <c r="Q486">
        <v>16385.490000000002</v>
      </c>
      <c r="R486">
        <v>13679.24</v>
      </c>
      <c r="S486">
        <v>2706.25</v>
      </c>
      <c r="T486" t="str">
        <f>PROPER(TRIM([1]raw_orders!T486))</f>
        <v>Paid</v>
      </c>
      <c r="U486" t="str">
        <f>PROPER(TRIM([1]raw_orders!U486))</f>
        <v>Completed</v>
      </c>
      <c r="V486" s="6">
        <f t="shared" si="56"/>
        <v>0.1651613714328958</v>
      </c>
      <c r="W486" t="str">
        <f t="shared" si="57"/>
        <v>December</v>
      </c>
      <c r="X486">
        <f t="shared" si="58"/>
        <v>2024</v>
      </c>
      <c r="Y486">
        <f t="shared" si="59"/>
        <v>3</v>
      </c>
      <c r="Z486" s="7">
        <f t="shared" si="60"/>
        <v>0.25</v>
      </c>
      <c r="AA486">
        <f t="shared" si="61"/>
        <v>16385.489999999998</v>
      </c>
      <c r="AB486">
        <f t="shared" si="62"/>
        <v>2706.2500000000018</v>
      </c>
      <c r="AC486" t="str">
        <f t="shared" si="63"/>
        <v>Clean</v>
      </c>
    </row>
    <row r="487" spans="1:29">
      <c r="A487" t="s">
        <v>1496</v>
      </c>
      <c r="B487" s="4">
        <v>45679</v>
      </c>
      <c r="C487" s="4">
        <v>45680</v>
      </c>
      <c r="D487" t="s">
        <v>1497</v>
      </c>
      <c r="E487" t="str">
        <f>PROPER(TRIM([1]raw_orders!E487))</f>
        <v>Rahul Verma</v>
      </c>
      <c r="F487" t="str">
        <f>PROPER(TRIM([1]raw_orders!F487))</f>
        <v>Corporate</v>
      </c>
      <c r="G487" t="str">
        <f>IF('[1]Cleaned Text Field'!G487="","Unknown",'[1]Cleaned Text Field'!G487)</f>
        <v>West</v>
      </c>
      <c r="H487" t="str">
        <f>PROPER(TRIM([1]raw_orders!H487))</f>
        <v>Goa</v>
      </c>
      <c r="I487" t="str">
        <f>PROPER(TRIM([1]raw_orders!I487))</f>
        <v>Panaji</v>
      </c>
      <c r="J487" t="str">
        <f>PROPER(TRIM([1]raw_orders!J487))</f>
        <v>Furniture</v>
      </c>
      <c r="K487" t="str">
        <f>PROPER(TRIM([1]raw_orders!K487))</f>
        <v>Bookcases</v>
      </c>
      <c r="L487" t="s">
        <v>1498</v>
      </c>
      <c r="M487" t="str">
        <f>IF('[1]Cleaned Text Field'!M487="","Unknown",'[1]Cleaned Text Field'!M487)</f>
        <v>Standard Class</v>
      </c>
      <c r="N487">
        <f>IF('[1]Cleaned Text Field'!N487="",0,'[1]Cleaned Text Field'!N487)</f>
        <v>4</v>
      </c>
      <c r="O487">
        <v>2555.19</v>
      </c>
      <c r="P487" s="5">
        <f>IF('[1]Cleaned Text Field'!P487="",0,'[1]Cleaned Text Field'!P487)</f>
        <v>0.25</v>
      </c>
      <c r="Q487">
        <v>7665.57</v>
      </c>
      <c r="R487">
        <v>5595.6</v>
      </c>
      <c r="S487">
        <v>2069.9699999999998</v>
      </c>
      <c r="T487" t="str">
        <f>PROPER(TRIM([1]raw_orders!T487))</f>
        <v>Paid</v>
      </c>
      <c r="U487" t="str">
        <f>PROPER(TRIM([1]raw_orders!U487))</f>
        <v>Completed</v>
      </c>
      <c r="V487" s="6">
        <f t="shared" si="56"/>
        <v>0.27003471366121501</v>
      </c>
      <c r="W487" t="str">
        <f t="shared" si="57"/>
        <v>January</v>
      </c>
      <c r="X487">
        <f t="shared" si="58"/>
        <v>2025</v>
      </c>
      <c r="Y487">
        <f t="shared" si="59"/>
        <v>1</v>
      </c>
      <c r="Z487" s="7">
        <f t="shared" si="60"/>
        <v>0.25</v>
      </c>
      <c r="AA487">
        <f t="shared" si="61"/>
        <v>7665.57</v>
      </c>
      <c r="AB487">
        <f t="shared" si="62"/>
        <v>2069.9699999999993</v>
      </c>
      <c r="AC487" t="str">
        <f t="shared" si="63"/>
        <v>Clean</v>
      </c>
    </row>
    <row r="488" spans="1:29">
      <c r="A488" t="s">
        <v>1499</v>
      </c>
      <c r="B488" s="4">
        <v>45830</v>
      </c>
      <c r="C488" s="4">
        <v>45834</v>
      </c>
      <c r="D488" t="s">
        <v>1500</v>
      </c>
      <c r="E488" t="str">
        <f>PROPER(TRIM([1]raw_orders!E488))</f>
        <v>Rahul Verma</v>
      </c>
      <c r="F488" t="str">
        <f>PROPER(TRIM([1]raw_orders!F488))</f>
        <v>Corporate</v>
      </c>
      <c r="G488" t="str">
        <f>IF('[1]Cleaned Text Field'!G488="","Unknown",'[1]Cleaned Text Field'!G488)</f>
        <v>West</v>
      </c>
      <c r="H488" t="str">
        <f>PROPER(TRIM([1]raw_orders!H488))</f>
        <v>Goa</v>
      </c>
      <c r="I488" t="str">
        <f>PROPER(TRIM([1]raw_orders!I488))</f>
        <v>Panaji</v>
      </c>
      <c r="J488" t="str">
        <f>PROPER(TRIM([1]raw_orders!J488))</f>
        <v>Furniture</v>
      </c>
      <c r="K488" t="str">
        <f>PROPER(TRIM([1]raw_orders!K488))</f>
        <v>Tables</v>
      </c>
      <c r="L488" t="s">
        <v>1501</v>
      </c>
      <c r="M488" t="str">
        <f>IF('[1]Cleaned Text Field'!M488="","Unknown",'[1]Cleaned Text Field'!M488)</f>
        <v>Standard Class</v>
      </c>
      <c r="N488">
        <f>IF('[1]Cleaned Text Field'!N488="",0,'[1]Cleaned Text Field'!N488)</f>
        <v>3</v>
      </c>
      <c r="O488">
        <v>1946.18</v>
      </c>
      <c r="P488" s="5">
        <f>IF('[1]Cleaned Text Field'!P488="",0,'[1]Cleaned Text Field'!P488)</f>
        <v>0.2</v>
      </c>
      <c r="Q488">
        <v>4670.83</v>
      </c>
      <c r="R488">
        <v>3166.49</v>
      </c>
      <c r="S488">
        <v>1504.34</v>
      </c>
      <c r="T488" t="str">
        <f>PROPER(TRIM([1]raw_orders!T488))</f>
        <v>Paid</v>
      </c>
      <c r="U488" t="str">
        <f>PROPER(TRIM([1]raw_orders!U488))</f>
        <v>Completed</v>
      </c>
      <c r="V488" s="6">
        <f t="shared" si="56"/>
        <v>0.32207123787421077</v>
      </c>
      <c r="W488" t="str">
        <f t="shared" si="57"/>
        <v>June</v>
      </c>
      <c r="X488">
        <f t="shared" si="58"/>
        <v>2025</v>
      </c>
      <c r="Y488">
        <f t="shared" si="59"/>
        <v>4</v>
      </c>
      <c r="Z488" s="7">
        <f t="shared" si="60"/>
        <v>0.2</v>
      </c>
      <c r="AA488">
        <f t="shared" si="61"/>
        <v>4670.8320000000003</v>
      </c>
      <c r="AB488">
        <f t="shared" si="62"/>
        <v>1504.3400000000001</v>
      </c>
      <c r="AC488" t="str">
        <f t="shared" si="63"/>
        <v>Clean</v>
      </c>
    </row>
    <row r="489" spans="1:29">
      <c r="A489" t="s">
        <v>1502</v>
      </c>
      <c r="B489" s="4">
        <v>45818</v>
      </c>
      <c r="C489" s="4">
        <v>45825</v>
      </c>
      <c r="D489" t="s">
        <v>1503</v>
      </c>
      <c r="E489" t="str">
        <f>PROPER(TRIM([1]raw_orders!E489))</f>
        <v>Rahul Verma</v>
      </c>
      <c r="F489" t="str">
        <f>PROPER(TRIM([1]raw_orders!F489))</f>
        <v>Corporate</v>
      </c>
      <c r="G489" t="str">
        <f>IF('[1]Cleaned Text Field'!G489="","Unknown",'[1]Cleaned Text Field'!G489)</f>
        <v>South</v>
      </c>
      <c r="H489" t="str">
        <f>PROPER(TRIM([1]raw_orders!H489))</f>
        <v>Telangana</v>
      </c>
      <c r="I489" t="str">
        <f>PROPER(TRIM([1]raw_orders!I489))</f>
        <v>Hyderabad</v>
      </c>
      <c r="J489" t="str">
        <f>PROPER(TRIM([1]raw_orders!J489))</f>
        <v>Furniture</v>
      </c>
      <c r="K489" t="str">
        <f>PROPER(TRIM([1]raw_orders!K489))</f>
        <v>Furnishings</v>
      </c>
      <c r="L489" t="s">
        <v>1504</v>
      </c>
      <c r="M489" t="str">
        <f>IF('[1]Cleaned Text Field'!M489="","Unknown",'[1]Cleaned Text Field'!M489)</f>
        <v>Standard Class</v>
      </c>
      <c r="N489">
        <f>IF('[1]Cleaned Text Field'!N489="",0,'[1]Cleaned Text Field'!N489)</f>
        <v>5</v>
      </c>
      <c r="O489">
        <v>1231.0999999999999</v>
      </c>
      <c r="P489" s="5">
        <f>IF('[1]Cleaned Text Field'!P489="",0,'[1]Cleaned Text Field'!P489)</f>
        <v>0</v>
      </c>
      <c r="Q489">
        <v>6155.5</v>
      </c>
      <c r="R489">
        <v>4282.09</v>
      </c>
      <c r="S489">
        <v>1873.41</v>
      </c>
      <c r="T489" t="str">
        <f>PROPER(TRIM([1]raw_orders!T489))</f>
        <v>Refunded</v>
      </c>
      <c r="U489" t="str">
        <f>PROPER(TRIM([1]raw_orders!U489))</f>
        <v>Returned</v>
      </c>
      <c r="V489" s="6">
        <f t="shared" si="56"/>
        <v>0.30434733165461786</v>
      </c>
      <c r="W489" t="str">
        <f t="shared" si="57"/>
        <v>June</v>
      </c>
      <c r="X489">
        <f t="shared" si="58"/>
        <v>2025</v>
      </c>
      <c r="Y489">
        <f t="shared" si="59"/>
        <v>7</v>
      </c>
      <c r="Z489" s="7">
        <f t="shared" si="60"/>
        <v>0</v>
      </c>
      <c r="AA489">
        <f t="shared" si="61"/>
        <v>6155.5</v>
      </c>
      <c r="AB489">
        <f t="shared" si="62"/>
        <v>1873.4099999999999</v>
      </c>
      <c r="AC489" t="str">
        <f t="shared" si="63"/>
        <v>Clean</v>
      </c>
    </row>
    <row r="490" spans="1:29">
      <c r="A490" t="s">
        <v>1505</v>
      </c>
      <c r="B490" s="4">
        <v>45579</v>
      </c>
      <c r="C490" s="4">
        <v>45585</v>
      </c>
      <c r="D490" t="s">
        <v>1506</v>
      </c>
      <c r="E490" t="str">
        <f>PROPER(TRIM([1]raw_orders!E490))</f>
        <v>Aditi Sen</v>
      </c>
      <c r="F490" t="str">
        <f>PROPER(TRIM([1]raw_orders!F490))</f>
        <v>Small Business</v>
      </c>
      <c r="G490" t="str">
        <f>IF('[1]Cleaned Text Field'!G490="","Unknown",'[1]Cleaned Text Field'!G490)</f>
        <v>North</v>
      </c>
      <c r="H490" t="str">
        <f>PROPER(TRIM([1]raw_orders!H490))</f>
        <v>Rajasthan</v>
      </c>
      <c r="I490" t="str">
        <f>PROPER(TRIM([1]raw_orders!I490))</f>
        <v>Jaipur</v>
      </c>
      <c r="J490" t="str">
        <f>PROPER(TRIM([1]raw_orders!J490))</f>
        <v>Furniture</v>
      </c>
      <c r="K490" t="str">
        <f>PROPER(TRIM([1]raw_orders!K490))</f>
        <v>Tables</v>
      </c>
      <c r="L490" t="s">
        <v>1507</v>
      </c>
      <c r="M490" t="str">
        <f>IF('[1]Cleaned Text Field'!M490="","Unknown",'[1]Cleaned Text Field'!M490)</f>
        <v>Same Day</v>
      </c>
      <c r="N490">
        <f>IF('[1]Cleaned Text Field'!N490="",0,'[1]Cleaned Text Field'!N490)</f>
        <v>7</v>
      </c>
      <c r="O490">
        <v>1547.6</v>
      </c>
      <c r="P490" s="5">
        <f>IF('[1]Cleaned Text Field'!P490="",0,'[1]Cleaned Text Field'!P490)</f>
        <v>0.2</v>
      </c>
      <c r="Q490">
        <v>8666.56</v>
      </c>
      <c r="R490">
        <v>5967.44</v>
      </c>
      <c r="S490">
        <v>2699.12</v>
      </c>
      <c r="T490" t="str">
        <f>PROPER(TRIM([1]raw_orders!T490))</f>
        <v>Paid</v>
      </c>
      <c r="U490" t="str">
        <f>PROPER(TRIM([1]raw_orders!U490))</f>
        <v>Completed</v>
      </c>
      <c r="V490" s="6">
        <f t="shared" si="56"/>
        <v>0.31144075619392242</v>
      </c>
      <c r="W490" t="str">
        <f t="shared" si="57"/>
        <v>October</v>
      </c>
      <c r="X490">
        <f t="shared" si="58"/>
        <v>2024</v>
      </c>
      <c r="Y490">
        <f t="shared" si="59"/>
        <v>6</v>
      </c>
      <c r="Z490" s="7">
        <f t="shared" si="60"/>
        <v>0.2</v>
      </c>
      <c r="AA490">
        <f t="shared" si="61"/>
        <v>8666.56</v>
      </c>
      <c r="AB490">
        <f t="shared" si="62"/>
        <v>2699.12</v>
      </c>
      <c r="AC490" t="str">
        <f t="shared" si="63"/>
        <v>Clean</v>
      </c>
    </row>
    <row r="491" spans="1:29">
      <c r="A491" t="s">
        <v>1508</v>
      </c>
      <c r="B491" s="4">
        <v>45329</v>
      </c>
      <c r="C491" s="4">
        <v>45334</v>
      </c>
      <c r="D491" t="s">
        <v>1509</v>
      </c>
      <c r="E491" t="str">
        <f>PROPER(TRIM([1]raw_orders!E491))</f>
        <v>Arjun Bose</v>
      </c>
      <c r="F491" t="str">
        <f>PROPER(TRIM([1]raw_orders!F491))</f>
        <v>Home Office</v>
      </c>
      <c r="G491" t="str">
        <f>IF('[1]Cleaned Text Field'!G491="","Unknown",'[1]Cleaned Text Field'!G491)</f>
        <v>East</v>
      </c>
      <c r="H491" t="str">
        <f>PROPER(TRIM([1]raw_orders!H491))</f>
        <v>West Bengal</v>
      </c>
      <c r="I491" t="str">
        <f>PROPER(TRIM([1]raw_orders!I491))</f>
        <v>Kolkata</v>
      </c>
      <c r="J491" t="str">
        <f>PROPER(TRIM([1]raw_orders!J491))</f>
        <v>Technology</v>
      </c>
      <c r="K491" t="str">
        <f>PROPER(TRIM([1]raw_orders!K491))</f>
        <v>Accessories</v>
      </c>
      <c r="L491" t="s">
        <v>1510</v>
      </c>
      <c r="M491" t="str">
        <f>IF('[1]Cleaned Text Field'!M491="","Unknown",'[1]Cleaned Text Field'!M491)</f>
        <v>Second Class</v>
      </c>
      <c r="N491">
        <f>IF('[1]Cleaned Text Field'!N491="",0,'[1]Cleaned Text Field'!N491)</f>
        <v>1</v>
      </c>
      <c r="O491">
        <v>452.19</v>
      </c>
      <c r="P491" s="5">
        <f>IF('[1]Cleaned Text Field'!P491="",0,'[1]Cleaned Text Field'!P491)</f>
        <v>0.2</v>
      </c>
      <c r="Q491">
        <v>361.75</v>
      </c>
      <c r="R491">
        <v>262.52999999999997</v>
      </c>
      <c r="S491">
        <v>99.22</v>
      </c>
      <c r="T491" t="str">
        <f>PROPER(TRIM([1]raw_orders!T491))</f>
        <v>Paid</v>
      </c>
      <c r="U491" t="str">
        <f>PROPER(TRIM([1]raw_orders!U491))</f>
        <v>Completed</v>
      </c>
      <c r="V491" s="6">
        <f t="shared" si="56"/>
        <v>0.27427781617138908</v>
      </c>
      <c r="W491" t="str">
        <f t="shared" si="57"/>
        <v>February</v>
      </c>
      <c r="X491">
        <f t="shared" si="58"/>
        <v>2024</v>
      </c>
      <c r="Y491">
        <f t="shared" si="59"/>
        <v>5</v>
      </c>
      <c r="Z491" s="7">
        <f t="shared" si="60"/>
        <v>0.2</v>
      </c>
      <c r="AA491">
        <f t="shared" si="61"/>
        <v>361.75200000000001</v>
      </c>
      <c r="AB491">
        <f t="shared" si="62"/>
        <v>99.220000000000027</v>
      </c>
      <c r="AC491" t="str">
        <f t="shared" si="63"/>
        <v>Clean</v>
      </c>
    </row>
    <row r="492" spans="1:29">
      <c r="A492" t="s">
        <v>1511</v>
      </c>
      <c r="B492" s="4">
        <v>45551</v>
      </c>
      <c r="C492" s="4">
        <v>45554</v>
      </c>
      <c r="D492" t="s">
        <v>1512</v>
      </c>
      <c r="E492" t="str">
        <f>PROPER(TRIM([1]raw_orders!E492))</f>
        <v>Aditi Sen</v>
      </c>
      <c r="F492" t="str">
        <f>PROPER(TRIM([1]raw_orders!F492))</f>
        <v>Consumer</v>
      </c>
      <c r="G492" t="str">
        <f>IF('[1]Cleaned Text Field'!G492="","Unknown",'[1]Cleaned Text Field'!G492)</f>
        <v>West</v>
      </c>
      <c r="H492" t="str">
        <f>PROPER(TRIM([1]raw_orders!H492))</f>
        <v>Rajasthan</v>
      </c>
      <c r="I492" t="str">
        <f>PROPER(TRIM([1]raw_orders!I492))</f>
        <v>Udaipur</v>
      </c>
      <c r="J492" t="str">
        <f>PROPER(TRIM([1]raw_orders!J492))</f>
        <v>Office Supplies</v>
      </c>
      <c r="K492" t="str">
        <f>PROPER(TRIM([1]raw_orders!K492))</f>
        <v>Binders</v>
      </c>
      <c r="L492" t="s">
        <v>1513</v>
      </c>
      <c r="M492" t="str">
        <f>IF('[1]Cleaned Text Field'!M492="","Unknown",'[1]Cleaned Text Field'!M492)</f>
        <v>First Class</v>
      </c>
      <c r="N492">
        <f>IF('[1]Cleaned Text Field'!N492="",0,'[1]Cleaned Text Field'!N492)</f>
        <v>7</v>
      </c>
      <c r="O492">
        <v>406.42</v>
      </c>
      <c r="P492" s="5">
        <f>IF('[1]Cleaned Text Field'!P492="",0,'[1]Cleaned Text Field'!P492)</f>
        <v>0.15</v>
      </c>
      <c r="Q492">
        <v>2418.1999999999998</v>
      </c>
      <c r="R492">
        <v>1613.82</v>
      </c>
      <c r="S492">
        <v>804.38</v>
      </c>
      <c r="T492" t="str">
        <f>PROPER(TRIM([1]raw_orders!T492))</f>
        <v>Paid</v>
      </c>
      <c r="U492" t="str">
        <f>PROPER(TRIM([1]raw_orders!U492))</f>
        <v>Completed</v>
      </c>
      <c r="V492" s="6">
        <f t="shared" si="56"/>
        <v>0.33263584484327186</v>
      </c>
      <c r="W492" t="str">
        <f t="shared" si="57"/>
        <v>September</v>
      </c>
      <c r="X492">
        <f t="shared" si="58"/>
        <v>2024</v>
      </c>
      <c r="Y492">
        <f t="shared" si="59"/>
        <v>3</v>
      </c>
      <c r="Z492" s="7">
        <f t="shared" si="60"/>
        <v>0.15</v>
      </c>
      <c r="AA492">
        <f t="shared" si="61"/>
        <v>2418.1990000000001</v>
      </c>
      <c r="AB492">
        <f t="shared" si="62"/>
        <v>804.37999999999988</v>
      </c>
      <c r="AC492" t="str">
        <f t="shared" si="63"/>
        <v>Clean</v>
      </c>
    </row>
    <row r="493" spans="1:29">
      <c r="A493" t="s">
        <v>1514</v>
      </c>
      <c r="B493" s="4">
        <v>45776</v>
      </c>
      <c r="C493" s="4">
        <v>45777</v>
      </c>
      <c r="D493" t="s">
        <v>1515</v>
      </c>
      <c r="E493" t="str">
        <f>PROPER(TRIM([1]raw_orders!E493))</f>
        <v>Mira Das</v>
      </c>
      <c r="F493" t="str">
        <f>PROPER(TRIM([1]raw_orders!F493))</f>
        <v>Corporate</v>
      </c>
      <c r="G493" t="str">
        <f>IF('[1]Cleaned Text Field'!G493="","Unknown",'[1]Cleaned Text Field'!G493)</f>
        <v>South</v>
      </c>
      <c r="H493" t="str">
        <f>PROPER(TRIM([1]raw_orders!H493))</f>
        <v>Kerala</v>
      </c>
      <c r="I493" t="str">
        <f>PROPER(TRIM([1]raw_orders!I493))</f>
        <v>Kochi</v>
      </c>
      <c r="J493" t="str">
        <f>PROPER(TRIM([1]raw_orders!J493))</f>
        <v>Technology</v>
      </c>
      <c r="K493" t="str">
        <f>PROPER(TRIM([1]raw_orders!K493))</f>
        <v>Accessories</v>
      </c>
      <c r="L493" t="s">
        <v>1516</v>
      </c>
      <c r="M493" t="str">
        <f>IF('[1]Cleaned Text Field'!M493="","Unknown",'[1]Cleaned Text Field'!M493)</f>
        <v>Standard Class</v>
      </c>
      <c r="N493">
        <f>IF('[1]Cleaned Text Field'!N493="",0,'[1]Cleaned Text Field'!N493)</f>
        <v>4</v>
      </c>
      <c r="O493">
        <v>606.58000000000004</v>
      </c>
      <c r="P493" s="5">
        <f>IF('[1]Cleaned Text Field'!P493="",0,'[1]Cleaned Text Field'!P493)</f>
        <v>0.2</v>
      </c>
      <c r="Q493">
        <v>1941.06</v>
      </c>
      <c r="R493">
        <v>1207.42</v>
      </c>
      <c r="S493">
        <v>733.64</v>
      </c>
      <c r="T493" t="str">
        <f>PROPER(TRIM([1]raw_orders!T493))</f>
        <v>Paid</v>
      </c>
      <c r="U493" t="str">
        <f>PROPER(TRIM([1]raw_orders!U493))</f>
        <v>Completed</v>
      </c>
      <c r="V493" s="6">
        <f t="shared" si="56"/>
        <v>0.3779584350818625</v>
      </c>
      <c r="W493" t="str">
        <f t="shared" si="57"/>
        <v>April</v>
      </c>
      <c r="X493">
        <f t="shared" si="58"/>
        <v>2025</v>
      </c>
      <c r="Y493">
        <f t="shared" si="59"/>
        <v>1</v>
      </c>
      <c r="Z493" s="7">
        <f t="shared" si="60"/>
        <v>0.2</v>
      </c>
      <c r="AA493">
        <f t="shared" si="61"/>
        <v>1941.0560000000003</v>
      </c>
      <c r="AB493">
        <f t="shared" si="62"/>
        <v>733.63999999999987</v>
      </c>
      <c r="AC493" t="str">
        <f t="shared" si="63"/>
        <v>Clean</v>
      </c>
    </row>
    <row r="494" spans="1:29">
      <c r="A494" t="s">
        <v>1517</v>
      </c>
      <c r="B494" s="4">
        <v>45836</v>
      </c>
      <c r="C494" s="4">
        <v>45840</v>
      </c>
      <c r="D494" t="s">
        <v>1518</v>
      </c>
      <c r="E494" t="str">
        <f>PROPER(TRIM([1]raw_orders!E494))</f>
        <v>Ananya Rao</v>
      </c>
      <c r="F494" t="str">
        <f>PROPER(TRIM([1]raw_orders!F494))</f>
        <v>Corporate</v>
      </c>
      <c r="G494" t="str">
        <f>IF('[1]Cleaned Text Field'!G494="","Unknown",'[1]Cleaned Text Field'!G494)</f>
        <v>South</v>
      </c>
      <c r="H494" t="str">
        <f>PROPER(TRIM([1]raw_orders!H494))</f>
        <v>Andhra Pradesh</v>
      </c>
      <c r="I494" t="str">
        <f>PROPER(TRIM([1]raw_orders!I494))</f>
        <v>Vijayawada</v>
      </c>
      <c r="J494" t="str">
        <f>PROPER(TRIM([1]raw_orders!J494))</f>
        <v>Office Supplies</v>
      </c>
      <c r="K494" t="str">
        <f>PROPER(TRIM([1]raw_orders!K494))</f>
        <v>Storage</v>
      </c>
      <c r="L494" t="s">
        <v>1519</v>
      </c>
      <c r="M494" t="str">
        <f>IF('[1]Cleaned Text Field'!M494="","Unknown",'[1]Cleaned Text Field'!M494)</f>
        <v>Second Class</v>
      </c>
      <c r="N494">
        <f>IF('[1]Cleaned Text Field'!N494="",0,'[1]Cleaned Text Field'!N494)</f>
        <v>2</v>
      </c>
      <c r="O494">
        <v>2725.44</v>
      </c>
      <c r="P494" s="5">
        <f>IF('[1]Cleaned Text Field'!P494="",0,'[1]Cleaned Text Field'!P494)</f>
        <v>0.25</v>
      </c>
      <c r="Q494">
        <v>4088.16</v>
      </c>
      <c r="R494">
        <v>3205.68</v>
      </c>
      <c r="S494">
        <v>882.48</v>
      </c>
      <c r="T494" t="str">
        <f>PROPER(TRIM([1]raw_orders!T494))</f>
        <v>Paid</v>
      </c>
      <c r="U494" t="str">
        <f>PROPER(TRIM([1]raw_orders!U494))</f>
        <v>Completed</v>
      </c>
      <c r="V494" s="6">
        <f t="shared" si="56"/>
        <v>0.21586239286133616</v>
      </c>
      <c r="W494" t="str">
        <f t="shared" si="57"/>
        <v>June</v>
      </c>
      <c r="X494">
        <f t="shared" si="58"/>
        <v>2025</v>
      </c>
      <c r="Y494">
        <f t="shared" si="59"/>
        <v>4</v>
      </c>
      <c r="Z494" s="7">
        <f t="shared" si="60"/>
        <v>0.25</v>
      </c>
      <c r="AA494">
        <f t="shared" si="61"/>
        <v>4088.16</v>
      </c>
      <c r="AB494">
        <f t="shared" si="62"/>
        <v>882.48</v>
      </c>
      <c r="AC494" t="str">
        <f t="shared" si="63"/>
        <v>Clean</v>
      </c>
    </row>
    <row r="495" spans="1:29">
      <c r="A495" t="s">
        <v>1520</v>
      </c>
      <c r="B495" s="4">
        <v>45701</v>
      </c>
      <c r="C495" s="4">
        <v>45701</v>
      </c>
      <c r="D495" t="s">
        <v>1521</v>
      </c>
      <c r="E495" t="str">
        <f>PROPER(TRIM([1]raw_orders!E495))</f>
        <v>Kabir Singh</v>
      </c>
      <c r="F495" t="str">
        <f>PROPER(TRIM([1]raw_orders!F495))</f>
        <v>Corporate</v>
      </c>
      <c r="G495" t="str">
        <f>IF('[1]Cleaned Text Field'!G495="","Unknown",'[1]Cleaned Text Field'!G495)</f>
        <v>East</v>
      </c>
      <c r="H495" t="str">
        <f>PROPER(TRIM([1]raw_orders!H495))</f>
        <v>Odisha</v>
      </c>
      <c r="I495" t="str">
        <f>PROPER(TRIM([1]raw_orders!I495))</f>
        <v>Bhubaneswar</v>
      </c>
      <c r="J495" t="str">
        <f>PROPER(TRIM([1]raw_orders!J495))</f>
        <v>Office Supplies</v>
      </c>
      <c r="K495" t="str">
        <f>PROPER(TRIM([1]raw_orders!K495))</f>
        <v>Paper</v>
      </c>
      <c r="L495" t="s">
        <v>1522</v>
      </c>
      <c r="M495" t="str">
        <f>IF('[1]Cleaned Text Field'!M495="","Unknown",'[1]Cleaned Text Field'!M495)</f>
        <v>Second Class</v>
      </c>
      <c r="N495">
        <f>IF('[1]Cleaned Text Field'!N495="",0,'[1]Cleaned Text Field'!N495)</f>
        <v>7</v>
      </c>
      <c r="O495">
        <v>2296.6999999999998</v>
      </c>
      <c r="P495" s="5">
        <f>IF('[1]Cleaned Text Field'!P495="",0,'[1]Cleaned Text Field'!P495)</f>
        <v>0.05</v>
      </c>
      <c r="Q495">
        <v>15273.05</v>
      </c>
      <c r="R495">
        <v>11088.76</v>
      </c>
      <c r="S495">
        <v>4184.29</v>
      </c>
      <c r="T495" t="str">
        <f>PROPER(TRIM([1]raw_orders!T495))</f>
        <v>Paid</v>
      </c>
      <c r="U495" t="str">
        <f>PROPER(TRIM([1]raw_orders!U495))</f>
        <v>Completed</v>
      </c>
      <c r="V495" s="6">
        <f t="shared" si="56"/>
        <v>0.27396557989399628</v>
      </c>
      <c r="W495" t="str">
        <f t="shared" si="57"/>
        <v>February</v>
      </c>
      <c r="X495">
        <f t="shared" si="58"/>
        <v>2025</v>
      </c>
      <c r="Y495">
        <f t="shared" si="59"/>
        <v>0</v>
      </c>
      <c r="Z495" s="7">
        <f t="shared" si="60"/>
        <v>0.05</v>
      </c>
      <c r="AA495">
        <f t="shared" si="61"/>
        <v>15273.054999999997</v>
      </c>
      <c r="AB495">
        <f t="shared" si="62"/>
        <v>4184.2899999999991</v>
      </c>
      <c r="AC495" t="str">
        <f t="shared" si="63"/>
        <v>Clean</v>
      </c>
    </row>
    <row r="496" spans="1:29">
      <c r="A496" t="s">
        <v>1523</v>
      </c>
      <c r="B496" s="4">
        <v>45610</v>
      </c>
      <c r="C496" s="4">
        <v>45618</v>
      </c>
      <c r="D496" t="s">
        <v>1524</v>
      </c>
      <c r="E496" t="str">
        <f>PROPER(TRIM([1]raw_orders!E496))</f>
        <v>Isha Nair</v>
      </c>
      <c r="F496" t="str">
        <f>PROPER(TRIM([1]raw_orders!F496))</f>
        <v>Consumer</v>
      </c>
      <c r="G496" t="str">
        <f>IF('[1]Cleaned Text Field'!G496="","Unknown",'[1]Cleaned Text Field'!G496)</f>
        <v>West</v>
      </c>
      <c r="H496" t="str">
        <f>PROPER(TRIM([1]raw_orders!H496))</f>
        <v>Madhya Pradesh</v>
      </c>
      <c r="I496" t="str">
        <f>PROPER(TRIM([1]raw_orders!I496))</f>
        <v>Indore</v>
      </c>
      <c r="J496" t="str">
        <f>PROPER(TRIM([1]raw_orders!J496))</f>
        <v>Technology</v>
      </c>
      <c r="K496" t="str">
        <f>PROPER(TRIM([1]raw_orders!K496))</f>
        <v>Phones</v>
      </c>
      <c r="L496" t="s">
        <v>1525</v>
      </c>
      <c r="M496" t="str">
        <f>IF('[1]Cleaned Text Field'!M496="","Unknown",'[1]Cleaned Text Field'!M496)</f>
        <v>Standard Class</v>
      </c>
      <c r="N496">
        <f>IF('[1]Cleaned Text Field'!N496="",0,'[1]Cleaned Text Field'!N496)</f>
        <v>3</v>
      </c>
      <c r="O496">
        <v>671.68</v>
      </c>
      <c r="P496" s="5">
        <f>IF('[1]Cleaned Text Field'!P496="",0,'[1]Cleaned Text Field'!P496)</f>
        <v>-0.13</v>
      </c>
      <c r="Q496">
        <v>1712.78</v>
      </c>
      <c r="R496">
        <v>1569.38</v>
      </c>
      <c r="S496">
        <v>360.66</v>
      </c>
      <c r="T496" t="str">
        <f>PROPER(TRIM([1]raw_orders!T496))</f>
        <v>Failed</v>
      </c>
      <c r="U496" t="str">
        <f>PROPER(TRIM([1]raw_orders!U496))</f>
        <v>Cancelled</v>
      </c>
      <c r="V496" s="6">
        <f t="shared" si="56"/>
        <v>0.21056995060661615</v>
      </c>
      <c r="W496" t="str">
        <f t="shared" si="57"/>
        <v>November</v>
      </c>
      <c r="X496">
        <f t="shared" si="58"/>
        <v>2024</v>
      </c>
      <c r="Y496">
        <f t="shared" si="59"/>
        <v>8</v>
      </c>
      <c r="Z496" s="7">
        <f t="shared" si="60"/>
        <v>-0.13</v>
      </c>
      <c r="AA496">
        <f t="shared" si="61"/>
        <v>2276.9951999999998</v>
      </c>
      <c r="AB496">
        <f t="shared" si="62"/>
        <v>143.39999999999986</v>
      </c>
      <c r="AC496" t="str">
        <f t="shared" si="63"/>
        <v>Clean</v>
      </c>
    </row>
    <row r="497" spans="1:29">
      <c r="A497" t="s">
        <v>1526</v>
      </c>
      <c r="B497" s="4">
        <v>45421</v>
      </c>
      <c r="C497" s="4">
        <v>45427</v>
      </c>
      <c r="D497" t="s">
        <v>1527</v>
      </c>
      <c r="E497" t="str">
        <f>PROPER(TRIM([1]raw_orders!E497))</f>
        <v>Mira Das</v>
      </c>
      <c r="F497" t="str">
        <f>PROPER(TRIM([1]raw_orders!F497))</f>
        <v>Small Business</v>
      </c>
      <c r="G497" t="str">
        <f>IF('[1]Cleaned Text Field'!G497="","Unknown",'[1]Cleaned Text Field'!G497)</f>
        <v>East</v>
      </c>
      <c r="H497" t="str">
        <f>PROPER(TRIM([1]raw_orders!H497))</f>
        <v>Assam</v>
      </c>
      <c r="I497" t="str">
        <f>PROPER(TRIM([1]raw_orders!I497))</f>
        <v>Guwahati</v>
      </c>
      <c r="J497" t="str">
        <f>PROPER(TRIM([1]raw_orders!J497))</f>
        <v>Technology</v>
      </c>
      <c r="K497" t="str">
        <f>PROPER(TRIM([1]raw_orders!K497))</f>
        <v>Phones</v>
      </c>
      <c r="L497" t="s">
        <v>1528</v>
      </c>
      <c r="M497" t="str">
        <f>IF('[1]Cleaned Text Field'!M497="","Unknown",'[1]Cleaned Text Field'!M497)</f>
        <v>Second Class</v>
      </c>
      <c r="N497">
        <f>IF('[1]Cleaned Text Field'!N497="",0,'[1]Cleaned Text Field'!N497)</f>
        <v>4</v>
      </c>
      <c r="O497">
        <v>995.98</v>
      </c>
      <c r="P497" s="5">
        <f>IF('[1]Cleaned Text Field'!P497="",0,'[1]Cleaned Text Field'!P497)</f>
        <v>0.05</v>
      </c>
      <c r="Q497">
        <v>3784.72</v>
      </c>
      <c r="R497">
        <v>2419.2399999999998</v>
      </c>
      <c r="S497">
        <v>1365.48</v>
      </c>
      <c r="T497" t="str">
        <f>PROPER(TRIM([1]raw_orders!T497))</f>
        <v>Refunded</v>
      </c>
      <c r="U497" t="str">
        <f>PROPER(TRIM([1]raw_orders!U497))</f>
        <v>Returned</v>
      </c>
      <c r="V497" s="6">
        <f t="shared" si="56"/>
        <v>0.3607875879853728</v>
      </c>
      <c r="W497" t="str">
        <f t="shared" si="57"/>
        <v>May</v>
      </c>
      <c r="X497">
        <f t="shared" si="58"/>
        <v>2024</v>
      </c>
      <c r="Y497">
        <f t="shared" si="59"/>
        <v>6</v>
      </c>
      <c r="Z497" s="7">
        <f t="shared" si="60"/>
        <v>0.05</v>
      </c>
      <c r="AA497">
        <f t="shared" si="61"/>
        <v>3784.7239999999997</v>
      </c>
      <c r="AB497">
        <f t="shared" si="62"/>
        <v>1365.48</v>
      </c>
      <c r="AC497" t="str">
        <f t="shared" si="63"/>
        <v>Clean</v>
      </c>
    </row>
    <row r="498" spans="1:29">
      <c r="A498" t="s">
        <v>1529</v>
      </c>
      <c r="B498" s="4">
        <v>45842</v>
      </c>
      <c r="C498" s="4">
        <v>45844</v>
      </c>
      <c r="D498" t="s">
        <v>1530</v>
      </c>
      <c r="E498" t="str">
        <f>PROPER(TRIM([1]raw_orders!E498))</f>
        <v>Kabir Singh</v>
      </c>
      <c r="F498" t="str">
        <f>PROPER(TRIM([1]raw_orders!F498))</f>
        <v>Small Business</v>
      </c>
      <c r="G498" t="str">
        <f>IF('[1]Cleaned Text Field'!G498="","Unknown",'[1]Cleaned Text Field'!G498)</f>
        <v>East</v>
      </c>
      <c r="H498" t="str">
        <f>PROPER(TRIM([1]raw_orders!H498))</f>
        <v>Jharkhand</v>
      </c>
      <c r="I498" t="str">
        <f>PROPER(TRIM([1]raw_orders!I498))</f>
        <v>Ranchi</v>
      </c>
      <c r="J498" t="str">
        <f>PROPER(TRIM([1]raw_orders!J498))</f>
        <v>Furniture</v>
      </c>
      <c r="K498" t="str">
        <f>PROPER(TRIM([1]raw_orders!K498))</f>
        <v>Chairs</v>
      </c>
      <c r="L498" t="s">
        <v>1531</v>
      </c>
      <c r="M498" t="str">
        <f>IF('[1]Cleaned Text Field'!M498="","Unknown",'[1]Cleaned Text Field'!M498)</f>
        <v>Second Class</v>
      </c>
      <c r="N498">
        <f>IF('[1]Cleaned Text Field'!N498="",0,'[1]Cleaned Text Field'!N498)</f>
        <v>2</v>
      </c>
      <c r="O498">
        <v>3686.42</v>
      </c>
      <c r="P498" s="5">
        <f>IF('[1]Cleaned Text Field'!P498="",0,'[1]Cleaned Text Field'!P498)</f>
        <v>0.1</v>
      </c>
      <c r="Q498">
        <v>6635.56</v>
      </c>
      <c r="R498">
        <v>3652.91</v>
      </c>
      <c r="S498">
        <v>2982.65</v>
      </c>
      <c r="T498" t="str">
        <f>PROPER(TRIM([1]raw_orders!T498))</f>
        <v>Paid</v>
      </c>
      <c r="U498" t="str">
        <f>PROPER(TRIM([1]raw_orders!U498))</f>
        <v>Completed</v>
      </c>
      <c r="V498" s="6">
        <f t="shared" si="56"/>
        <v>0.4494948429371447</v>
      </c>
      <c r="W498" t="str">
        <f t="shared" si="57"/>
        <v>July</v>
      </c>
      <c r="X498">
        <f t="shared" si="58"/>
        <v>2025</v>
      </c>
      <c r="Y498">
        <f t="shared" si="59"/>
        <v>2</v>
      </c>
      <c r="Z498" s="7">
        <f t="shared" si="60"/>
        <v>0.1</v>
      </c>
      <c r="AA498">
        <f t="shared" si="61"/>
        <v>6635.5560000000005</v>
      </c>
      <c r="AB498">
        <f t="shared" si="62"/>
        <v>2982.6500000000005</v>
      </c>
      <c r="AC498" t="str">
        <f t="shared" si="63"/>
        <v>Clean</v>
      </c>
    </row>
    <row r="499" spans="1:29">
      <c r="A499" t="s">
        <v>1532</v>
      </c>
      <c r="B499" s="4">
        <v>45533</v>
      </c>
      <c r="C499" s="4">
        <v>45533</v>
      </c>
      <c r="D499" t="s">
        <v>1533</v>
      </c>
      <c r="E499" t="str">
        <f>PROPER(TRIM([1]raw_orders!E499))</f>
        <v>Sneha Kapoor</v>
      </c>
      <c r="F499" t="str">
        <f>PROPER(TRIM([1]raw_orders!F499))</f>
        <v>Small Business</v>
      </c>
      <c r="G499" t="str">
        <f>IF('[1]Cleaned Text Field'!G499="","Unknown",'[1]Cleaned Text Field'!G499)</f>
        <v>North</v>
      </c>
      <c r="H499" t="str">
        <f>PROPER(TRIM([1]raw_orders!H499))</f>
        <v>Uttar Pradesh</v>
      </c>
      <c r="I499" t="str">
        <f>PROPER(TRIM([1]raw_orders!I499))</f>
        <v>Noida</v>
      </c>
      <c r="J499" t="str">
        <f>PROPER(TRIM([1]raw_orders!J499))</f>
        <v>Technology</v>
      </c>
      <c r="K499" t="str">
        <f>PROPER(TRIM([1]raw_orders!K499))</f>
        <v>Accessories</v>
      </c>
      <c r="L499" t="s">
        <v>1534</v>
      </c>
      <c r="M499" t="str">
        <f>IF('[1]Cleaned Text Field'!M499="","Unknown",'[1]Cleaned Text Field'!M499)</f>
        <v>Second Class</v>
      </c>
      <c r="N499">
        <f>IF('[1]Cleaned Text Field'!N499="",0,'[1]Cleaned Text Field'!N499)</f>
        <v>1</v>
      </c>
      <c r="O499">
        <v>3106.88</v>
      </c>
      <c r="P499" s="5">
        <f>IF('[1]Cleaned Text Field'!P499="",0,'[1]Cleaned Text Field'!P499)</f>
        <v>0.2</v>
      </c>
      <c r="Q499">
        <v>2485.5</v>
      </c>
      <c r="R499">
        <v>2028.43</v>
      </c>
      <c r="S499">
        <v>457.07</v>
      </c>
      <c r="T499" t="str">
        <f>PROPER(TRIM([1]raw_orders!T499))</f>
        <v>Paid</v>
      </c>
      <c r="U499" t="str">
        <f>PROPER(TRIM([1]raw_orders!U499))</f>
        <v>Cancelled</v>
      </c>
      <c r="V499" s="6">
        <f t="shared" si="56"/>
        <v>0.18389458861396096</v>
      </c>
      <c r="W499" t="str">
        <f t="shared" si="57"/>
        <v>August</v>
      </c>
      <c r="X499">
        <f t="shared" si="58"/>
        <v>2024</v>
      </c>
      <c r="Y499">
        <f t="shared" si="59"/>
        <v>0</v>
      </c>
      <c r="Z499" s="7">
        <f t="shared" si="60"/>
        <v>0.2</v>
      </c>
      <c r="AA499">
        <f t="shared" si="61"/>
        <v>2485.5040000000004</v>
      </c>
      <c r="AB499">
        <f t="shared" si="62"/>
        <v>457.06999999999994</v>
      </c>
      <c r="AC499" t="str">
        <f t="shared" si="63"/>
        <v>Clean</v>
      </c>
    </row>
    <row r="500" spans="1:29">
      <c r="A500" t="s">
        <v>1535</v>
      </c>
      <c r="B500" s="4">
        <v>45907</v>
      </c>
      <c r="C500" s="4">
        <v>45910</v>
      </c>
      <c r="D500" t="s">
        <v>1536</v>
      </c>
      <c r="E500" t="str">
        <f>PROPER(TRIM([1]raw_orders!E500))</f>
        <v>Karan Malhotra</v>
      </c>
      <c r="F500" t="str">
        <f>PROPER(TRIM([1]raw_orders!F500))</f>
        <v>Consumer</v>
      </c>
      <c r="G500" t="str">
        <f>IF('[1]Cleaned Text Field'!G500="","Unknown",'[1]Cleaned Text Field'!G500)</f>
        <v>North</v>
      </c>
      <c r="H500" t="str">
        <f>PROPER(TRIM([1]raw_orders!H500))</f>
        <v>Punjab</v>
      </c>
      <c r="I500" t="str">
        <f>PROPER(TRIM([1]raw_orders!I500))</f>
        <v>Ludhiana</v>
      </c>
      <c r="J500" t="str">
        <f>PROPER(TRIM([1]raw_orders!J500))</f>
        <v>Furniture</v>
      </c>
      <c r="K500" t="str">
        <f>PROPER(TRIM([1]raw_orders!K500))</f>
        <v>Chairs</v>
      </c>
      <c r="L500" t="s">
        <v>1537</v>
      </c>
      <c r="M500" t="str">
        <f>IF('[1]Cleaned Text Field'!M500="","Unknown",'[1]Cleaned Text Field'!M500)</f>
        <v>Same Day</v>
      </c>
      <c r="N500">
        <f>IF('[1]Cleaned Text Field'!N500="",0,'[1]Cleaned Text Field'!N500)</f>
        <v>2</v>
      </c>
      <c r="O500">
        <v>447.55</v>
      </c>
      <c r="P500" s="5">
        <f>IF('[1]Cleaned Text Field'!P500="",0,'[1]Cleaned Text Field'!P500)</f>
        <v>0.05</v>
      </c>
      <c r="Q500">
        <v>850.35</v>
      </c>
      <c r="R500">
        <v>600.98</v>
      </c>
      <c r="S500">
        <v>249.37</v>
      </c>
      <c r="T500" t="str">
        <f>PROPER(TRIM([1]raw_orders!T500))</f>
        <v>Refunded</v>
      </c>
      <c r="U500" t="str">
        <f>PROPER(TRIM([1]raw_orders!U500))</f>
        <v>Cancelled</v>
      </c>
      <c r="V500" s="6">
        <f t="shared" si="56"/>
        <v>0.29325571823366847</v>
      </c>
      <c r="W500" t="str">
        <f t="shared" si="57"/>
        <v>September</v>
      </c>
      <c r="X500">
        <f t="shared" si="58"/>
        <v>2025</v>
      </c>
      <c r="Y500">
        <f t="shared" si="59"/>
        <v>3</v>
      </c>
      <c r="Z500" s="7">
        <f t="shared" si="60"/>
        <v>0.05</v>
      </c>
      <c r="AA500">
        <f t="shared" si="61"/>
        <v>850.34500000000003</v>
      </c>
      <c r="AB500">
        <f t="shared" si="62"/>
        <v>249.37</v>
      </c>
      <c r="AC500" t="str">
        <f t="shared" si="63"/>
        <v>Clean</v>
      </c>
    </row>
    <row r="501" spans="1:29">
      <c r="A501" t="s">
        <v>1538</v>
      </c>
      <c r="B501" s="4">
        <v>45648</v>
      </c>
      <c r="C501" s="4">
        <v>45652</v>
      </c>
      <c r="D501" t="s">
        <v>1539</v>
      </c>
      <c r="E501" t="str">
        <f>PROPER(TRIM([1]raw_orders!E501))</f>
        <v>Rahul Verma</v>
      </c>
      <c r="F501" t="str">
        <f>PROPER(TRIM([1]raw_orders!F501))</f>
        <v>Home Office</v>
      </c>
      <c r="G501" t="str">
        <f>IF('[1]Cleaned Text Field'!G501="","Unknown",'[1]Cleaned Text Field'!G501)</f>
        <v>North</v>
      </c>
      <c r="H501" t="str">
        <f>PROPER(TRIM([1]raw_orders!H501))</f>
        <v>Uttar Pradesh</v>
      </c>
      <c r="I501" t="str">
        <f>PROPER(TRIM([1]raw_orders!I501))</f>
        <v>Noida</v>
      </c>
      <c r="J501" t="str">
        <f>PROPER(TRIM([1]raw_orders!J501))</f>
        <v>Furniture</v>
      </c>
      <c r="K501" t="str">
        <f>PROPER(TRIM([1]raw_orders!K501))</f>
        <v>Chairs</v>
      </c>
      <c r="L501" t="s">
        <v>1540</v>
      </c>
      <c r="M501" t="str">
        <f>IF('[1]Cleaned Text Field'!M501="","Unknown",'[1]Cleaned Text Field'!M501)</f>
        <v>Standard Class</v>
      </c>
      <c r="N501">
        <f>IF('[1]Cleaned Text Field'!N501="",0,'[1]Cleaned Text Field'!N501)</f>
        <v>9</v>
      </c>
      <c r="O501">
        <v>1110.8699999999999</v>
      </c>
      <c r="P501" s="5">
        <f>IF('[1]Cleaned Text Field'!P501="",0,'[1]Cleaned Text Field'!P501)</f>
        <v>0</v>
      </c>
      <c r="Q501">
        <v>7498.37</v>
      </c>
      <c r="R501">
        <v>6059.07</v>
      </c>
      <c r="S501">
        <v>1439.3</v>
      </c>
      <c r="T501" t="str">
        <f>PROPER(TRIM([1]raw_orders!T501))</f>
        <v>Paid</v>
      </c>
      <c r="U501" t="str">
        <f>PROPER(TRIM([1]raw_orders!U501))</f>
        <v>Cancelled</v>
      </c>
      <c r="V501" s="6">
        <f t="shared" si="56"/>
        <v>0.19194838344866952</v>
      </c>
      <c r="W501" t="str">
        <f t="shared" si="57"/>
        <v>December</v>
      </c>
      <c r="X501">
        <f t="shared" si="58"/>
        <v>2024</v>
      </c>
      <c r="Y501">
        <f t="shared" si="59"/>
        <v>4</v>
      </c>
      <c r="Z501" s="7">
        <f t="shared" si="60"/>
        <v>0</v>
      </c>
      <c r="AA501">
        <f t="shared" si="61"/>
        <v>9997.8299999999981</v>
      </c>
      <c r="AB501">
        <f t="shared" si="62"/>
        <v>1439.3000000000002</v>
      </c>
      <c r="AC501" t="str">
        <f t="shared" si="63"/>
        <v>Clean</v>
      </c>
    </row>
    <row r="502" spans="1:29">
      <c r="A502" t="s">
        <v>1541</v>
      </c>
      <c r="B502" s="4">
        <v>45429</v>
      </c>
      <c r="C502" s="4">
        <v>45434</v>
      </c>
      <c r="D502" t="s">
        <v>1542</v>
      </c>
      <c r="E502" t="str">
        <f>PROPER(TRIM([1]raw_orders!E502))</f>
        <v>Sneha Kapoor</v>
      </c>
      <c r="F502" t="str">
        <f>PROPER(TRIM([1]raw_orders!F502))</f>
        <v>Consumer</v>
      </c>
      <c r="G502" t="str">
        <f>IF('[1]Cleaned Text Field'!G502="","Unknown",'[1]Cleaned Text Field'!G502)</f>
        <v>South</v>
      </c>
      <c r="H502" t="str">
        <f>PROPER(TRIM([1]raw_orders!H502))</f>
        <v>Kerala</v>
      </c>
      <c r="I502" t="str">
        <f>PROPER(TRIM([1]raw_orders!I502))</f>
        <v>Kochi</v>
      </c>
      <c r="J502" t="str">
        <f>PROPER(TRIM([1]raw_orders!J502))</f>
        <v>Technology</v>
      </c>
      <c r="K502" t="str">
        <f>PROPER(TRIM([1]raw_orders!K502))</f>
        <v>Phones</v>
      </c>
      <c r="L502" t="s">
        <v>1543</v>
      </c>
      <c r="M502" t="str">
        <f>IF('[1]Cleaned Text Field'!M502="","Unknown",'[1]Cleaned Text Field'!M502)</f>
        <v>Same Day</v>
      </c>
      <c r="N502">
        <f>IF('[1]Cleaned Text Field'!N502="",0,'[1]Cleaned Text Field'!N502)</f>
        <v>9</v>
      </c>
      <c r="O502">
        <v>3795.99</v>
      </c>
      <c r="P502" s="5" t="str">
        <f>IF('[1]Cleaned Text Field'!P502="",0,'[1]Cleaned Text Field'!P502)</f>
        <v>85%</v>
      </c>
      <c r="Q502">
        <v>34163.910000000003</v>
      </c>
      <c r="R502">
        <v>28577.15</v>
      </c>
      <c r="S502">
        <v>5586.76</v>
      </c>
      <c r="T502" t="str">
        <f>PROPER(TRIM([1]raw_orders!T502))</f>
        <v>Paid</v>
      </c>
      <c r="U502" t="str">
        <f>PROPER(TRIM([1]raw_orders!U502))</f>
        <v>Completed</v>
      </c>
      <c r="V502" s="6">
        <f t="shared" si="56"/>
        <v>0.16352812075666981</v>
      </c>
      <c r="W502" t="str">
        <f t="shared" si="57"/>
        <v>May</v>
      </c>
      <c r="X502">
        <f t="shared" si="58"/>
        <v>2024</v>
      </c>
      <c r="Y502">
        <f t="shared" si="59"/>
        <v>5</v>
      </c>
      <c r="Z502" s="7">
        <f>VALUE(SUBSTITUTE(P502,"%",""))/100</f>
        <v>0.85</v>
      </c>
      <c r="AA502">
        <f t="shared" si="61"/>
        <v>5124.5865000000003</v>
      </c>
      <c r="AB502">
        <f t="shared" si="62"/>
        <v>5586.760000000002</v>
      </c>
      <c r="AC502" t="str">
        <f t="shared" si="63"/>
        <v>Clean</v>
      </c>
    </row>
    <row r="503" spans="1:29">
      <c r="A503" t="s">
        <v>1544</v>
      </c>
      <c r="B503" s="4">
        <v>45515</v>
      </c>
      <c r="C503" s="4">
        <v>45521</v>
      </c>
      <c r="D503" t="s">
        <v>749</v>
      </c>
      <c r="E503" t="str">
        <f>PROPER(TRIM([1]raw_orders!E503))</f>
        <v>Neha Gupta</v>
      </c>
      <c r="F503" t="str">
        <f>PROPER(TRIM([1]raw_orders!F503))</f>
        <v>Consumer</v>
      </c>
      <c r="G503" t="str">
        <f>IF('[1]Cleaned Text Field'!G503="","Unknown",'[1]Cleaned Text Field'!G503)</f>
        <v>East</v>
      </c>
      <c r="H503" t="str">
        <f>PROPER(TRIM([1]raw_orders!H503))</f>
        <v>Jharkhand</v>
      </c>
      <c r="I503" t="str">
        <f>PROPER(TRIM([1]raw_orders!I503))</f>
        <v>Ranchi</v>
      </c>
      <c r="J503" t="str">
        <f>PROPER(TRIM([1]raw_orders!J503))</f>
        <v>Office Supplies</v>
      </c>
      <c r="K503" t="str">
        <f>PROPER(TRIM([1]raw_orders!K503))</f>
        <v>Art</v>
      </c>
      <c r="L503" t="s">
        <v>1545</v>
      </c>
      <c r="M503" t="str">
        <f>IF('[1]Cleaned Text Field'!M503="","Unknown",'[1]Cleaned Text Field'!M503)</f>
        <v>Second Class</v>
      </c>
      <c r="N503">
        <f>IF('[1]Cleaned Text Field'!N503="",0,'[1]Cleaned Text Field'!N503)</f>
        <v>6</v>
      </c>
      <c r="O503">
        <v>3497.54</v>
      </c>
      <c r="P503" s="5">
        <f>IF('[1]Cleaned Text Field'!P503="",0,'[1]Cleaned Text Field'!P503)</f>
        <v>0.15</v>
      </c>
      <c r="Q503">
        <v>17837.45</v>
      </c>
      <c r="R503">
        <v>13627.02</v>
      </c>
      <c r="S503">
        <v>4210.43</v>
      </c>
      <c r="T503" t="str">
        <f>PROPER(TRIM([1]raw_orders!T503))</f>
        <v>Paid</v>
      </c>
      <c r="U503" t="str">
        <f>PROPER(TRIM([1]raw_orders!U503))</f>
        <v>Completed</v>
      </c>
      <c r="V503" s="6">
        <f t="shared" si="56"/>
        <v>0.23604438975301964</v>
      </c>
      <c r="W503" t="str">
        <f t="shared" si="57"/>
        <v>August</v>
      </c>
      <c r="X503">
        <f t="shared" si="58"/>
        <v>2024</v>
      </c>
      <c r="Y503">
        <f t="shared" si="59"/>
        <v>6</v>
      </c>
      <c r="Z503" s="7">
        <f t="shared" si="60"/>
        <v>0.15</v>
      </c>
      <c r="AA503">
        <f t="shared" si="61"/>
        <v>17837.453999999998</v>
      </c>
      <c r="AB503">
        <f t="shared" si="62"/>
        <v>4210.43</v>
      </c>
      <c r="AC503" t="str">
        <f t="shared" si="63"/>
        <v>Clean</v>
      </c>
    </row>
    <row r="504" spans="1:29">
      <c r="A504" t="s">
        <v>1546</v>
      </c>
      <c r="B504" s="4">
        <v>45383</v>
      </c>
      <c r="C504" s="4">
        <v>45391</v>
      </c>
      <c r="D504" t="s">
        <v>1547</v>
      </c>
      <c r="E504" t="str">
        <f>PROPER(TRIM([1]raw_orders!E504))</f>
        <v>Priya Menon</v>
      </c>
      <c r="F504" t="str">
        <f>PROPER(TRIM([1]raw_orders!F504))</f>
        <v>Small Business</v>
      </c>
      <c r="G504" t="str">
        <f>IF('[1]Cleaned Text Field'!G504="","Unknown",'[1]Cleaned Text Field'!G504)</f>
        <v>East</v>
      </c>
      <c r="H504" t="str">
        <f>PROPER(TRIM([1]raw_orders!H504))</f>
        <v>Odisha</v>
      </c>
      <c r="I504" t="str">
        <f>PROPER(TRIM([1]raw_orders!I504))</f>
        <v>Bhubaneswar</v>
      </c>
      <c r="J504" t="str">
        <f>PROPER(TRIM([1]raw_orders!J504))</f>
        <v>Technology</v>
      </c>
      <c r="K504" t="str">
        <f>PROPER(TRIM([1]raw_orders!K504))</f>
        <v>Copiers</v>
      </c>
      <c r="L504" t="s">
        <v>1548</v>
      </c>
      <c r="M504" t="str">
        <f>IF('[1]Cleaned Text Field'!M504="","Unknown",'[1]Cleaned Text Field'!M504)</f>
        <v>Second Class</v>
      </c>
      <c r="N504">
        <f>IF('[1]Cleaned Text Field'!N504="",0,'[1]Cleaned Text Field'!N504)</f>
        <v>6</v>
      </c>
      <c r="O504">
        <v>826.93</v>
      </c>
      <c r="P504" s="5">
        <f>IF('[1]Cleaned Text Field'!P504="",0,'[1]Cleaned Text Field'!P504)</f>
        <v>0.1</v>
      </c>
      <c r="Q504">
        <v>4465.42</v>
      </c>
      <c r="R504">
        <v>3377.1</v>
      </c>
      <c r="S504">
        <v>1088.32</v>
      </c>
      <c r="T504" t="str">
        <f>PROPER(TRIM([1]raw_orders!T504))</f>
        <v>Paid</v>
      </c>
      <c r="U504" t="str">
        <f>PROPER(TRIM([1]raw_orders!U504))</f>
        <v>Completed</v>
      </c>
      <c r="V504" s="6">
        <f t="shared" si="56"/>
        <v>0.24372175517644476</v>
      </c>
      <c r="W504" t="str">
        <f t="shared" si="57"/>
        <v>April</v>
      </c>
      <c r="X504">
        <f t="shared" si="58"/>
        <v>2024</v>
      </c>
      <c r="Y504">
        <f t="shared" si="59"/>
        <v>8</v>
      </c>
      <c r="Z504" s="7">
        <f t="shared" si="60"/>
        <v>0.1</v>
      </c>
      <c r="AA504">
        <f t="shared" si="61"/>
        <v>4465.4220000000005</v>
      </c>
      <c r="AB504">
        <f t="shared" si="62"/>
        <v>1088.3200000000002</v>
      </c>
      <c r="AC504" t="str">
        <f t="shared" si="63"/>
        <v>Clean</v>
      </c>
    </row>
    <row r="505" spans="1:29">
      <c r="A505" t="s">
        <v>1549</v>
      </c>
      <c r="B505" s="4">
        <v>45563</v>
      </c>
      <c r="C505" s="4">
        <v>45570</v>
      </c>
      <c r="D505" t="s">
        <v>1550</v>
      </c>
      <c r="E505" t="str">
        <f>PROPER(TRIM([1]raw_orders!E505))</f>
        <v>Aarav Sharma</v>
      </c>
      <c r="F505" t="str">
        <f>PROPER(TRIM([1]raw_orders!F505))</f>
        <v>Consumer</v>
      </c>
      <c r="G505" t="str">
        <f>IF('[1]Cleaned Text Field'!G505="","Unknown",'[1]Cleaned Text Field'!G505)</f>
        <v>South</v>
      </c>
      <c r="H505" t="str">
        <f>PROPER(TRIM([1]raw_orders!H505))</f>
        <v>Tamil Nadu</v>
      </c>
      <c r="I505" t="str">
        <f>PROPER(TRIM([1]raw_orders!I505))</f>
        <v>Chennai</v>
      </c>
      <c r="J505" t="str">
        <f>PROPER(TRIM([1]raw_orders!J505))</f>
        <v>Technology</v>
      </c>
      <c r="K505" t="str">
        <f>PROPER(TRIM([1]raw_orders!K505))</f>
        <v>Phones</v>
      </c>
      <c r="L505" t="s">
        <v>1551</v>
      </c>
      <c r="M505" t="str">
        <f>IF('[1]Cleaned Text Field'!M505="","Unknown",'[1]Cleaned Text Field'!M505)</f>
        <v>Standard Class</v>
      </c>
      <c r="N505">
        <f>IF('[1]Cleaned Text Field'!N505="",0,'[1]Cleaned Text Field'!N505)</f>
        <v>7</v>
      </c>
      <c r="O505">
        <v>1681.6</v>
      </c>
      <c r="P505" s="5">
        <f>IF('[1]Cleaned Text Field'!P505="",0,'[1]Cleaned Text Field'!P505)</f>
        <v>0.1</v>
      </c>
      <c r="Q505">
        <v>10594.08</v>
      </c>
      <c r="R505">
        <v>7160.31</v>
      </c>
      <c r="S505">
        <v>3433.77</v>
      </c>
      <c r="T505" t="str">
        <f>PROPER(TRIM([1]raw_orders!T505))</f>
        <v>Paid</v>
      </c>
      <c r="U505" t="str">
        <f>PROPER(TRIM([1]raw_orders!U505))</f>
        <v>Completed</v>
      </c>
      <c r="V505" s="6">
        <f t="shared" si="56"/>
        <v>0.32412158488514342</v>
      </c>
      <c r="W505" t="str">
        <f t="shared" si="57"/>
        <v>September</v>
      </c>
      <c r="X505">
        <f t="shared" si="58"/>
        <v>2024</v>
      </c>
      <c r="Y505">
        <f t="shared" si="59"/>
        <v>7</v>
      </c>
      <c r="Z505" s="7">
        <f t="shared" si="60"/>
        <v>0.1</v>
      </c>
      <c r="AA505">
        <f t="shared" si="61"/>
        <v>10594.08</v>
      </c>
      <c r="AB505">
        <f t="shared" si="62"/>
        <v>3433.7699999999995</v>
      </c>
      <c r="AC505" t="str">
        <f t="shared" si="63"/>
        <v>Clean</v>
      </c>
    </row>
    <row r="506" spans="1:29">
      <c r="A506" t="s">
        <v>1552</v>
      </c>
      <c r="B506" s="4">
        <v>45700</v>
      </c>
      <c r="C506" s="4">
        <v>45705</v>
      </c>
      <c r="D506" t="s">
        <v>1553</v>
      </c>
      <c r="E506" t="str">
        <f>PROPER(TRIM([1]raw_orders!E506))</f>
        <v>Arjun Bose</v>
      </c>
      <c r="F506" t="str">
        <f>PROPER(TRIM([1]raw_orders!F506))</f>
        <v>Corporate</v>
      </c>
      <c r="G506" t="str">
        <f>IF('[1]Cleaned Text Field'!G506="","Unknown",'[1]Cleaned Text Field'!G506)</f>
        <v>West</v>
      </c>
      <c r="H506" t="str">
        <f>PROPER(TRIM([1]raw_orders!H506))</f>
        <v>Gujarat</v>
      </c>
      <c r="I506" t="str">
        <f>PROPER(TRIM([1]raw_orders!I506))</f>
        <v>Ahmedabad</v>
      </c>
      <c r="J506" t="str">
        <f>PROPER(TRIM([1]raw_orders!J506))</f>
        <v>Office Supplies</v>
      </c>
      <c r="K506" t="str">
        <f>PROPER(TRIM([1]raw_orders!K506))</f>
        <v>Art</v>
      </c>
      <c r="L506" t="s">
        <v>1554</v>
      </c>
      <c r="M506" t="str">
        <f>IF('[1]Cleaned Text Field'!M506="","Unknown",'[1]Cleaned Text Field'!M506)</f>
        <v>Standard Class</v>
      </c>
      <c r="N506">
        <f>IF('[1]Cleaned Text Field'!N506="",0,'[1]Cleaned Text Field'!N506)</f>
        <v>4</v>
      </c>
      <c r="O506">
        <v>4328.12</v>
      </c>
      <c r="P506" s="5">
        <f>IF('[1]Cleaned Text Field'!P506="",0,'[1]Cleaned Text Field'!P506)</f>
        <v>0</v>
      </c>
      <c r="Q506">
        <v>17312.48</v>
      </c>
      <c r="R506">
        <v>14424.22</v>
      </c>
      <c r="S506">
        <v>2888.26</v>
      </c>
      <c r="T506" t="str">
        <f>PROPER(TRIM([1]raw_orders!T506))</f>
        <v>Paid</v>
      </c>
      <c r="U506" t="str">
        <f>PROPER(TRIM([1]raw_orders!U506))</f>
        <v>Completed</v>
      </c>
      <c r="V506" s="6">
        <f t="shared" si="56"/>
        <v>0.16683109525613893</v>
      </c>
      <c r="W506" t="str">
        <f t="shared" si="57"/>
        <v>February</v>
      </c>
      <c r="X506">
        <f t="shared" si="58"/>
        <v>2025</v>
      </c>
      <c r="Y506">
        <f t="shared" si="59"/>
        <v>5</v>
      </c>
      <c r="Z506" s="7">
        <f t="shared" si="60"/>
        <v>0</v>
      </c>
      <c r="AA506">
        <f t="shared" si="61"/>
        <v>17312.48</v>
      </c>
      <c r="AB506">
        <f t="shared" si="62"/>
        <v>2888.26</v>
      </c>
      <c r="AC506" t="str">
        <f t="shared" si="63"/>
        <v>Clean</v>
      </c>
    </row>
    <row r="507" spans="1:29">
      <c r="A507" t="s">
        <v>1555</v>
      </c>
      <c r="B507" s="4">
        <v>45605</v>
      </c>
      <c r="C507" s="4">
        <v>45610</v>
      </c>
      <c r="D507" t="s">
        <v>1556</v>
      </c>
      <c r="E507" t="str">
        <f>PROPER(TRIM([1]raw_orders!E507))</f>
        <v>Neha Gupta</v>
      </c>
      <c r="F507" t="str">
        <f>PROPER(TRIM([1]raw_orders!F507))</f>
        <v>Corporate</v>
      </c>
      <c r="G507" t="str">
        <f>IF('[1]Cleaned Text Field'!G507="","Unknown",'[1]Cleaned Text Field'!G507)</f>
        <v>West</v>
      </c>
      <c r="H507" t="str">
        <f>PROPER(TRIM([1]raw_orders!H507))</f>
        <v>Madhya Pradesh</v>
      </c>
      <c r="I507" t="str">
        <f>PROPER(TRIM([1]raw_orders!I507))</f>
        <v>Indore</v>
      </c>
      <c r="J507" t="str">
        <f>PROPER(TRIM([1]raw_orders!J507))</f>
        <v>Office Supplies</v>
      </c>
      <c r="K507" t="str">
        <f>PROPER(TRIM([1]raw_orders!K507))</f>
        <v>Art</v>
      </c>
      <c r="L507" t="s">
        <v>1557</v>
      </c>
      <c r="M507" t="str">
        <f>IF('[1]Cleaned Text Field'!M507="","Unknown",'[1]Cleaned Text Field'!M507)</f>
        <v>First Class</v>
      </c>
      <c r="N507">
        <f>IF('[1]Cleaned Text Field'!N507="",0,'[1]Cleaned Text Field'!N507)</f>
        <v>9</v>
      </c>
      <c r="O507">
        <v>2438.29</v>
      </c>
      <c r="P507" s="5">
        <f>IF('[1]Cleaned Text Field'!P507="",0,'[1]Cleaned Text Field'!P507)</f>
        <v>0.2</v>
      </c>
      <c r="Q507">
        <v>17555.689999999999</v>
      </c>
      <c r="R507">
        <v>13293.2</v>
      </c>
      <c r="S507">
        <v>4262.49</v>
      </c>
      <c r="T507" t="str">
        <f>PROPER(TRIM([1]raw_orders!T507))</f>
        <v>Paid</v>
      </c>
      <c r="U507" t="str">
        <f>PROPER(TRIM([1]raw_orders!U507))</f>
        <v>Cancelled</v>
      </c>
      <c r="V507" s="6">
        <f t="shared" si="56"/>
        <v>0.24279820388717277</v>
      </c>
      <c r="W507" t="str">
        <f t="shared" si="57"/>
        <v>November</v>
      </c>
      <c r="X507">
        <f t="shared" si="58"/>
        <v>2024</v>
      </c>
      <c r="Y507">
        <f t="shared" si="59"/>
        <v>5</v>
      </c>
      <c r="Z507" s="7">
        <f t="shared" si="60"/>
        <v>0.2</v>
      </c>
      <c r="AA507">
        <f t="shared" si="61"/>
        <v>17555.688000000002</v>
      </c>
      <c r="AB507">
        <f t="shared" si="62"/>
        <v>4262.489999999998</v>
      </c>
      <c r="AC507" t="str">
        <f t="shared" si="63"/>
        <v>Clean</v>
      </c>
    </row>
    <row r="508" spans="1:29">
      <c r="A508" t="s">
        <v>1558</v>
      </c>
      <c r="B508" s="4">
        <v>45641</v>
      </c>
      <c r="C508" s="4">
        <v>45641</v>
      </c>
      <c r="D508" t="s">
        <v>1559</v>
      </c>
      <c r="E508" t="str">
        <f>PROPER(TRIM([1]raw_orders!E508))</f>
        <v>Aarav Sharma</v>
      </c>
      <c r="F508" t="str">
        <f>PROPER(TRIM([1]raw_orders!F508))</f>
        <v>Small Business</v>
      </c>
      <c r="G508" t="str">
        <f>IF('[1]Cleaned Text Field'!G508="","Unknown",'[1]Cleaned Text Field'!G508)</f>
        <v>North</v>
      </c>
      <c r="H508" t="str">
        <f>PROPER(TRIM([1]raw_orders!H508))</f>
        <v>Punjab</v>
      </c>
      <c r="I508" t="str">
        <f>PROPER(TRIM([1]raw_orders!I508))</f>
        <v>Ludhiana</v>
      </c>
      <c r="J508" t="str">
        <f>PROPER(TRIM([1]raw_orders!J508))</f>
        <v>Furniture</v>
      </c>
      <c r="K508" t="str">
        <f>PROPER(TRIM([1]raw_orders!K508))</f>
        <v>Furnishings</v>
      </c>
      <c r="L508" t="s">
        <v>1560</v>
      </c>
      <c r="M508" t="str">
        <f>IF('[1]Cleaned Text Field'!M508="","Unknown",'[1]Cleaned Text Field'!M508)</f>
        <v>First Class</v>
      </c>
      <c r="N508">
        <f>IF('[1]Cleaned Text Field'!N508="",0,'[1]Cleaned Text Field'!N508)</f>
        <v>2</v>
      </c>
      <c r="O508">
        <v>669.8</v>
      </c>
      <c r="P508" s="5">
        <f>IF('[1]Cleaned Text Field'!P508="",0,'[1]Cleaned Text Field'!P508)</f>
        <v>0.1</v>
      </c>
      <c r="Q508">
        <v>1205.6400000000001</v>
      </c>
      <c r="R508">
        <v>842.07</v>
      </c>
      <c r="S508">
        <v>363.57</v>
      </c>
      <c r="T508" t="str">
        <f>PROPER(TRIM([1]raw_orders!T508))</f>
        <v>Refunded</v>
      </c>
      <c r="U508" t="str">
        <f>PROPER(TRIM([1]raw_orders!U508))</f>
        <v>Returned</v>
      </c>
      <c r="V508" s="6">
        <f t="shared" si="56"/>
        <v>0.30155767890912705</v>
      </c>
      <c r="W508" t="str">
        <f t="shared" si="57"/>
        <v>December</v>
      </c>
      <c r="X508">
        <f t="shared" si="58"/>
        <v>2024</v>
      </c>
      <c r="Y508">
        <f t="shared" si="59"/>
        <v>0</v>
      </c>
      <c r="Z508" s="7">
        <f t="shared" si="60"/>
        <v>0.1</v>
      </c>
      <c r="AA508">
        <f t="shared" si="61"/>
        <v>1205.6399999999999</v>
      </c>
      <c r="AB508">
        <f t="shared" si="62"/>
        <v>363.57000000000005</v>
      </c>
      <c r="AC508" t="str">
        <f t="shared" si="63"/>
        <v>Clean</v>
      </c>
    </row>
    <row r="509" spans="1:29">
      <c r="A509" t="s">
        <v>1561</v>
      </c>
      <c r="B509" s="4">
        <v>45762</v>
      </c>
      <c r="C509" s="4">
        <v>45769</v>
      </c>
      <c r="D509" t="s">
        <v>1562</v>
      </c>
      <c r="E509" t="str">
        <f>PROPER(TRIM([1]raw_orders!E509))</f>
        <v>Isha Nair</v>
      </c>
      <c r="F509" t="str">
        <f>PROPER(TRIM([1]raw_orders!F509))</f>
        <v>Small Business</v>
      </c>
      <c r="G509" t="str">
        <f>IF('[1]Cleaned Text Field'!G509="","Unknown",'[1]Cleaned Text Field'!G509)</f>
        <v>North</v>
      </c>
      <c r="H509" t="str">
        <f>PROPER(TRIM([1]raw_orders!H509))</f>
        <v>Haryana</v>
      </c>
      <c r="I509" t="str">
        <f>PROPER(TRIM([1]raw_orders!I509))</f>
        <v>Gurugram</v>
      </c>
      <c r="J509" t="str">
        <f>PROPER(TRIM([1]raw_orders!J509))</f>
        <v>Office Supplies</v>
      </c>
      <c r="K509" t="str">
        <f>PROPER(TRIM([1]raw_orders!K509))</f>
        <v>Binders</v>
      </c>
      <c r="L509" t="s">
        <v>1563</v>
      </c>
      <c r="M509" t="str">
        <f>IF('[1]Cleaned Text Field'!M509="","Unknown",'[1]Cleaned Text Field'!M509)</f>
        <v>Same Day</v>
      </c>
      <c r="N509">
        <f>IF('[1]Cleaned Text Field'!N509="",0,'[1]Cleaned Text Field'!N509)</f>
        <v>4</v>
      </c>
      <c r="O509">
        <v>2990.42</v>
      </c>
      <c r="P509" s="5">
        <f>IF('[1]Cleaned Text Field'!P509="",0,'[1]Cleaned Text Field'!P509)</f>
        <v>0.25</v>
      </c>
      <c r="Q509">
        <v>8971.26</v>
      </c>
      <c r="R509">
        <v>6814.35</v>
      </c>
      <c r="S509">
        <v>2156.91</v>
      </c>
      <c r="T509" t="str">
        <f>PROPER(TRIM([1]raw_orders!T509))</f>
        <v>Paid</v>
      </c>
      <c r="U509" t="str">
        <f>PROPER(TRIM([1]raw_orders!U509))</f>
        <v>Completed</v>
      </c>
      <c r="V509" s="6">
        <f t="shared" si="56"/>
        <v>0.24042442198754688</v>
      </c>
      <c r="W509" t="str">
        <f t="shared" si="57"/>
        <v>April</v>
      </c>
      <c r="X509">
        <f t="shared" si="58"/>
        <v>2025</v>
      </c>
      <c r="Y509">
        <f t="shared" si="59"/>
        <v>7</v>
      </c>
      <c r="Z509" s="7">
        <f t="shared" si="60"/>
        <v>0.25</v>
      </c>
      <c r="AA509">
        <f t="shared" si="61"/>
        <v>8971.26</v>
      </c>
      <c r="AB509">
        <f t="shared" si="62"/>
        <v>2156.91</v>
      </c>
      <c r="AC509" t="str">
        <f t="shared" si="63"/>
        <v>Clean</v>
      </c>
    </row>
    <row r="510" spans="1:29">
      <c r="A510" t="s">
        <v>1564</v>
      </c>
      <c r="B510" s="4">
        <v>45382</v>
      </c>
      <c r="C510" s="4">
        <v>45477</v>
      </c>
      <c r="D510" t="s">
        <v>1565</v>
      </c>
      <c r="E510" t="str">
        <f>PROPER(TRIM([1]raw_orders!E510))</f>
        <v>Isha Nair</v>
      </c>
      <c r="F510" t="str">
        <f>PROPER(TRIM([1]raw_orders!F510))</f>
        <v>Small Business</v>
      </c>
      <c r="G510" t="str">
        <f>IF('[1]Cleaned Text Field'!G510="","Unknown",'[1]Cleaned Text Field'!G510)</f>
        <v>North</v>
      </c>
      <c r="H510" t="str">
        <f>PROPER(TRIM([1]raw_orders!H510))</f>
        <v>Haryana</v>
      </c>
      <c r="I510" t="str">
        <f>PROPER(TRIM([1]raw_orders!I510))</f>
        <v>Gurugram</v>
      </c>
      <c r="J510" t="str">
        <f>PROPER(TRIM([1]raw_orders!J510))</f>
        <v>Technology</v>
      </c>
      <c r="K510" t="str">
        <f>PROPER(TRIM([1]raw_orders!K510))</f>
        <v>Machines</v>
      </c>
      <c r="L510" t="s">
        <v>1566</v>
      </c>
      <c r="M510" t="str">
        <f>IF('[1]Cleaned Text Field'!M510="","Unknown",'[1]Cleaned Text Field'!M510)</f>
        <v>Second Class</v>
      </c>
      <c r="N510">
        <f>IF('[1]Cleaned Text Field'!N510="",0,'[1]Cleaned Text Field'!N510)</f>
        <v>4</v>
      </c>
      <c r="O510">
        <v>1831</v>
      </c>
      <c r="P510" s="5">
        <f>IF('[1]Cleaned Text Field'!P510="",0,'[1]Cleaned Text Field'!P510)</f>
        <v>0</v>
      </c>
      <c r="Q510">
        <v>7324</v>
      </c>
      <c r="R510">
        <v>4179.63</v>
      </c>
      <c r="S510">
        <v>3144.37</v>
      </c>
      <c r="T510" t="str">
        <f>PROPER(TRIM([1]raw_orders!T510))</f>
        <v>Paid</v>
      </c>
      <c r="U510" t="str">
        <f>PROPER(TRIM([1]raw_orders!U510))</f>
        <v>Completed</v>
      </c>
      <c r="V510" s="6">
        <f t="shared" si="56"/>
        <v>0.42932413981430911</v>
      </c>
      <c r="W510" t="str">
        <f t="shared" si="57"/>
        <v>March</v>
      </c>
      <c r="X510">
        <f t="shared" si="58"/>
        <v>2024</v>
      </c>
      <c r="Y510">
        <f t="shared" si="59"/>
        <v>95</v>
      </c>
      <c r="Z510" s="7">
        <f t="shared" si="60"/>
        <v>0</v>
      </c>
      <c r="AA510">
        <f t="shared" si="61"/>
        <v>7324</v>
      </c>
      <c r="AB510">
        <f t="shared" si="62"/>
        <v>3144.37</v>
      </c>
      <c r="AC510" t="str">
        <f t="shared" si="63"/>
        <v>Clean</v>
      </c>
    </row>
    <row r="511" spans="1:29">
      <c r="A511" t="s">
        <v>1567</v>
      </c>
      <c r="B511" s="4">
        <v>45789</v>
      </c>
      <c r="C511" s="4">
        <v>45791</v>
      </c>
      <c r="D511" t="s">
        <v>1568</v>
      </c>
      <c r="E511" t="str">
        <f>PROPER(TRIM([1]raw_orders!E511))</f>
        <v>Neha Gupta</v>
      </c>
      <c r="F511" t="str">
        <f>PROPER(TRIM([1]raw_orders!F511))</f>
        <v>Consumer</v>
      </c>
      <c r="G511" t="str">
        <f>IF('[1]Cleaned Text Field'!G511="","Unknown",'[1]Cleaned Text Field'!G511)</f>
        <v>West</v>
      </c>
      <c r="H511" t="str">
        <f>PROPER(TRIM([1]raw_orders!H511))</f>
        <v>Gujarat</v>
      </c>
      <c r="I511" t="str">
        <f>PROPER(TRIM([1]raw_orders!I511))</f>
        <v>Ahmedabad</v>
      </c>
      <c r="J511" t="str">
        <f>PROPER(TRIM([1]raw_orders!J511))</f>
        <v>Technology</v>
      </c>
      <c r="K511" t="str">
        <f>PROPER(TRIM([1]raw_orders!K511))</f>
        <v>Machines</v>
      </c>
      <c r="L511" t="s">
        <v>1569</v>
      </c>
      <c r="M511" t="str">
        <f>IF('[1]Cleaned Text Field'!M511="","Unknown",'[1]Cleaned Text Field'!M511)</f>
        <v>Same Day</v>
      </c>
      <c r="N511">
        <f>IF('[1]Cleaned Text Field'!N511="",0,'[1]Cleaned Text Field'!N511)</f>
        <v>8</v>
      </c>
      <c r="O511">
        <v>3631.44</v>
      </c>
      <c r="P511" s="5">
        <f>IF('[1]Cleaned Text Field'!P511="",0,'[1]Cleaned Text Field'!P511)</f>
        <v>0.2</v>
      </c>
      <c r="Q511">
        <v>23241.22</v>
      </c>
      <c r="R511">
        <v>17220.900000000001</v>
      </c>
      <c r="S511">
        <v>6020.32</v>
      </c>
      <c r="T511" t="str">
        <f>PROPER(TRIM([1]raw_orders!T511))</f>
        <v>Paid</v>
      </c>
      <c r="U511" t="str">
        <f>PROPER(TRIM([1]raw_orders!U511))</f>
        <v>Completed</v>
      </c>
      <c r="V511" s="6">
        <f t="shared" si="56"/>
        <v>0.25903631564952267</v>
      </c>
      <c r="W511" t="str">
        <f t="shared" si="57"/>
        <v>May</v>
      </c>
      <c r="X511">
        <f t="shared" si="58"/>
        <v>2025</v>
      </c>
      <c r="Y511">
        <f t="shared" si="59"/>
        <v>2</v>
      </c>
      <c r="Z511" s="7">
        <f t="shared" si="60"/>
        <v>0.2</v>
      </c>
      <c r="AA511">
        <f t="shared" si="61"/>
        <v>23241.216</v>
      </c>
      <c r="AB511">
        <f t="shared" si="62"/>
        <v>6020.32</v>
      </c>
      <c r="AC511" t="str">
        <f t="shared" si="63"/>
        <v>Clean</v>
      </c>
    </row>
    <row r="512" spans="1:29">
      <c r="A512" t="s">
        <v>1570</v>
      </c>
      <c r="B512" s="4">
        <v>45583</v>
      </c>
      <c r="C512" s="4">
        <v>45586</v>
      </c>
      <c r="D512" t="s">
        <v>1571</v>
      </c>
      <c r="E512" t="str">
        <f>PROPER(TRIM([1]raw_orders!E512))</f>
        <v>Aarav Sharma</v>
      </c>
      <c r="F512" t="str">
        <f>PROPER(TRIM([1]raw_orders!F512))</f>
        <v>Consumer</v>
      </c>
      <c r="G512" t="str">
        <f>IF('[1]Cleaned Text Field'!G512="","Unknown",'[1]Cleaned Text Field'!G512)</f>
        <v>South</v>
      </c>
      <c r="H512" t="str">
        <f>PROPER(TRIM([1]raw_orders!H512))</f>
        <v>Karnataka</v>
      </c>
      <c r="I512" t="str">
        <f>PROPER(TRIM([1]raw_orders!I512))</f>
        <v>Bengaluru</v>
      </c>
      <c r="J512" t="str">
        <f>PROPER(TRIM([1]raw_orders!J512))</f>
        <v>Office Supplies</v>
      </c>
      <c r="K512" t="str">
        <f>PROPER(TRIM([1]raw_orders!K512))</f>
        <v>Storage</v>
      </c>
      <c r="L512" t="s">
        <v>1572</v>
      </c>
      <c r="M512" t="str">
        <f>IF('[1]Cleaned Text Field'!M512="","Unknown",'[1]Cleaned Text Field'!M512)</f>
        <v>Second Class</v>
      </c>
      <c r="N512">
        <f>IF('[1]Cleaned Text Field'!N512="",0,'[1]Cleaned Text Field'!N512)</f>
        <v>2</v>
      </c>
      <c r="O512">
        <v>4238.51</v>
      </c>
      <c r="P512" s="5">
        <f>IF('[1]Cleaned Text Field'!P512="",0,'[1]Cleaned Text Field'!P512)</f>
        <v>0</v>
      </c>
      <c r="Q512">
        <v>8477.02</v>
      </c>
      <c r="R512">
        <v>6884.96</v>
      </c>
      <c r="S512">
        <v>1592.06</v>
      </c>
      <c r="T512" t="str">
        <f>PROPER(TRIM([1]raw_orders!T512))</f>
        <v>Paid</v>
      </c>
      <c r="U512" t="str">
        <f>PROPER(TRIM([1]raw_orders!U512))</f>
        <v>Completed</v>
      </c>
      <c r="V512" s="6">
        <f t="shared" si="56"/>
        <v>0.18780892341884292</v>
      </c>
      <c r="W512" t="str">
        <f t="shared" si="57"/>
        <v>October</v>
      </c>
      <c r="X512">
        <f t="shared" si="58"/>
        <v>2024</v>
      </c>
      <c r="Y512">
        <f t="shared" si="59"/>
        <v>3</v>
      </c>
      <c r="Z512" s="7">
        <f t="shared" si="60"/>
        <v>0</v>
      </c>
      <c r="AA512">
        <f t="shared" si="61"/>
        <v>8477.02</v>
      </c>
      <c r="AB512">
        <f t="shared" si="62"/>
        <v>1592.0600000000004</v>
      </c>
      <c r="AC512" t="str">
        <f t="shared" si="63"/>
        <v>Clean</v>
      </c>
    </row>
    <row r="513" spans="1:29">
      <c r="A513" t="s">
        <v>1573</v>
      </c>
      <c r="B513" s="4">
        <v>45588</v>
      </c>
      <c r="C513" s="4">
        <v>45591</v>
      </c>
      <c r="D513" t="s">
        <v>1574</v>
      </c>
      <c r="E513" t="str">
        <f>PROPER(TRIM([1]raw_orders!E513))</f>
        <v>Sneha Kapoor</v>
      </c>
      <c r="F513" t="str">
        <f>PROPER(TRIM([1]raw_orders!F513))</f>
        <v>Consumer</v>
      </c>
      <c r="G513" t="str">
        <f>IF('[1]Cleaned Text Field'!G513="","Unknown",'[1]Cleaned Text Field'!G513)</f>
        <v>West</v>
      </c>
      <c r="H513" t="str">
        <f>PROPER(TRIM([1]raw_orders!H513))</f>
        <v>Madhya Pradesh</v>
      </c>
      <c r="I513" t="str">
        <f>PROPER(TRIM([1]raw_orders!I513))</f>
        <v>Indore</v>
      </c>
      <c r="J513" t="str">
        <f>PROPER(TRIM([1]raw_orders!J513))</f>
        <v>Furniture</v>
      </c>
      <c r="K513" t="str">
        <f>PROPER(TRIM([1]raw_orders!K513))</f>
        <v>Bookcases</v>
      </c>
      <c r="L513" t="s">
        <v>1575</v>
      </c>
      <c r="M513" t="str">
        <f>IF('[1]Cleaned Text Field'!M513="","Unknown",'[1]Cleaned Text Field'!M513)</f>
        <v>Standard Class</v>
      </c>
      <c r="N513">
        <f>IF('[1]Cleaned Text Field'!N513="",0,'[1]Cleaned Text Field'!N513)</f>
        <v>9</v>
      </c>
      <c r="O513">
        <v>544.27</v>
      </c>
      <c r="P513" s="5">
        <f>IF('[1]Cleaned Text Field'!P513="",0,'[1]Cleaned Text Field'!P513)</f>
        <v>0.25</v>
      </c>
      <c r="Q513">
        <v>3673.82</v>
      </c>
      <c r="R513">
        <v>2088.15</v>
      </c>
      <c r="S513">
        <v>1585.67</v>
      </c>
      <c r="T513" t="str">
        <f>PROPER(TRIM([1]raw_orders!T513))</f>
        <v>Paid</v>
      </c>
      <c r="U513" t="str">
        <f>PROPER(TRIM([1]raw_orders!U513))</f>
        <v>Completed</v>
      </c>
      <c r="V513" s="6">
        <f t="shared" si="56"/>
        <v>0.43161341600840541</v>
      </c>
      <c r="W513" t="str">
        <f t="shared" si="57"/>
        <v>October</v>
      </c>
      <c r="X513">
        <f t="shared" si="58"/>
        <v>2024</v>
      </c>
      <c r="Y513">
        <f t="shared" si="59"/>
        <v>3</v>
      </c>
      <c r="Z513" s="7">
        <f t="shared" si="60"/>
        <v>0.25</v>
      </c>
      <c r="AA513">
        <f t="shared" si="61"/>
        <v>3673.8225000000002</v>
      </c>
      <c r="AB513">
        <f t="shared" si="62"/>
        <v>1585.67</v>
      </c>
      <c r="AC513" t="str">
        <f t="shared" si="63"/>
        <v>Clean</v>
      </c>
    </row>
    <row r="514" spans="1:29">
      <c r="A514" t="s">
        <v>1576</v>
      </c>
      <c r="B514" s="4">
        <v>45718</v>
      </c>
      <c r="C514" s="4">
        <v>45719</v>
      </c>
      <c r="D514" t="s">
        <v>1188</v>
      </c>
      <c r="E514" t="str">
        <f>PROPER(TRIM([1]raw_orders!E514))</f>
        <v>Isha Nair</v>
      </c>
      <c r="F514" t="str">
        <f>PROPER(TRIM([1]raw_orders!F514))</f>
        <v>Corporate</v>
      </c>
      <c r="G514" t="str">
        <f>IF('[1]Cleaned Text Field'!G514="","Unknown",'[1]Cleaned Text Field'!G514)</f>
        <v>South</v>
      </c>
      <c r="H514" t="str">
        <f>PROPER(TRIM([1]raw_orders!H514))</f>
        <v>Kerala</v>
      </c>
      <c r="I514" t="str">
        <f>PROPER(TRIM([1]raw_orders!I514))</f>
        <v>Kochi</v>
      </c>
      <c r="J514" t="str">
        <f>PROPER(TRIM([1]raw_orders!J514))</f>
        <v>Office Supplies</v>
      </c>
      <c r="K514" t="str">
        <f>PROPER(TRIM([1]raw_orders!K514))</f>
        <v>Labels</v>
      </c>
      <c r="L514" t="s">
        <v>1577</v>
      </c>
      <c r="M514" t="str">
        <f>IF('[1]Cleaned Text Field'!M514="","Unknown",'[1]Cleaned Text Field'!M514)</f>
        <v>Second Class</v>
      </c>
      <c r="N514">
        <f>IF('[1]Cleaned Text Field'!N514="",0,'[1]Cleaned Text Field'!N514)</f>
        <v>2</v>
      </c>
      <c r="O514">
        <v>4031.45</v>
      </c>
      <c r="P514" s="5">
        <f>IF('[1]Cleaned Text Field'!P514="",0,'[1]Cleaned Text Field'!P514)</f>
        <v>0.25</v>
      </c>
      <c r="Q514">
        <v>6047.17</v>
      </c>
      <c r="R514">
        <v>3368.79</v>
      </c>
      <c r="S514">
        <v>2678.38</v>
      </c>
      <c r="T514" t="str">
        <f>PROPER(TRIM([1]raw_orders!T514))</f>
        <v>Paid</v>
      </c>
      <c r="U514" t="str">
        <f>PROPER(TRIM([1]raw_orders!U514))</f>
        <v>Completed</v>
      </c>
      <c r="V514" s="6">
        <f t="shared" si="56"/>
        <v>0.44291461956584649</v>
      </c>
      <c r="W514" t="str">
        <f t="shared" si="57"/>
        <v>March</v>
      </c>
      <c r="X514">
        <f t="shared" si="58"/>
        <v>2025</v>
      </c>
      <c r="Y514">
        <f t="shared" si="59"/>
        <v>1</v>
      </c>
      <c r="Z514" s="7">
        <f t="shared" si="60"/>
        <v>0.25</v>
      </c>
      <c r="AA514">
        <f t="shared" si="61"/>
        <v>6047.1749999999993</v>
      </c>
      <c r="AB514">
        <f t="shared" si="62"/>
        <v>2678.38</v>
      </c>
      <c r="AC514" t="str">
        <f t="shared" si="63"/>
        <v>Clean</v>
      </c>
    </row>
    <row r="515" spans="1:29">
      <c r="A515" t="s">
        <v>1578</v>
      </c>
      <c r="B515" s="4">
        <v>45835</v>
      </c>
      <c r="C515" s="4">
        <v>45840</v>
      </c>
      <c r="D515" t="s">
        <v>1579</v>
      </c>
      <c r="E515" t="str">
        <f>PROPER(TRIM([1]raw_orders!E515))</f>
        <v>Aarav Sharma</v>
      </c>
      <c r="F515" t="str">
        <f>PROPER(TRIM([1]raw_orders!F515))</f>
        <v>Corporate</v>
      </c>
      <c r="G515" t="str">
        <f>IF('[1]Cleaned Text Field'!G515="","Unknown",'[1]Cleaned Text Field'!G515)</f>
        <v>South</v>
      </c>
      <c r="H515" t="str">
        <f>PROPER(TRIM([1]raw_orders!H515))</f>
        <v>Kerala</v>
      </c>
      <c r="I515" t="str">
        <f>PROPER(TRIM([1]raw_orders!I515))</f>
        <v>Kochi</v>
      </c>
      <c r="J515" t="str">
        <f>PROPER(TRIM([1]raw_orders!J515))</f>
        <v>Technology</v>
      </c>
      <c r="K515" t="str">
        <f>PROPER(TRIM([1]raw_orders!K515))</f>
        <v>Accessories</v>
      </c>
      <c r="L515" t="s">
        <v>1580</v>
      </c>
      <c r="M515" t="str">
        <f>IF('[1]Cleaned Text Field'!M515="","Unknown",'[1]Cleaned Text Field'!M515)</f>
        <v>First Class</v>
      </c>
      <c r="N515">
        <f>IF('[1]Cleaned Text Field'!N515="",0,'[1]Cleaned Text Field'!N515)</f>
        <v>6</v>
      </c>
      <c r="O515">
        <v>1099.49</v>
      </c>
      <c r="P515" s="5">
        <f>IF('[1]Cleaned Text Field'!P515="",0,'[1]Cleaned Text Field'!P515)</f>
        <v>0.1</v>
      </c>
      <c r="Q515">
        <v>6212.38</v>
      </c>
      <c r="R515">
        <v>4088.46</v>
      </c>
      <c r="S515">
        <v>1848.79</v>
      </c>
      <c r="T515" t="str">
        <f>PROPER(TRIM([1]raw_orders!T515))</f>
        <v>Paid</v>
      </c>
      <c r="U515" t="str">
        <f>PROPER(TRIM([1]raw_orders!U515))</f>
        <v>Completed</v>
      </c>
      <c r="V515" s="6">
        <f t="shared" ref="V515:V578" si="64">IF(Q515=0,0,S515/Q515)</f>
        <v>0.29759770007629927</v>
      </c>
      <c r="W515" t="str">
        <f t="shared" ref="W515:W578" si="65">TEXT(B515,"mmmm")</f>
        <v>June</v>
      </c>
      <c r="X515">
        <f t="shared" ref="X515:X578" si="66">YEAR(B515)</f>
        <v>2025</v>
      </c>
      <c r="Y515">
        <f t="shared" ref="Y515:Y578" si="67">C515-B515</f>
        <v>5</v>
      </c>
      <c r="Z515" s="7">
        <f t="shared" ref="Z515:Z578" si="68">P515</f>
        <v>0.1</v>
      </c>
      <c r="AA515">
        <f t="shared" ref="AA515:AA578" si="69">N515*O515*(1-P515)</f>
        <v>5937.246000000001</v>
      </c>
      <c r="AB515">
        <f t="shared" ref="AB515:AB578" si="70">Q515-R515</f>
        <v>2123.92</v>
      </c>
      <c r="AC515" t="str">
        <f t="shared" ref="AC515:AC578" si="71">IF(OR(B515="",C515="",AA515&lt;=0),"Invalid",IF(Y515&lt;0,"Warning",IF(Z515&gt;100%,"Warning","Clean")))</f>
        <v>Clean</v>
      </c>
    </row>
    <row r="516" spans="1:29">
      <c r="A516" t="s">
        <v>1581</v>
      </c>
      <c r="B516" s="4">
        <v>45614</v>
      </c>
      <c r="C516" s="4">
        <v>45618</v>
      </c>
      <c r="D516" t="s">
        <v>1582</v>
      </c>
      <c r="E516" t="str">
        <f>PROPER(TRIM([1]raw_orders!E516))</f>
        <v>Karan Malhotra</v>
      </c>
      <c r="F516" t="str">
        <f>PROPER(TRIM([1]raw_orders!F516))</f>
        <v>Home Office</v>
      </c>
      <c r="G516" t="str">
        <f>IF('[1]Cleaned Text Field'!G516="","Unknown",'[1]Cleaned Text Field'!G516)</f>
        <v>South</v>
      </c>
      <c r="H516" t="str">
        <f>PROPER(TRIM([1]raw_orders!H516))</f>
        <v>Kerala</v>
      </c>
      <c r="I516" t="str">
        <f>PROPER(TRIM([1]raw_orders!I516))</f>
        <v>Kochi</v>
      </c>
      <c r="J516" t="str">
        <f>PROPER(TRIM([1]raw_orders!J516))</f>
        <v>Technology</v>
      </c>
      <c r="K516" t="str">
        <f>PROPER(TRIM([1]raw_orders!K516))</f>
        <v>Accessories</v>
      </c>
      <c r="L516" t="s">
        <v>1583</v>
      </c>
      <c r="M516" t="str">
        <f>IF('[1]Cleaned Text Field'!M516="","Unknown",'[1]Cleaned Text Field'!M516)</f>
        <v>Standard Class</v>
      </c>
      <c r="N516">
        <f>IF('[1]Cleaned Text Field'!N516="",0,'[1]Cleaned Text Field'!N516)</f>
        <v>6</v>
      </c>
      <c r="O516">
        <v>3872.94</v>
      </c>
      <c r="P516" s="5">
        <f>IF('[1]Cleaned Text Field'!P516="",0,'[1]Cleaned Text Field'!P516)</f>
        <v>0.1</v>
      </c>
      <c r="Q516">
        <v>20913.88</v>
      </c>
      <c r="R516">
        <v>11684.68</v>
      </c>
      <c r="S516">
        <v>9229.2000000000007</v>
      </c>
      <c r="T516" t="str">
        <f>PROPER(TRIM([1]raw_orders!T516))</f>
        <v>Paid</v>
      </c>
      <c r="U516" t="str">
        <f>PROPER(TRIM([1]raw_orders!U516))</f>
        <v>Completed</v>
      </c>
      <c r="V516" s="6">
        <f t="shared" si="64"/>
        <v>0.44129544589526193</v>
      </c>
      <c r="W516" t="str">
        <f t="shared" si="65"/>
        <v>November</v>
      </c>
      <c r="X516">
        <f t="shared" si="66"/>
        <v>2024</v>
      </c>
      <c r="Y516">
        <f t="shared" si="67"/>
        <v>4</v>
      </c>
      <c r="Z516" s="7">
        <f t="shared" si="68"/>
        <v>0.1</v>
      </c>
      <c r="AA516">
        <f t="shared" si="69"/>
        <v>20913.876</v>
      </c>
      <c r="AB516">
        <f t="shared" si="70"/>
        <v>9229.2000000000007</v>
      </c>
      <c r="AC516" t="str">
        <f t="shared" si="71"/>
        <v>Clean</v>
      </c>
    </row>
    <row r="517" spans="1:29">
      <c r="A517" t="s">
        <v>1584</v>
      </c>
      <c r="B517" s="4">
        <v>45758</v>
      </c>
      <c r="C517" s="4">
        <v>45758</v>
      </c>
      <c r="D517" t="s">
        <v>1585</v>
      </c>
      <c r="E517" t="str">
        <f>PROPER(TRIM([1]raw_orders!E517))</f>
        <v>Rahul Verma</v>
      </c>
      <c r="F517" t="str">
        <f>PROPER(TRIM([1]raw_orders!F517))</f>
        <v>Corporate</v>
      </c>
      <c r="G517" t="str">
        <f>IF('[1]Cleaned Text Field'!G517="","Unknown",'[1]Cleaned Text Field'!G517)</f>
        <v>North</v>
      </c>
      <c r="H517" t="str">
        <f>PROPER(TRIM([1]raw_orders!H517))</f>
        <v>Delhi</v>
      </c>
      <c r="I517" t="str">
        <f>PROPER(TRIM([1]raw_orders!I517))</f>
        <v>New Delhi</v>
      </c>
      <c r="J517" t="str">
        <f>PROPER(TRIM([1]raw_orders!J517))</f>
        <v>Office Supplies</v>
      </c>
      <c r="K517" t="str">
        <f>PROPER(TRIM([1]raw_orders!K517))</f>
        <v>Paper</v>
      </c>
      <c r="L517" t="s">
        <v>1586</v>
      </c>
      <c r="M517" t="str">
        <f>IF('[1]Cleaned Text Field'!M517="","Unknown",'[1]Cleaned Text Field'!M517)</f>
        <v>Standard Class</v>
      </c>
      <c r="N517">
        <f>IF('[1]Cleaned Text Field'!N517="",0,'[1]Cleaned Text Field'!N517)</f>
        <v>1</v>
      </c>
      <c r="O517">
        <v>4458.49</v>
      </c>
      <c r="P517" s="5">
        <f>IF('[1]Cleaned Text Field'!P517="",0,'[1]Cleaned Text Field'!P517)</f>
        <v>-7.0000000000000007E-2</v>
      </c>
      <c r="Q517">
        <v>3566.79</v>
      </c>
      <c r="R517">
        <v>2083.41</v>
      </c>
      <c r="S517">
        <v>1483.38</v>
      </c>
      <c r="T517" t="str">
        <f>PROPER(TRIM([1]raw_orders!T517))</f>
        <v>Paid</v>
      </c>
      <c r="U517" t="str">
        <f>PROPER(TRIM([1]raw_orders!U517))</f>
        <v>Completed</v>
      </c>
      <c r="V517" s="6">
        <f t="shared" si="64"/>
        <v>0.41588655345562819</v>
      </c>
      <c r="W517" t="str">
        <f t="shared" si="65"/>
        <v>April</v>
      </c>
      <c r="X517">
        <f t="shared" si="66"/>
        <v>2025</v>
      </c>
      <c r="Y517">
        <f t="shared" si="67"/>
        <v>0</v>
      </c>
      <c r="Z517" s="7">
        <f t="shared" si="68"/>
        <v>-7.0000000000000007E-2</v>
      </c>
      <c r="AA517">
        <f t="shared" si="69"/>
        <v>4770.5843000000004</v>
      </c>
      <c r="AB517">
        <f t="shared" si="70"/>
        <v>1483.38</v>
      </c>
      <c r="AC517" t="str">
        <f t="shared" si="71"/>
        <v>Clean</v>
      </c>
    </row>
    <row r="518" spans="1:29">
      <c r="A518" t="s">
        <v>1587</v>
      </c>
      <c r="B518" s="4">
        <v>45563</v>
      </c>
      <c r="C518" s="4">
        <v>45569</v>
      </c>
      <c r="D518" t="s">
        <v>1588</v>
      </c>
      <c r="E518" t="str">
        <f>PROPER(TRIM([1]raw_orders!E518))</f>
        <v>Kabir Singh</v>
      </c>
      <c r="F518" t="str">
        <f>PROPER(TRIM([1]raw_orders!F518))</f>
        <v>Home Office</v>
      </c>
      <c r="G518" t="str">
        <f>IF('[1]Cleaned Text Field'!G518="","Unknown",'[1]Cleaned Text Field'!G518)</f>
        <v>North</v>
      </c>
      <c r="H518" t="str">
        <f>PROPER(TRIM([1]raw_orders!H518))</f>
        <v>Delhi</v>
      </c>
      <c r="I518" t="str">
        <f>PROPER(TRIM([1]raw_orders!I518))</f>
        <v>New Delhi</v>
      </c>
      <c r="J518" t="str">
        <f>PROPER(TRIM([1]raw_orders!J518))</f>
        <v>Technology</v>
      </c>
      <c r="K518" t="str">
        <f>PROPER(TRIM([1]raw_orders!K518))</f>
        <v>Copiers</v>
      </c>
      <c r="L518" t="s">
        <v>1589</v>
      </c>
      <c r="M518" t="str">
        <f>IF('[1]Cleaned Text Field'!M518="","Unknown",'[1]Cleaned Text Field'!M518)</f>
        <v>Standard Class</v>
      </c>
      <c r="N518">
        <f>IF('[1]Cleaned Text Field'!N518="",0,'[1]Cleaned Text Field'!N518)</f>
        <v>1</v>
      </c>
      <c r="O518">
        <v>2233.1799999999998</v>
      </c>
      <c r="P518" s="5">
        <f>IF('[1]Cleaned Text Field'!P518="",0,'[1]Cleaned Text Field'!P518)</f>
        <v>0</v>
      </c>
      <c r="Q518">
        <v>2233.1799999999998</v>
      </c>
      <c r="R518">
        <v>1585.82</v>
      </c>
      <c r="S518">
        <v>647.36</v>
      </c>
      <c r="T518" t="str">
        <f>PROPER(TRIM([1]raw_orders!T518))</f>
        <v>Failed</v>
      </c>
      <c r="U518" t="str">
        <f>PROPER(TRIM([1]raw_orders!U518))</f>
        <v>Returned</v>
      </c>
      <c r="V518" s="6">
        <f t="shared" si="64"/>
        <v>0.28988258895386848</v>
      </c>
      <c r="W518" t="str">
        <f t="shared" si="65"/>
        <v>September</v>
      </c>
      <c r="X518">
        <f t="shared" si="66"/>
        <v>2024</v>
      </c>
      <c r="Y518">
        <f t="shared" si="67"/>
        <v>6</v>
      </c>
      <c r="Z518" s="7">
        <f t="shared" si="68"/>
        <v>0</v>
      </c>
      <c r="AA518">
        <f t="shared" si="69"/>
        <v>2233.1799999999998</v>
      </c>
      <c r="AB518">
        <f t="shared" si="70"/>
        <v>647.3599999999999</v>
      </c>
      <c r="AC518" t="str">
        <f t="shared" si="71"/>
        <v>Clean</v>
      </c>
    </row>
    <row r="519" spans="1:29">
      <c r="A519" t="s">
        <v>1590</v>
      </c>
      <c r="B519" s="4">
        <v>45802</v>
      </c>
      <c r="C519" s="4">
        <v>45804</v>
      </c>
      <c r="D519" t="s">
        <v>1591</v>
      </c>
      <c r="E519" t="str">
        <f>PROPER(TRIM([1]raw_orders!E519))</f>
        <v>Rahul Verma</v>
      </c>
      <c r="F519" t="str">
        <f>PROPER(TRIM([1]raw_orders!F519))</f>
        <v>Consumer</v>
      </c>
      <c r="G519" t="str">
        <f>IF('[1]Cleaned Text Field'!G519="","Unknown",'[1]Cleaned Text Field'!G519)</f>
        <v>East</v>
      </c>
      <c r="H519" t="str">
        <f>PROPER(TRIM([1]raw_orders!H519))</f>
        <v>Odisha</v>
      </c>
      <c r="I519" t="str">
        <f>PROPER(TRIM([1]raw_orders!I519))</f>
        <v>Bhubaneswar</v>
      </c>
      <c r="J519" t="str">
        <f>PROPER(TRIM([1]raw_orders!J519))</f>
        <v>Furniture</v>
      </c>
      <c r="K519" t="str">
        <f>PROPER(TRIM([1]raw_orders!K519))</f>
        <v>Furnishings</v>
      </c>
      <c r="L519" t="s">
        <v>1592</v>
      </c>
      <c r="M519" t="str">
        <f>IF('[1]Cleaned Text Field'!M519="","Unknown",'[1]Cleaned Text Field'!M519)</f>
        <v>Second Class</v>
      </c>
      <c r="N519">
        <f>IF('[1]Cleaned Text Field'!N519="",0,'[1]Cleaned Text Field'!N519)</f>
        <v>7</v>
      </c>
      <c r="O519">
        <v>2123.2800000000002</v>
      </c>
      <c r="P519" s="5">
        <f>IF('[1]Cleaned Text Field'!P519="",0,'[1]Cleaned Text Field'!P519)</f>
        <v>0.2</v>
      </c>
      <c r="Q519">
        <v>11890.37</v>
      </c>
      <c r="R519">
        <v>9234.5300000000007</v>
      </c>
      <c r="S519">
        <v>2655.84</v>
      </c>
      <c r="T519" t="str">
        <f>PROPER(TRIM([1]raw_orders!T519))</f>
        <v>Refunded</v>
      </c>
      <c r="U519" t="str">
        <f>PROPER(TRIM([1]raw_orders!U519))</f>
        <v>Returned</v>
      </c>
      <c r="V519" s="6">
        <f t="shared" si="64"/>
        <v>0.22336058507851311</v>
      </c>
      <c r="W519" t="str">
        <f t="shared" si="65"/>
        <v>May</v>
      </c>
      <c r="X519">
        <f t="shared" si="66"/>
        <v>2025</v>
      </c>
      <c r="Y519">
        <f t="shared" si="67"/>
        <v>2</v>
      </c>
      <c r="Z519" s="7">
        <f t="shared" si="68"/>
        <v>0.2</v>
      </c>
      <c r="AA519">
        <f t="shared" si="69"/>
        <v>11890.368000000002</v>
      </c>
      <c r="AB519">
        <f t="shared" si="70"/>
        <v>2655.84</v>
      </c>
      <c r="AC519" t="str">
        <f t="shared" si="71"/>
        <v>Clean</v>
      </c>
    </row>
    <row r="520" spans="1:29">
      <c r="A520" t="s">
        <v>1593</v>
      </c>
      <c r="B520" s="4">
        <v>45777</v>
      </c>
      <c r="C520" s="4">
        <v>45773</v>
      </c>
      <c r="D520" t="s">
        <v>1594</v>
      </c>
      <c r="E520" t="str">
        <f>PROPER(TRIM([1]raw_orders!E520))</f>
        <v>Diya Patel</v>
      </c>
      <c r="F520" t="str">
        <f>PROPER(TRIM([1]raw_orders!F520))</f>
        <v>Corporate</v>
      </c>
      <c r="G520" t="str">
        <f>IF('[1]Cleaned Text Field'!G520="","Unknown",'[1]Cleaned Text Field'!G520)</f>
        <v>East</v>
      </c>
      <c r="H520" t="str">
        <f>PROPER(TRIM([1]raw_orders!H520))</f>
        <v>Odisha</v>
      </c>
      <c r="I520" t="str">
        <f>PROPER(TRIM([1]raw_orders!I520))</f>
        <v>Bhubaneswar</v>
      </c>
      <c r="J520" t="str">
        <f>PROPER(TRIM([1]raw_orders!J520))</f>
        <v>Furniture</v>
      </c>
      <c r="K520" t="str">
        <f>PROPER(TRIM([1]raw_orders!K520))</f>
        <v>Tables</v>
      </c>
      <c r="L520" t="s">
        <v>1595</v>
      </c>
      <c r="M520" t="str">
        <f>IF('[1]Cleaned Text Field'!M520="","Unknown",'[1]Cleaned Text Field'!M520)</f>
        <v>First Class</v>
      </c>
      <c r="N520">
        <f>IF('[1]Cleaned Text Field'!N520="",0,'[1]Cleaned Text Field'!N520)</f>
        <v>7</v>
      </c>
      <c r="O520">
        <v>1604.13</v>
      </c>
      <c r="P520" s="5">
        <f>IF('[1]Cleaned Text Field'!P520="",0,'[1]Cleaned Text Field'!P520)</f>
        <v>0.25</v>
      </c>
      <c r="Q520">
        <v>8421.68</v>
      </c>
      <c r="R520">
        <v>6534.47</v>
      </c>
      <c r="S520">
        <v>1887.21</v>
      </c>
      <c r="T520" t="str">
        <f>PROPER(TRIM([1]raw_orders!T520))</f>
        <v>Paid</v>
      </c>
      <c r="U520" t="str">
        <f>PROPER(TRIM([1]raw_orders!U520))</f>
        <v>Cancelled</v>
      </c>
      <c r="V520" s="6">
        <f t="shared" si="64"/>
        <v>0.22408949283278395</v>
      </c>
      <c r="W520" t="str">
        <f t="shared" si="65"/>
        <v>April</v>
      </c>
      <c r="X520">
        <f t="shared" si="66"/>
        <v>2025</v>
      </c>
      <c r="Y520">
        <f t="shared" si="67"/>
        <v>-4</v>
      </c>
      <c r="Z520" s="7">
        <f t="shared" si="68"/>
        <v>0.25</v>
      </c>
      <c r="AA520">
        <f t="shared" si="69"/>
        <v>8421.682499999999</v>
      </c>
      <c r="AB520">
        <f t="shared" si="70"/>
        <v>1887.21</v>
      </c>
      <c r="AC520" t="str">
        <f t="shared" si="71"/>
        <v>Warning</v>
      </c>
    </row>
    <row r="521" spans="1:29">
      <c r="A521" t="s">
        <v>1596</v>
      </c>
      <c r="B521" s="4">
        <v>45723</v>
      </c>
      <c r="C521" s="4">
        <v>45845</v>
      </c>
      <c r="D521" t="s">
        <v>1597</v>
      </c>
      <c r="E521" t="str">
        <f>PROPER(TRIM([1]raw_orders!E521))</f>
        <v>Priya Menon</v>
      </c>
      <c r="F521" t="str">
        <f>PROPER(TRIM([1]raw_orders!F521))</f>
        <v>Consumer</v>
      </c>
      <c r="G521" t="str">
        <f>IF('[1]Cleaned Text Field'!G521="","Unknown",'[1]Cleaned Text Field'!G521)</f>
        <v>North</v>
      </c>
      <c r="H521" t="str">
        <f>PROPER(TRIM([1]raw_orders!H521))</f>
        <v>Uttar Pradesh</v>
      </c>
      <c r="I521" t="str">
        <f>PROPER(TRIM([1]raw_orders!I521))</f>
        <v>Noida</v>
      </c>
      <c r="J521" t="str">
        <f>PROPER(TRIM([1]raw_orders!J521))</f>
        <v>Furniture</v>
      </c>
      <c r="K521" t="str">
        <f>PROPER(TRIM([1]raw_orders!K521))</f>
        <v>Tables</v>
      </c>
      <c r="L521" t="s">
        <v>1598</v>
      </c>
      <c r="M521" t="str">
        <f>IF('[1]Cleaned Text Field'!M521="","Unknown",'[1]Cleaned Text Field'!M521)</f>
        <v>Standard Class</v>
      </c>
      <c r="N521">
        <f>IF('[1]Cleaned Text Field'!N521="",0,'[1]Cleaned Text Field'!N521)</f>
        <v>4</v>
      </c>
      <c r="O521">
        <v>4365.21</v>
      </c>
      <c r="P521" s="5">
        <f>IF('[1]Cleaned Text Field'!P521="",0,'[1]Cleaned Text Field'!P521)</f>
        <v>0.2</v>
      </c>
      <c r="Q521">
        <v>13968.67</v>
      </c>
      <c r="R521">
        <v>8857.58</v>
      </c>
      <c r="S521">
        <v>5111.09</v>
      </c>
      <c r="T521" t="str">
        <f>PROPER(TRIM([1]raw_orders!T521))</f>
        <v>Pending</v>
      </c>
      <c r="U521" t="str">
        <f>PROPER(TRIM([1]raw_orders!U521))</f>
        <v>Cancelled</v>
      </c>
      <c r="V521" s="6">
        <f t="shared" si="64"/>
        <v>0.3658966816454251</v>
      </c>
      <c r="W521" t="str">
        <f t="shared" si="65"/>
        <v>March</v>
      </c>
      <c r="X521">
        <f t="shared" si="66"/>
        <v>2025</v>
      </c>
      <c r="Y521">
        <f t="shared" si="67"/>
        <v>122</v>
      </c>
      <c r="Z521" s="7">
        <f t="shared" si="68"/>
        <v>0.2</v>
      </c>
      <c r="AA521">
        <f t="shared" si="69"/>
        <v>13968.672</v>
      </c>
      <c r="AB521">
        <f t="shared" si="70"/>
        <v>5111.09</v>
      </c>
      <c r="AC521" t="str">
        <f t="shared" si="71"/>
        <v>Clean</v>
      </c>
    </row>
    <row r="522" spans="1:29">
      <c r="A522" t="s">
        <v>1599</v>
      </c>
      <c r="B522" s="4">
        <v>45489</v>
      </c>
      <c r="C522" s="4">
        <v>45496</v>
      </c>
      <c r="D522" t="s">
        <v>1600</v>
      </c>
      <c r="E522" t="str">
        <f>PROPER(TRIM([1]raw_orders!E522))</f>
        <v>Aarav Sharma</v>
      </c>
      <c r="F522" t="str">
        <f>PROPER(TRIM([1]raw_orders!F522))</f>
        <v>Home Office</v>
      </c>
      <c r="G522" t="str">
        <f>IF('[1]Cleaned Text Field'!G522="","Unknown",'[1]Cleaned Text Field'!G522)</f>
        <v>South</v>
      </c>
      <c r="H522" t="str">
        <f>PROPER(TRIM([1]raw_orders!H522))</f>
        <v>Karnataka</v>
      </c>
      <c r="I522" t="str">
        <f>PROPER(TRIM([1]raw_orders!I522))</f>
        <v>Bengaluru</v>
      </c>
      <c r="J522" t="str">
        <f>PROPER(TRIM([1]raw_orders!J522))</f>
        <v>Technology</v>
      </c>
      <c r="K522" t="str">
        <f>PROPER(TRIM([1]raw_orders!K522))</f>
        <v>Machines</v>
      </c>
      <c r="L522" t="s">
        <v>1601</v>
      </c>
      <c r="M522" t="str">
        <f>IF('[1]Cleaned Text Field'!M522="","Unknown",'[1]Cleaned Text Field'!M522)</f>
        <v>Same Day</v>
      </c>
      <c r="N522">
        <f>IF('[1]Cleaned Text Field'!N522="",0,'[1]Cleaned Text Field'!N522)</f>
        <v>1</v>
      </c>
      <c r="O522">
        <v>1695.91</v>
      </c>
      <c r="P522" s="5">
        <f>IF('[1]Cleaned Text Field'!P522="",0,'[1]Cleaned Text Field'!P522)</f>
        <v>0.05</v>
      </c>
      <c r="Q522">
        <v>1611.11</v>
      </c>
      <c r="R522">
        <v>895.15</v>
      </c>
      <c r="S522">
        <v>715.96</v>
      </c>
      <c r="T522" t="str">
        <f>PROPER(TRIM([1]raw_orders!T522))</f>
        <v>Paid</v>
      </c>
      <c r="U522" t="str">
        <f>PROPER(TRIM([1]raw_orders!U522))</f>
        <v>Completed</v>
      </c>
      <c r="V522" s="6">
        <f t="shared" si="64"/>
        <v>0.44438927199260142</v>
      </c>
      <c r="W522" t="str">
        <f t="shared" si="65"/>
        <v>July</v>
      </c>
      <c r="X522">
        <f t="shared" si="66"/>
        <v>2024</v>
      </c>
      <c r="Y522">
        <f t="shared" si="67"/>
        <v>7</v>
      </c>
      <c r="Z522" s="7">
        <f t="shared" si="68"/>
        <v>0.05</v>
      </c>
      <c r="AA522">
        <f t="shared" si="69"/>
        <v>1611.1144999999999</v>
      </c>
      <c r="AB522">
        <f t="shared" si="70"/>
        <v>715.95999999999992</v>
      </c>
      <c r="AC522" t="str">
        <f t="shared" si="71"/>
        <v>Clean</v>
      </c>
    </row>
    <row r="523" spans="1:29">
      <c r="A523" t="s">
        <v>1602</v>
      </c>
      <c r="B523" s="4">
        <v>45741</v>
      </c>
      <c r="C523" s="4">
        <v>45748</v>
      </c>
      <c r="D523" t="s">
        <v>1603</v>
      </c>
      <c r="E523" t="str">
        <f>PROPER(TRIM([1]raw_orders!E523))</f>
        <v>Diya Patel</v>
      </c>
      <c r="F523" t="str">
        <f>PROPER(TRIM([1]raw_orders!F523))</f>
        <v>Consumer</v>
      </c>
      <c r="G523" t="str">
        <f>IF('[1]Cleaned Text Field'!G523="","Unknown",'[1]Cleaned Text Field'!G523)</f>
        <v>North</v>
      </c>
      <c r="H523" t="str">
        <f>PROPER(TRIM([1]raw_orders!H523))</f>
        <v>Punjab</v>
      </c>
      <c r="I523" t="str">
        <f>PROPER(TRIM([1]raw_orders!I523))</f>
        <v>Ludhiana</v>
      </c>
      <c r="J523" t="str">
        <f>PROPER(TRIM([1]raw_orders!J523))</f>
        <v>Office Supplies</v>
      </c>
      <c r="K523" t="str">
        <f>PROPER(TRIM([1]raw_orders!K523))</f>
        <v>Labels</v>
      </c>
      <c r="L523" t="s">
        <v>1604</v>
      </c>
      <c r="M523" t="str">
        <f>IF('[1]Cleaned Text Field'!M523="","Unknown",'[1]Cleaned Text Field'!M523)</f>
        <v>Second Class</v>
      </c>
      <c r="N523">
        <f>IF('[1]Cleaned Text Field'!N523="",0,'[1]Cleaned Text Field'!N523)</f>
        <v>6</v>
      </c>
      <c r="O523">
        <v>2192.11</v>
      </c>
      <c r="P523" s="5">
        <f>IF('[1]Cleaned Text Field'!P523="",0,'[1]Cleaned Text Field'!P523)</f>
        <v>0.05</v>
      </c>
      <c r="Q523">
        <v>12495.03</v>
      </c>
      <c r="R523">
        <v>9184.52</v>
      </c>
      <c r="S523">
        <v>3310.51</v>
      </c>
      <c r="T523" t="str">
        <f>PROPER(TRIM([1]raw_orders!T523))</f>
        <v>Paid</v>
      </c>
      <c r="U523" t="str">
        <f>PROPER(TRIM([1]raw_orders!U523))</f>
        <v>Completed</v>
      </c>
      <c r="V523" s="6">
        <f t="shared" si="64"/>
        <v>0.26494614258629229</v>
      </c>
      <c r="W523" t="str">
        <f t="shared" si="65"/>
        <v>March</v>
      </c>
      <c r="X523">
        <f t="shared" si="66"/>
        <v>2025</v>
      </c>
      <c r="Y523">
        <f t="shared" si="67"/>
        <v>7</v>
      </c>
      <c r="Z523" s="7">
        <f t="shared" si="68"/>
        <v>0.05</v>
      </c>
      <c r="AA523">
        <f t="shared" si="69"/>
        <v>12495.027</v>
      </c>
      <c r="AB523">
        <f t="shared" si="70"/>
        <v>3310.51</v>
      </c>
      <c r="AC523" t="str">
        <f t="shared" si="71"/>
        <v>Clean</v>
      </c>
    </row>
    <row r="524" spans="1:29">
      <c r="A524" t="s">
        <v>1605</v>
      </c>
      <c r="B524" s="4">
        <v>45716</v>
      </c>
      <c r="C524" s="4">
        <v>45724</v>
      </c>
      <c r="D524" t="s">
        <v>1606</v>
      </c>
      <c r="E524" t="str">
        <f>PROPER(TRIM([1]raw_orders!E524))</f>
        <v>Neha Gupta</v>
      </c>
      <c r="F524" t="str">
        <f>PROPER(TRIM([1]raw_orders!F524))</f>
        <v>Small Business</v>
      </c>
      <c r="G524" t="str">
        <f>IF('[1]Cleaned Text Field'!G524="","Unknown",'[1]Cleaned Text Field'!G524)</f>
        <v>East</v>
      </c>
      <c r="H524" t="str">
        <f>PROPER(TRIM([1]raw_orders!H524))</f>
        <v>Jharkhand</v>
      </c>
      <c r="I524" t="str">
        <f>PROPER(TRIM([1]raw_orders!I524))</f>
        <v>Ranchi</v>
      </c>
      <c r="J524" t="str">
        <f>PROPER(TRIM([1]raw_orders!J524))</f>
        <v>Technology</v>
      </c>
      <c r="K524" t="str">
        <f>PROPER(TRIM([1]raw_orders!K524))</f>
        <v>Phones</v>
      </c>
      <c r="L524" t="s">
        <v>1607</v>
      </c>
      <c r="M524" t="str">
        <f>IF('[1]Cleaned Text Field'!M524="","Unknown",'[1]Cleaned Text Field'!M524)</f>
        <v>First Class</v>
      </c>
      <c r="N524">
        <f>IF('[1]Cleaned Text Field'!N524="",0,'[1]Cleaned Text Field'!N524)</f>
        <v>9</v>
      </c>
      <c r="O524">
        <v>3670.54</v>
      </c>
      <c r="P524" s="5">
        <f>IF('[1]Cleaned Text Field'!P524="",0,'[1]Cleaned Text Field'!P524)</f>
        <v>0</v>
      </c>
      <c r="Q524">
        <v>33034.86</v>
      </c>
      <c r="R524">
        <v>24539.83</v>
      </c>
      <c r="S524">
        <v>8495.0300000000007</v>
      </c>
      <c r="T524" t="str">
        <f>PROPER(TRIM([1]raw_orders!T524))</f>
        <v>Paid</v>
      </c>
      <c r="U524" t="str">
        <f>PROPER(TRIM([1]raw_orders!U524))</f>
        <v>Completed</v>
      </c>
      <c r="V524" s="6">
        <f t="shared" si="64"/>
        <v>0.25715350390466313</v>
      </c>
      <c r="W524" t="str">
        <f t="shared" si="65"/>
        <v>February</v>
      </c>
      <c r="X524">
        <f t="shared" si="66"/>
        <v>2025</v>
      </c>
      <c r="Y524">
        <f t="shared" si="67"/>
        <v>8</v>
      </c>
      <c r="Z524" s="7">
        <f t="shared" si="68"/>
        <v>0</v>
      </c>
      <c r="AA524">
        <f t="shared" si="69"/>
        <v>33034.86</v>
      </c>
      <c r="AB524">
        <f t="shared" si="70"/>
        <v>8495.0299999999988</v>
      </c>
      <c r="AC524" t="str">
        <f t="shared" si="71"/>
        <v>Clean</v>
      </c>
    </row>
    <row r="525" spans="1:29">
      <c r="A525" t="s">
        <v>1608</v>
      </c>
      <c r="B525" s="4">
        <v>45326</v>
      </c>
      <c r="C525" s="4">
        <v>45385</v>
      </c>
      <c r="D525" t="s">
        <v>1609</v>
      </c>
      <c r="E525" t="str">
        <f>PROPER(TRIM([1]raw_orders!E525))</f>
        <v>Kabir Singh</v>
      </c>
      <c r="F525" t="str">
        <f>PROPER(TRIM([1]raw_orders!F525))</f>
        <v>Home Office</v>
      </c>
      <c r="G525" t="str">
        <f>IF('[1]Cleaned Text Field'!G525="","Unknown",'[1]Cleaned Text Field'!G525)</f>
        <v>West</v>
      </c>
      <c r="H525" t="str">
        <f>PROPER(TRIM([1]raw_orders!H525))</f>
        <v>Goa</v>
      </c>
      <c r="I525" t="str">
        <f>PROPER(TRIM([1]raw_orders!I525))</f>
        <v>Panaji</v>
      </c>
      <c r="J525" t="str">
        <f>PROPER(TRIM([1]raw_orders!J525))</f>
        <v>Office Supplies</v>
      </c>
      <c r="K525" t="str">
        <f>PROPER(TRIM([1]raw_orders!K525))</f>
        <v>Paper</v>
      </c>
      <c r="L525" t="s">
        <v>1610</v>
      </c>
      <c r="M525" t="str">
        <f>IF('[1]Cleaned Text Field'!M525="","Unknown",'[1]Cleaned Text Field'!M525)</f>
        <v>Second Class</v>
      </c>
      <c r="N525">
        <f>IF('[1]Cleaned Text Field'!N525="",0,'[1]Cleaned Text Field'!N525)</f>
        <v>2</v>
      </c>
      <c r="O525">
        <v>2902.63</v>
      </c>
      <c r="P525" s="5">
        <f>IF('[1]Cleaned Text Field'!P525="",0,'[1]Cleaned Text Field'!P525)</f>
        <v>0</v>
      </c>
      <c r="Q525">
        <v>5805.26</v>
      </c>
      <c r="R525">
        <v>4654.3599999999997</v>
      </c>
      <c r="S525">
        <v>1150.9000000000001</v>
      </c>
      <c r="T525" t="str">
        <f>PROPER(TRIM([1]raw_orders!T525))</f>
        <v>Paid</v>
      </c>
      <c r="U525" t="str">
        <f>PROPER(TRIM([1]raw_orders!U525))</f>
        <v>Returned</v>
      </c>
      <c r="V525" s="6">
        <f t="shared" si="64"/>
        <v>0.19825124111581566</v>
      </c>
      <c r="W525" t="str">
        <f t="shared" si="65"/>
        <v>February</v>
      </c>
      <c r="X525">
        <f t="shared" si="66"/>
        <v>2024</v>
      </c>
      <c r="Y525">
        <f t="shared" si="67"/>
        <v>59</v>
      </c>
      <c r="Z525" s="7">
        <f t="shared" si="68"/>
        <v>0</v>
      </c>
      <c r="AA525">
        <f t="shared" si="69"/>
        <v>5805.26</v>
      </c>
      <c r="AB525">
        <f t="shared" si="70"/>
        <v>1150.9000000000005</v>
      </c>
      <c r="AC525" t="str">
        <f t="shared" si="71"/>
        <v>Clean</v>
      </c>
    </row>
    <row r="526" spans="1:29">
      <c r="A526" t="s">
        <v>1611</v>
      </c>
      <c r="B526" s="4">
        <v>45626</v>
      </c>
      <c r="C526" s="4">
        <v>45627</v>
      </c>
      <c r="D526" t="s">
        <v>1612</v>
      </c>
      <c r="E526" t="str">
        <f>PROPER(TRIM([1]raw_orders!E526))</f>
        <v>Ananya Rao</v>
      </c>
      <c r="F526" t="str">
        <f>PROPER(TRIM([1]raw_orders!F526))</f>
        <v>Corporate</v>
      </c>
      <c r="G526" t="str">
        <f>IF('[1]Cleaned Text Field'!G526="","Unknown",'[1]Cleaned Text Field'!G526)</f>
        <v>West</v>
      </c>
      <c r="H526" t="str">
        <f>PROPER(TRIM([1]raw_orders!H526))</f>
        <v>Gujarat</v>
      </c>
      <c r="I526" t="str">
        <f>PROPER(TRIM([1]raw_orders!I526))</f>
        <v>Ahmedabad</v>
      </c>
      <c r="J526" t="str">
        <f>PROPER(TRIM([1]raw_orders!J526))</f>
        <v>Furniture</v>
      </c>
      <c r="K526" t="str">
        <f>PROPER(TRIM([1]raw_orders!K526))</f>
        <v>Chairs</v>
      </c>
      <c r="L526" t="s">
        <v>1613</v>
      </c>
      <c r="M526" t="str">
        <f>IF('[1]Cleaned Text Field'!M526="","Unknown",'[1]Cleaned Text Field'!M526)</f>
        <v>First Class</v>
      </c>
      <c r="N526">
        <f>IF('[1]Cleaned Text Field'!N526="",0,'[1]Cleaned Text Field'!N526)</f>
        <v>9</v>
      </c>
      <c r="O526">
        <v>4207.3599999999997</v>
      </c>
      <c r="P526" s="5">
        <f>IF('[1]Cleaned Text Field'!P526="",0,'[1]Cleaned Text Field'!P526)</f>
        <v>0.1</v>
      </c>
      <c r="Q526">
        <v>34079.620000000003</v>
      </c>
      <c r="R526">
        <v>21871.39</v>
      </c>
      <c r="S526">
        <v>12208.23</v>
      </c>
      <c r="T526" t="str">
        <f>PROPER(TRIM([1]raw_orders!T526))</f>
        <v>Paid</v>
      </c>
      <c r="U526" t="str">
        <f>PROPER(TRIM([1]raw_orders!U526))</f>
        <v>Completed</v>
      </c>
      <c r="V526" s="6">
        <f t="shared" si="64"/>
        <v>0.35822670557946357</v>
      </c>
      <c r="W526" t="str">
        <f t="shared" si="65"/>
        <v>November</v>
      </c>
      <c r="X526">
        <f t="shared" si="66"/>
        <v>2024</v>
      </c>
      <c r="Y526">
        <f t="shared" si="67"/>
        <v>1</v>
      </c>
      <c r="Z526" s="7">
        <f t="shared" si="68"/>
        <v>0.1</v>
      </c>
      <c r="AA526">
        <f t="shared" si="69"/>
        <v>34079.616000000002</v>
      </c>
      <c r="AB526">
        <f t="shared" si="70"/>
        <v>12208.230000000003</v>
      </c>
      <c r="AC526" t="str">
        <f t="shared" si="71"/>
        <v>Clean</v>
      </c>
    </row>
    <row r="527" spans="1:29">
      <c r="A527" t="s">
        <v>1614</v>
      </c>
      <c r="B527" s="4">
        <v>45582</v>
      </c>
      <c r="C527" s="4">
        <v>45582</v>
      </c>
      <c r="D527" t="s">
        <v>1615</v>
      </c>
      <c r="E527" t="str">
        <f>PROPER(TRIM([1]raw_orders!E527))</f>
        <v>Priya Menon</v>
      </c>
      <c r="F527" t="str">
        <f>PROPER(TRIM([1]raw_orders!F527))</f>
        <v>Home Office</v>
      </c>
      <c r="G527" t="str">
        <f>IF('[1]Cleaned Text Field'!G527="","Unknown",'[1]Cleaned Text Field'!G527)</f>
        <v>East</v>
      </c>
      <c r="H527" t="str">
        <f>PROPER(TRIM([1]raw_orders!H527))</f>
        <v>West Bengal</v>
      </c>
      <c r="I527" t="str">
        <f>PROPER(TRIM([1]raw_orders!I527))</f>
        <v>Kolkata</v>
      </c>
      <c r="J527" t="str">
        <f>PROPER(TRIM([1]raw_orders!J527))</f>
        <v>Furniture</v>
      </c>
      <c r="K527" t="str">
        <f>PROPER(TRIM([1]raw_orders!K527))</f>
        <v>Chairs</v>
      </c>
      <c r="L527" t="s">
        <v>1616</v>
      </c>
      <c r="M527" t="str">
        <f>IF('[1]Cleaned Text Field'!M527="","Unknown",'[1]Cleaned Text Field'!M527)</f>
        <v>Standard Class</v>
      </c>
      <c r="N527">
        <f>IF('[1]Cleaned Text Field'!N527="",0,'[1]Cleaned Text Field'!N527)</f>
        <v>5</v>
      </c>
      <c r="O527">
        <v>2524.4</v>
      </c>
      <c r="P527" s="5">
        <f>IF('[1]Cleaned Text Field'!P527="",0,'[1]Cleaned Text Field'!P527)</f>
        <v>0.1</v>
      </c>
      <c r="Q527">
        <v>11359.8</v>
      </c>
      <c r="R527">
        <v>7062.44</v>
      </c>
      <c r="S527">
        <v>4297.3599999999997</v>
      </c>
      <c r="T527" t="str">
        <f>PROPER(TRIM([1]raw_orders!T527))</f>
        <v>Paid</v>
      </c>
      <c r="U527" t="str">
        <f>PROPER(TRIM([1]raw_orders!U527))</f>
        <v>Completed</v>
      </c>
      <c r="V527" s="6">
        <f t="shared" si="64"/>
        <v>0.37829539252451627</v>
      </c>
      <c r="W527" t="str">
        <f t="shared" si="65"/>
        <v>October</v>
      </c>
      <c r="X527">
        <f t="shared" si="66"/>
        <v>2024</v>
      </c>
      <c r="Y527">
        <f t="shared" si="67"/>
        <v>0</v>
      </c>
      <c r="Z527" s="7">
        <f t="shared" si="68"/>
        <v>0.1</v>
      </c>
      <c r="AA527">
        <f t="shared" si="69"/>
        <v>11359.800000000001</v>
      </c>
      <c r="AB527">
        <f t="shared" si="70"/>
        <v>4297.3599999999997</v>
      </c>
      <c r="AC527" t="str">
        <f t="shared" si="71"/>
        <v>Clean</v>
      </c>
    </row>
    <row r="528" spans="1:29">
      <c r="A528" t="s">
        <v>1617</v>
      </c>
      <c r="B528" s="4">
        <v>45856</v>
      </c>
      <c r="C528" s="4">
        <v>45859</v>
      </c>
      <c r="D528" t="s">
        <v>1618</v>
      </c>
      <c r="E528" t="str">
        <f>PROPER(TRIM([1]raw_orders!E528))</f>
        <v>Priya Menon</v>
      </c>
      <c r="F528" t="str">
        <f>PROPER(TRIM([1]raw_orders!F528))</f>
        <v>Consumer</v>
      </c>
      <c r="G528" t="str">
        <f>IF('[1]Cleaned Text Field'!G528="","Unknown",'[1]Cleaned Text Field'!G528)</f>
        <v>East</v>
      </c>
      <c r="H528" t="str">
        <f>PROPER(TRIM([1]raw_orders!H528))</f>
        <v>Odisha</v>
      </c>
      <c r="I528" t="str">
        <f>PROPER(TRIM([1]raw_orders!I528))</f>
        <v>Bhubaneswar</v>
      </c>
      <c r="J528" t="str">
        <f>PROPER(TRIM([1]raw_orders!J528))</f>
        <v>Furniture</v>
      </c>
      <c r="K528" t="str">
        <f>PROPER(TRIM([1]raw_orders!K528))</f>
        <v>Tables</v>
      </c>
      <c r="L528" t="s">
        <v>1619</v>
      </c>
      <c r="M528" t="str">
        <f>IF('[1]Cleaned Text Field'!M528="","Unknown",'[1]Cleaned Text Field'!M528)</f>
        <v>Second Class</v>
      </c>
      <c r="N528">
        <f>IF('[1]Cleaned Text Field'!N528="",0,'[1]Cleaned Text Field'!N528)</f>
        <v>4</v>
      </c>
      <c r="O528">
        <v>284.04000000000002</v>
      </c>
      <c r="P528" s="5">
        <f>IF('[1]Cleaned Text Field'!P528="",0,'[1]Cleaned Text Field'!P528)</f>
        <v>0</v>
      </c>
      <c r="Q528">
        <v>908.93</v>
      </c>
      <c r="R528">
        <v>572.08000000000004</v>
      </c>
      <c r="S528">
        <v>336.85</v>
      </c>
      <c r="T528" t="str">
        <f>PROPER(TRIM([1]raw_orders!T528))</f>
        <v>Paid</v>
      </c>
      <c r="U528" t="str">
        <f>PROPER(TRIM([1]raw_orders!U528))</f>
        <v>Completed</v>
      </c>
      <c r="V528" s="6">
        <f t="shared" si="64"/>
        <v>0.37060059630554615</v>
      </c>
      <c r="W528" t="str">
        <f t="shared" si="65"/>
        <v>July</v>
      </c>
      <c r="X528">
        <f t="shared" si="66"/>
        <v>2025</v>
      </c>
      <c r="Y528">
        <f t="shared" si="67"/>
        <v>3</v>
      </c>
      <c r="Z528" s="7">
        <f t="shared" si="68"/>
        <v>0</v>
      </c>
      <c r="AA528">
        <f t="shared" si="69"/>
        <v>1136.1600000000001</v>
      </c>
      <c r="AB528">
        <f t="shared" si="70"/>
        <v>336.84999999999991</v>
      </c>
      <c r="AC528" t="str">
        <f t="shared" si="71"/>
        <v>Clean</v>
      </c>
    </row>
    <row r="529" spans="1:29">
      <c r="A529" t="s">
        <v>1620</v>
      </c>
      <c r="B529" s="4">
        <v>45667</v>
      </c>
      <c r="C529" s="4">
        <v>45935</v>
      </c>
      <c r="D529" t="s">
        <v>1621</v>
      </c>
      <c r="E529" t="str">
        <f>PROPER(TRIM([1]raw_orders!E529))</f>
        <v>Aditi Sen</v>
      </c>
      <c r="F529" t="str">
        <f>PROPER(TRIM([1]raw_orders!F529))</f>
        <v>Home Office</v>
      </c>
      <c r="G529" t="str">
        <f>IF('[1]Cleaned Text Field'!G529="","Unknown",'[1]Cleaned Text Field'!G529)</f>
        <v>North</v>
      </c>
      <c r="H529" t="str">
        <f>PROPER(TRIM([1]raw_orders!H529))</f>
        <v>Haryana</v>
      </c>
      <c r="I529" t="str">
        <f>PROPER(TRIM([1]raw_orders!I529))</f>
        <v>Gurugram</v>
      </c>
      <c r="J529" t="str">
        <f>PROPER(TRIM([1]raw_orders!J529))</f>
        <v>Office Supplies</v>
      </c>
      <c r="K529" t="str">
        <f>PROPER(TRIM([1]raw_orders!K529))</f>
        <v>Paper</v>
      </c>
      <c r="L529" t="s">
        <v>1622</v>
      </c>
      <c r="M529" t="str">
        <f>IF('[1]Cleaned Text Field'!M529="","Unknown",'[1]Cleaned Text Field'!M529)</f>
        <v>First Class</v>
      </c>
      <c r="N529">
        <f>IF('[1]Cleaned Text Field'!N529="",0,'[1]Cleaned Text Field'!N529)</f>
        <v>5</v>
      </c>
      <c r="O529">
        <v>3247.56</v>
      </c>
      <c r="P529" s="5">
        <f>IF('[1]Cleaned Text Field'!P529="",0,'[1]Cleaned Text Field'!P529)</f>
        <v>0.15</v>
      </c>
      <c r="Q529">
        <v>13802.13</v>
      </c>
      <c r="R529">
        <v>10075.93</v>
      </c>
      <c r="S529">
        <v>3726.2</v>
      </c>
      <c r="T529" t="str">
        <f>PROPER(TRIM([1]raw_orders!T529))</f>
        <v>Paid</v>
      </c>
      <c r="U529" t="str">
        <f>PROPER(TRIM([1]raw_orders!U529))</f>
        <v>Completed</v>
      </c>
      <c r="V529" s="6">
        <f t="shared" si="64"/>
        <v>0.26997282303528514</v>
      </c>
      <c r="W529" t="str">
        <f t="shared" si="65"/>
        <v>January</v>
      </c>
      <c r="X529">
        <f t="shared" si="66"/>
        <v>2025</v>
      </c>
      <c r="Y529">
        <f t="shared" si="67"/>
        <v>268</v>
      </c>
      <c r="Z529" s="7">
        <f t="shared" si="68"/>
        <v>0.15</v>
      </c>
      <c r="AA529">
        <f t="shared" si="69"/>
        <v>13802.13</v>
      </c>
      <c r="AB529">
        <f t="shared" si="70"/>
        <v>3726.1999999999989</v>
      </c>
      <c r="AC529" t="str">
        <f t="shared" si="71"/>
        <v>Clean</v>
      </c>
    </row>
    <row r="530" spans="1:29">
      <c r="A530" t="s">
        <v>1623</v>
      </c>
      <c r="B530" s="4">
        <v>45572</v>
      </c>
      <c r="C530" s="4">
        <v>45545</v>
      </c>
      <c r="D530" t="s">
        <v>1624</v>
      </c>
      <c r="E530" t="str">
        <f>PROPER(TRIM([1]raw_orders!E530))</f>
        <v>Diya Patel</v>
      </c>
      <c r="F530" t="str">
        <f>PROPER(TRIM([1]raw_orders!F530))</f>
        <v>Consumer</v>
      </c>
      <c r="G530" t="str">
        <f>IF('[1]Cleaned Text Field'!G530="","Unknown",'[1]Cleaned Text Field'!G530)</f>
        <v>South</v>
      </c>
      <c r="H530" t="str">
        <f>PROPER(TRIM([1]raw_orders!H530))</f>
        <v>Tamil Nadu</v>
      </c>
      <c r="I530" t="str">
        <f>PROPER(TRIM([1]raw_orders!I530))</f>
        <v>Chennai</v>
      </c>
      <c r="J530" t="str">
        <f>PROPER(TRIM([1]raw_orders!J530))</f>
        <v>Office Supplies</v>
      </c>
      <c r="K530" t="str">
        <f>PROPER(TRIM([1]raw_orders!K530))</f>
        <v>Binders</v>
      </c>
      <c r="L530" t="s">
        <v>1625</v>
      </c>
      <c r="M530" t="str">
        <f>IF('[1]Cleaned Text Field'!M530="","Unknown",'[1]Cleaned Text Field'!M530)</f>
        <v>Standard Class</v>
      </c>
      <c r="N530">
        <f>IF('[1]Cleaned Text Field'!N530="",0,'[1]Cleaned Text Field'!N530)</f>
        <v>9</v>
      </c>
      <c r="O530">
        <v>3457.09</v>
      </c>
      <c r="P530" s="5">
        <f>IF('[1]Cleaned Text Field'!P530="",0,'[1]Cleaned Text Field'!P530)</f>
        <v>0.05</v>
      </c>
      <c r="Q530">
        <v>29558.12</v>
      </c>
      <c r="R530">
        <v>21302.13</v>
      </c>
      <c r="S530">
        <v>8255.99</v>
      </c>
      <c r="T530" t="str">
        <f>PROPER(TRIM([1]raw_orders!T530))</f>
        <v>Pending</v>
      </c>
      <c r="U530" t="str">
        <f>PROPER(TRIM([1]raw_orders!U530))</f>
        <v>Returned</v>
      </c>
      <c r="V530" s="6">
        <f t="shared" si="64"/>
        <v>0.27931377232381494</v>
      </c>
      <c r="W530" t="str">
        <f t="shared" si="65"/>
        <v>October</v>
      </c>
      <c r="X530">
        <f t="shared" si="66"/>
        <v>2024</v>
      </c>
      <c r="Y530">
        <f t="shared" si="67"/>
        <v>-27</v>
      </c>
      <c r="Z530" s="7">
        <f t="shared" si="68"/>
        <v>0.05</v>
      </c>
      <c r="AA530">
        <f t="shared" si="69"/>
        <v>29558.119500000001</v>
      </c>
      <c r="AB530">
        <f t="shared" si="70"/>
        <v>8255.989999999998</v>
      </c>
      <c r="AC530" t="str">
        <f t="shared" si="71"/>
        <v>Warning</v>
      </c>
    </row>
    <row r="531" spans="1:29">
      <c r="A531" t="s">
        <v>1626</v>
      </c>
      <c r="B531" s="4">
        <v>45328</v>
      </c>
      <c r="C531" s="4">
        <v>45330</v>
      </c>
      <c r="D531" t="s">
        <v>671</v>
      </c>
      <c r="E531" t="str">
        <f>PROPER(TRIM([1]raw_orders!E531))</f>
        <v>Karan Malhotra</v>
      </c>
      <c r="F531" t="str">
        <f>PROPER(TRIM([1]raw_orders!F531))</f>
        <v>Consumer</v>
      </c>
      <c r="G531" t="str">
        <f>IF('[1]Cleaned Text Field'!G531="","Unknown",'[1]Cleaned Text Field'!G531)</f>
        <v>East</v>
      </c>
      <c r="H531" t="str">
        <f>PROPER(TRIM([1]raw_orders!H531))</f>
        <v>Jharkhand</v>
      </c>
      <c r="I531" t="str">
        <f>PROPER(TRIM([1]raw_orders!I531))</f>
        <v>Ranchi</v>
      </c>
      <c r="J531" t="str">
        <f>PROPER(TRIM([1]raw_orders!J531))</f>
        <v>Furniture</v>
      </c>
      <c r="K531" t="str">
        <f>PROPER(TRIM([1]raw_orders!K531))</f>
        <v>Bookcases</v>
      </c>
      <c r="L531" t="s">
        <v>1627</v>
      </c>
      <c r="M531" t="str">
        <f>IF('[1]Cleaned Text Field'!M531="","Unknown",'[1]Cleaned Text Field'!M531)</f>
        <v>Second Class</v>
      </c>
      <c r="N531">
        <f>IF('[1]Cleaned Text Field'!N531="",0,'[1]Cleaned Text Field'!N531)</f>
        <v>9</v>
      </c>
      <c r="O531">
        <v>1822.25</v>
      </c>
      <c r="P531" s="5">
        <f>IF('[1]Cleaned Text Field'!P531="",0,'[1]Cleaned Text Field'!P531)</f>
        <v>0</v>
      </c>
      <c r="Q531">
        <v>16400.25</v>
      </c>
      <c r="R531">
        <v>12146.96</v>
      </c>
      <c r="S531">
        <v>4253.29</v>
      </c>
      <c r="T531" t="str">
        <f>PROPER(TRIM([1]raw_orders!T531))</f>
        <v>Paid</v>
      </c>
      <c r="U531" t="str">
        <f>PROPER(TRIM([1]raw_orders!U531))</f>
        <v>Completed</v>
      </c>
      <c r="V531" s="6">
        <f t="shared" si="64"/>
        <v>0.25934299782015519</v>
      </c>
      <c r="W531" t="str">
        <f t="shared" si="65"/>
        <v>February</v>
      </c>
      <c r="X531">
        <f t="shared" si="66"/>
        <v>2024</v>
      </c>
      <c r="Y531">
        <f t="shared" si="67"/>
        <v>2</v>
      </c>
      <c r="Z531" s="7">
        <f t="shared" si="68"/>
        <v>0</v>
      </c>
      <c r="AA531">
        <f t="shared" si="69"/>
        <v>16400.25</v>
      </c>
      <c r="AB531">
        <f t="shared" si="70"/>
        <v>4253.2900000000009</v>
      </c>
      <c r="AC531" t="str">
        <f t="shared" si="71"/>
        <v>Clean</v>
      </c>
    </row>
    <row r="532" spans="1:29">
      <c r="A532" t="s">
        <v>1628</v>
      </c>
      <c r="B532" s="4">
        <v>45807</v>
      </c>
      <c r="C532" s="4">
        <v>45809</v>
      </c>
      <c r="D532" t="s">
        <v>1629</v>
      </c>
      <c r="E532" t="str">
        <f>PROPER(TRIM([1]raw_orders!E532))</f>
        <v>Rahul Verma</v>
      </c>
      <c r="F532" t="str">
        <f>PROPER(TRIM([1]raw_orders!F532))</f>
        <v>Home Office</v>
      </c>
      <c r="G532" t="str">
        <f>IF('[1]Cleaned Text Field'!G532="","Unknown",'[1]Cleaned Text Field'!G532)</f>
        <v>South</v>
      </c>
      <c r="H532" t="str">
        <f>PROPER(TRIM([1]raw_orders!H532))</f>
        <v>Tamil Nadu</v>
      </c>
      <c r="I532" t="str">
        <f>PROPER(TRIM([1]raw_orders!I532))</f>
        <v>Chennai</v>
      </c>
      <c r="J532" t="str">
        <f>PROPER(TRIM([1]raw_orders!J532))</f>
        <v>Office Supplies</v>
      </c>
      <c r="K532" t="str">
        <f>PROPER(TRIM([1]raw_orders!K532))</f>
        <v>Binders</v>
      </c>
      <c r="L532" t="s">
        <v>1630</v>
      </c>
      <c r="M532" t="str">
        <f>IF('[1]Cleaned Text Field'!M532="","Unknown",'[1]Cleaned Text Field'!M532)</f>
        <v>Standard Class</v>
      </c>
      <c r="N532">
        <f>IF('[1]Cleaned Text Field'!N532="",0,'[1]Cleaned Text Field'!N532)</f>
        <v>9</v>
      </c>
      <c r="O532">
        <v>1994.51</v>
      </c>
      <c r="P532" s="5">
        <f>IF('[1]Cleaned Text Field'!P532="",0,'[1]Cleaned Text Field'!P532)</f>
        <v>0.05</v>
      </c>
      <c r="Q532">
        <v>17053.060000000001</v>
      </c>
      <c r="R532">
        <v>10742.38</v>
      </c>
      <c r="S532">
        <v>6310.68</v>
      </c>
      <c r="T532" t="str">
        <f>PROPER(TRIM([1]raw_orders!T532))</f>
        <v>Paid</v>
      </c>
      <c r="U532" t="str">
        <f>PROPER(TRIM([1]raw_orders!U532))</f>
        <v>Completed</v>
      </c>
      <c r="V532" s="6">
        <f t="shared" si="64"/>
        <v>0.37006144351805481</v>
      </c>
      <c r="W532" t="str">
        <f t="shared" si="65"/>
        <v>May</v>
      </c>
      <c r="X532">
        <f t="shared" si="66"/>
        <v>2025</v>
      </c>
      <c r="Y532">
        <f t="shared" si="67"/>
        <v>2</v>
      </c>
      <c r="Z532" s="7">
        <f t="shared" si="68"/>
        <v>0.05</v>
      </c>
      <c r="AA532">
        <f t="shared" si="69"/>
        <v>17053.0605</v>
      </c>
      <c r="AB532">
        <f t="shared" si="70"/>
        <v>6310.6800000000021</v>
      </c>
      <c r="AC532" t="str">
        <f t="shared" si="71"/>
        <v>Clean</v>
      </c>
    </row>
    <row r="533" spans="1:29">
      <c r="A533" t="s">
        <v>1631</v>
      </c>
      <c r="B533" s="4">
        <v>45505</v>
      </c>
      <c r="C533" s="4">
        <v>45512</v>
      </c>
      <c r="D533" t="s">
        <v>1632</v>
      </c>
      <c r="E533" t="str">
        <f>PROPER(TRIM([1]raw_orders!E533))</f>
        <v>Diya Patel</v>
      </c>
      <c r="F533" t="str">
        <f>PROPER(TRIM([1]raw_orders!F533))</f>
        <v>Small Business</v>
      </c>
      <c r="G533" t="str">
        <f>IF('[1]Cleaned Text Field'!G533="","Unknown",'[1]Cleaned Text Field'!G533)</f>
        <v>West</v>
      </c>
      <c r="H533" t="str">
        <f>PROPER(TRIM([1]raw_orders!H533))</f>
        <v>Maharashtra</v>
      </c>
      <c r="I533" t="str">
        <f>PROPER(TRIM([1]raw_orders!I533))</f>
        <v>Mumbai</v>
      </c>
      <c r="J533" t="str">
        <f>PROPER(TRIM([1]raw_orders!J533))</f>
        <v>Office Supplies</v>
      </c>
      <c r="K533" t="str">
        <f>PROPER(TRIM([1]raw_orders!K533))</f>
        <v>Storage</v>
      </c>
      <c r="L533" t="s">
        <v>1633</v>
      </c>
      <c r="M533" t="str">
        <f>IF('[1]Cleaned Text Field'!M533="","Unknown",'[1]Cleaned Text Field'!M533)</f>
        <v>Unknown</v>
      </c>
      <c r="N533">
        <f>IF('[1]Cleaned Text Field'!N533="",0,'[1]Cleaned Text Field'!N533)</f>
        <v>1</v>
      </c>
      <c r="O533">
        <v>442.97</v>
      </c>
      <c r="P533" s="5">
        <f>IF('[1]Cleaned Text Field'!P533="",0,'[1]Cleaned Text Field'!P533)</f>
        <v>0.1</v>
      </c>
      <c r="Q533">
        <v>398.67</v>
      </c>
      <c r="R533">
        <v>311.66000000000003</v>
      </c>
      <c r="S533">
        <v>87.01</v>
      </c>
      <c r="T533" t="str">
        <f>PROPER(TRIM([1]raw_orders!T533))</f>
        <v>Paid</v>
      </c>
      <c r="U533" t="str">
        <f>PROPER(TRIM([1]raw_orders!U533))</f>
        <v>Completed</v>
      </c>
      <c r="V533" s="6">
        <f t="shared" si="64"/>
        <v>0.21825068352271301</v>
      </c>
      <c r="W533" t="str">
        <f t="shared" si="65"/>
        <v>August</v>
      </c>
      <c r="X533">
        <f t="shared" si="66"/>
        <v>2024</v>
      </c>
      <c r="Y533">
        <f t="shared" si="67"/>
        <v>7</v>
      </c>
      <c r="Z533" s="7">
        <f t="shared" si="68"/>
        <v>0.1</v>
      </c>
      <c r="AA533">
        <f t="shared" si="69"/>
        <v>398.67300000000006</v>
      </c>
      <c r="AB533">
        <f t="shared" si="70"/>
        <v>87.009999999999991</v>
      </c>
      <c r="AC533" t="str">
        <f t="shared" si="71"/>
        <v>Clean</v>
      </c>
    </row>
    <row r="534" spans="1:29">
      <c r="A534" t="s">
        <v>1634</v>
      </c>
      <c r="B534" s="4">
        <v>45935</v>
      </c>
      <c r="C534" s="4">
        <v>45940</v>
      </c>
      <c r="D534" t="s">
        <v>1635</v>
      </c>
      <c r="E534" t="str">
        <f>PROPER(TRIM([1]raw_orders!E534))</f>
        <v>Priya Menon</v>
      </c>
      <c r="F534" t="str">
        <f>PROPER(TRIM([1]raw_orders!F534))</f>
        <v>Corporate</v>
      </c>
      <c r="G534" t="str">
        <f>IF('[1]Cleaned Text Field'!G534="","Unknown",'[1]Cleaned Text Field'!G534)</f>
        <v>East</v>
      </c>
      <c r="H534" t="str">
        <f>PROPER(TRIM([1]raw_orders!H534))</f>
        <v>Assam</v>
      </c>
      <c r="I534" t="str">
        <f>PROPER(TRIM([1]raw_orders!I534))</f>
        <v>Guwahati</v>
      </c>
      <c r="J534" t="str">
        <f>PROPER(TRIM([1]raw_orders!J534))</f>
        <v>Furniture</v>
      </c>
      <c r="K534" t="str">
        <f>PROPER(TRIM([1]raw_orders!K534))</f>
        <v>Tables</v>
      </c>
      <c r="L534" t="s">
        <v>1636</v>
      </c>
      <c r="M534" t="str">
        <f>IF('[1]Cleaned Text Field'!M534="","Unknown",'[1]Cleaned Text Field'!M534)</f>
        <v>Second Class</v>
      </c>
      <c r="N534">
        <f>IF('[1]Cleaned Text Field'!N534="",0,'[1]Cleaned Text Field'!N534)</f>
        <v>9</v>
      </c>
      <c r="O534">
        <v>2089.14</v>
      </c>
      <c r="P534" s="5">
        <f>IF('[1]Cleaned Text Field'!P534="",0,'[1]Cleaned Text Field'!P534)</f>
        <v>0.05</v>
      </c>
      <c r="Q534">
        <v>17862.150000000001</v>
      </c>
      <c r="R534">
        <v>9892.2099999999991</v>
      </c>
      <c r="S534">
        <v>7969.94</v>
      </c>
      <c r="T534" t="str">
        <f>PROPER(TRIM([1]raw_orders!T534))</f>
        <v>Failed</v>
      </c>
      <c r="U534" t="str">
        <f>PROPER(TRIM([1]raw_orders!U534))</f>
        <v>Cancelled</v>
      </c>
      <c r="V534" s="6">
        <f t="shared" si="64"/>
        <v>0.44619152789557803</v>
      </c>
      <c r="W534" t="str">
        <f t="shared" si="65"/>
        <v>October</v>
      </c>
      <c r="X534">
        <f t="shared" si="66"/>
        <v>2025</v>
      </c>
      <c r="Y534">
        <f t="shared" si="67"/>
        <v>5</v>
      </c>
      <c r="Z534" s="7">
        <f t="shared" si="68"/>
        <v>0.05</v>
      </c>
      <c r="AA534">
        <f t="shared" si="69"/>
        <v>17862.146999999997</v>
      </c>
      <c r="AB534">
        <f t="shared" si="70"/>
        <v>7969.9400000000023</v>
      </c>
      <c r="AC534" t="str">
        <f t="shared" si="71"/>
        <v>Clean</v>
      </c>
    </row>
    <row r="535" spans="1:29">
      <c r="A535" t="s">
        <v>1637</v>
      </c>
      <c r="B535" s="4">
        <v>45529</v>
      </c>
      <c r="C535" s="4">
        <v>45536</v>
      </c>
      <c r="D535" t="s">
        <v>1638</v>
      </c>
      <c r="E535" t="str">
        <f>PROPER(TRIM([1]raw_orders!E535))</f>
        <v>Isha Nair</v>
      </c>
      <c r="F535" t="str">
        <f>PROPER(TRIM([1]raw_orders!F535))</f>
        <v>Home Office</v>
      </c>
      <c r="G535" t="str">
        <f>IF('[1]Cleaned Text Field'!G535="","Unknown",'[1]Cleaned Text Field'!G535)</f>
        <v>North</v>
      </c>
      <c r="H535" t="str">
        <f>PROPER(TRIM([1]raw_orders!H535))</f>
        <v>Rajasthan</v>
      </c>
      <c r="I535" t="str">
        <f>PROPER(TRIM([1]raw_orders!I535))</f>
        <v>Jaipur</v>
      </c>
      <c r="J535" t="str">
        <f>PROPER(TRIM([1]raw_orders!J535))</f>
        <v>Furniture</v>
      </c>
      <c r="K535" t="str">
        <f>PROPER(TRIM([1]raw_orders!K535))</f>
        <v>Tables</v>
      </c>
      <c r="L535" t="s">
        <v>1639</v>
      </c>
      <c r="M535" t="str">
        <f>IF('[1]Cleaned Text Field'!M535="","Unknown",'[1]Cleaned Text Field'!M535)</f>
        <v>Same Day</v>
      </c>
      <c r="N535">
        <f>IF('[1]Cleaned Text Field'!N535="",0,'[1]Cleaned Text Field'!N535)</f>
        <v>6</v>
      </c>
      <c r="O535">
        <v>481.3</v>
      </c>
      <c r="P535" s="5">
        <f>IF('[1]Cleaned Text Field'!P535="",0,'[1]Cleaned Text Field'!P535)</f>
        <v>0.25</v>
      </c>
      <c r="Q535">
        <v>2165.85</v>
      </c>
      <c r="R535">
        <v>2124.48</v>
      </c>
      <c r="S535">
        <v>430.45</v>
      </c>
      <c r="T535" t="str">
        <f>PROPER(TRIM([1]raw_orders!T535))</f>
        <v>Paid</v>
      </c>
      <c r="U535" t="str">
        <f>PROPER(TRIM([1]raw_orders!U535))</f>
        <v>Completed</v>
      </c>
      <c r="V535" s="6">
        <f t="shared" si="64"/>
        <v>0.19874414202276242</v>
      </c>
      <c r="W535" t="str">
        <f t="shared" si="65"/>
        <v>August</v>
      </c>
      <c r="X535">
        <f t="shared" si="66"/>
        <v>2024</v>
      </c>
      <c r="Y535">
        <f t="shared" si="67"/>
        <v>7</v>
      </c>
      <c r="Z535" s="7">
        <f t="shared" si="68"/>
        <v>0.25</v>
      </c>
      <c r="AA535">
        <f t="shared" si="69"/>
        <v>2165.8500000000004</v>
      </c>
      <c r="AB535">
        <f t="shared" si="70"/>
        <v>41.369999999999891</v>
      </c>
      <c r="AC535" t="str">
        <f t="shared" si="71"/>
        <v>Clean</v>
      </c>
    </row>
    <row r="536" spans="1:29">
      <c r="A536" t="s">
        <v>1640</v>
      </c>
      <c r="B536" s="4">
        <v>45774</v>
      </c>
      <c r="C536" s="4">
        <v>45782</v>
      </c>
      <c r="D536" t="s">
        <v>1641</v>
      </c>
      <c r="E536" t="str">
        <f>PROPER(TRIM([1]raw_orders!E536))</f>
        <v>Rohan Mehta</v>
      </c>
      <c r="F536" t="str">
        <f>PROPER(TRIM([1]raw_orders!F536))</f>
        <v>Home Office</v>
      </c>
      <c r="G536" t="str">
        <f>IF('[1]Cleaned Text Field'!G536="","Unknown",'[1]Cleaned Text Field'!G536)</f>
        <v>East</v>
      </c>
      <c r="H536" t="str">
        <f>PROPER(TRIM([1]raw_orders!H536))</f>
        <v>Bihar</v>
      </c>
      <c r="I536" t="str">
        <f>PROPER(TRIM([1]raw_orders!I536))</f>
        <v>Patna</v>
      </c>
      <c r="J536" t="str">
        <f>PROPER(TRIM([1]raw_orders!J536))</f>
        <v>Technology</v>
      </c>
      <c r="K536" t="str">
        <f>PROPER(TRIM([1]raw_orders!K536))</f>
        <v>Accessories</v>
      </c>
      <c r="L536" t="s">
        <v>1642</v>
      </c>
      <c r="M536" t="str">
        <f>IF('[1]Cleaned Text Field'!M536="","Unknown",'[1]Cleaned Text Field'!M536)</f>
        <v>Second Class</v>
      </c>
      <c r="N536">
        <f>IF('[1]Cleaned Text Field'!N536="",0,'[1]Cleaned Text Field'!N536)</f>
        <v>4</v>
      </c>
      <c r="O536">
        <v>3963.39</v>
      </c>
      <c r="P536" s="5">
        <f>IF('[1]Cleaned Text Field'!P536="",0,'[1]Cleaned Text Field'!P536)</f>
        <v>0.1</v>
      </c>
      <c r="Q536">
        <v>14268.2</v>
      </c>
      <c r="R536">
        <v>11705.3</v>
      </c>
      <c r="S536">
        <v>2562.9</v>
      </c>
      <c r="T536" t="str">
        <f>PROPER(TRIM([1]raw_orders!T536))</f>
        <v>Pending</v>
      </c>
      <c r="U536" t="str">
        <f>PROPER(TRIM([1]raw_orders!U536))</f>
        <v>Returned</v>
      </c>
      <c r="V536" s="6">
        <f t="shared" si="64"/>
        <v>0.17962321806534812</v>
      </c>
      <c r="W536" t="str">
        <f t="shared" si="65"/>
        <v>April</v>
      </c>
      <c r="X536">
        <f t="shared" si="66"/>
        <v>2025</v>
      </c>
      <c r="Y536">
        <f t="shared" si="67"/>
        <v>8</v>
      </c>
      <c r="Z536" s="7">
        <f t="shared" si="68"/>
        <v>0.1</v>
      </c>
      <c r="AA536">
        <f t="shared" si="69"/>
        <v>14268.204</v>
      </c>
      <c r="AB536">
        <f t="shared" si="70"/>
        <v>2562.9000000000015</v>
      </c>
      <c r="AC536" t="str">
        <f t="shared" si="71"/>
        <v>Clean</v>
      </c>
    </row>
    <row r="537" spans="1:29">
      <c r="A537" t="s">
        <v>1643</v>
      </c>
      <c r="B537" s="4">
        <v>45431</v>
      </c>
      <c r="C537" s="4">
        <v>45433</v>
      </c>
      <c r="D537" t="s">
        <v>1644</v>
      </c>
      <c r="E537" t="str">
        <f>PROPER(TRIM([1]raw_orders!E537))</f>
        <v>Diya Patel</v>
      </c>
      <c r="F537" t="str">
        <f>PROPER(TRIM([1]raw_orders!F537))</f>
        <v>Small Business</v>
      </c>
      <c r="G537" t="str">
        <f>IF('[1]Cleaned Text Field'!G537="","Unknown",'[1]Cleaned Text Field'!G537)</f>
        <v>West</v>
      </c>
      <c r="H537" t="str">
        <f>PROPER(TRIM([1]raw_orders!H537))</f>
        <v>Maharashtra</v>
      </c>
      <c r="I537" t="str">
        <f>PROPER(TRIM([1]raw_orders!I537))</f>
        <v>Mumbai</v>
      </c>
      <c r="J537" t="str">
        <f>PROPER(TRIM([1]raw_orders!J537))</f>
        <v>Technology</v>
      </c>
      <c r="K537" t="str">
        <f>PROPER(TRIM([1]raw_orders!K537))</f>
        <v>Copiers</v>
      </c>
      <c r="L537" t="s">
        <v>1645</v>
      </c>
      <c r="M537" t="str">
        <f>IF('[1]Cleaned Text Field'!M537="","Unknown",'[1]Cleaned Text Field'!M537)</f>
        <v>First Class</v>
      </c>
      <c r="N537">
        <f>IF('[1]Cleaned Text Field'!N537="",0,'[1]Cleaned Text Field'!N537)</f>
        <v>3</v>
      </c>
      <c r="O537">
        <v>4000.98</v>
      </c>
      <c r="P537" s="5">
        <f>IF('[1]Cleaned Text Field'!P537="",0,'[1]Cleaned Text Field'!P537)</f>
        <v>0.2</v>
      </c>
      <c r="Q537">
        <v>9602.35</v>
      </c>
      <c r="R537">
        <v>7387.57</v>
      </c>
      <c r="S537">
        <v>2214.7800000000002</v>
      </c>
      <c r="T537" t="str">
        <f>PROPER(TRIM([1]raw_orders!T537))</f>
        <v>Paid</v>
      </c>
      <c r="U537" t="str">
        <f>PROPER(TRIM([1]raw_orders!U537))</f>
        <v>Completed</v>
      </c>
      <c r="V537" s="6">
        <f t="shared" si="64"/>
        <v>0.23064978885377019</v>
      </c>
      <c r="W537" t="str">
        <f t="shared" si="65"/>
        <v>May</v>
      </c>
      <c r="X537">
        <f t="shared" si="66"/>
        <v>2024</v>
      </c>
      <c r="Y537">
        <f t="shared" si="67"/>
        <v>2</v>
      </c>
      <c r="Z537" s="7">
        <f t="shared" si="68"/>
        <v>0.2</v>
      </c>
      <c r="AA537">
        <f t="shared" si="69"/>
        <v>9602.3520000000008</v>
      </c>
      <c r="AB537">
        <f t="shared" si="70"/>
        <v>2214.7800000000007</v>
      </c>
      <c r="AC537" t="str">
        <f t="shared" si="71"/>
        <v>Clean</v>
      </c>
    </row>
    <row r="538" spans="1:29">
      <c r="A538" t="s">
        <v>1646</v>
      </c>
      <c r="B538" s="4">
        <v>45757</v>
      </c>
      <c r="C538" s="4">
        <v>45764</v>
      </c>
      <c r="D538" t="s">
        <v>1647</v>
      </c>
      <c r="E538" t="str">
        <f>PROPER(TRIM([1]raw_orders!E538))</f>
        <v>Ananya Rao</v>
      </c>
      <c r="F538" t="str">
        <f>PROPER(TRIM([1]raw_orders!F538))</f>
        <v>Small Business</v>
      </c>
      <c r="G538" t="str">
        <f>IF('[1]Cleaned Text Field'!G538="","Unknown",'[1]Cleaned Text Field'!G538)</f>
        <v>West</v>
      </c>
      <c r="H538" t="str">
        <f>PROPER(TRIM([1]raw_orders!H538))</f>
        <v>Rajasthan</v>
      </c>
      <c r="I538" t="str">
        <f>PROPER(TRIM([1]raw_orders!I538))</f>
        <v>Udaipur</v>
      </c>
      <c r="J538" t="str">
        <f>PROPER(TRIM([1]raw_orders!J538))</f>
        <v>Furniture</v>
      </c>
      <c r="K538" t="str">
        <f>PROPER(TRIM([1]raw_orders!K538))</f>
        <v>Chairs</v>
      </c>
      <c r="L538" t="s">
        <v>1648</v>
      </c>
      <c r="M538" t="str">
        <f>IF('[1]Cleaned Text Field'!M538="","Unknown",'[1]Cleaned Text Field'!M538)</f>
        <v>First Class</v>
      </c>
      <c r="N538">
        <f>IF('[1]Cleaned Text Field'!N538="",0,'[1]Cleaned Text Field'!N538)</f>
        <v>7</v>
      </c>
      <c r="O538">
        <v>3788.9</v>
      </c>
      <c r="P538" s="5">
        <f>IF('[1]Cleaned Text Field'!P538="",0,'[1]Cleaned Text Field'!P538)</f>
        <v>0.25</v>
      </c>
      <c r="Q538">
        <v>19891.72</v>
      </c>
      <c r="R538">
        <v>12295.76</v>
      </c>
      <c r="S538">
        <v>7595.96</v>
      </c>
      <c r="T538" t="str">
        <f>PROPER(TRIM([1]raw_orders!T538))</f>
        <v>Failed</v>
      </c>
      <c r="U538" t="str">
        <f>PROPER(TRIM([1]raw_orders!U538))</f>
        <v>Cancelled</v>
      </c>
      <c r="V538" s="6">
        <f t="shared" si="64"/>
        <v>0.38186541938052615</v>
      </c>
      <c r="W538" t="str">
        <f t="shared" si="65"/>
        <v>April</v>
      </c>
      <c r="X538">
        <f t="shared" si="66"/>
        <v>2025</v>
      </c>
      <c r="Y538">
        <f t="shared" si="67"/>
        <v>7</v>
      </c>
      <c r="Z538" s="7">
        <f t="shared" si="68"/>
        <v>0.25</v>
      </c>
      <c r="AA538">
        <f t="shared" si="69"/>
        <v>19891.724999999999</v>
      </c>
      <c r="AB538">
        <f t="shared" si="70"/>
        <v>7595.9600000000009</v>
      </c>
      <c r="AC538" t="str">
        <f t="shared" si="71"/>
        <v>Clean</v>
      </c>
    </row>
    <row r="539" spans="1:29">
      <c r="A539" t="s">
        <v>1649</v>
      </c>
      <c r="B539" s="4">
        <v>45313</v>
      </c>
      <c r="C539" s="4">
        <v>45321</v>
      </c>
      <c r="D539" t="s">
        <v>1650</v>
      </c>
      <c r="E539" t="str">
        <f>PROPER(TRIM([1]raw_orders!E539))</f>
        <v>Ananya Rao</v>
      </c>
      <c r="F539" t="str">
        <f>PROPER(TRIM([1]raw_orders!F539))</f>
        <v>Small Business</v>
      </c>
      <c r="G539" t="str">
        <f>IF('[1]Cleaned Text Field'!G539="","Unknown",'[1]Cleaned Text Field'!G539)</f>
        <v>North</v>
      </c>
      <c r="H539" t="str">
        <f>PROPER(TRIM([1]raw_orders!H539))</f>
        <v>Haryana</v>
      </c>
      <c r="I539" t="str">
        <f>PROPER(TRIM([1]raw_orders!I539))</f>
        <v>Gurugram</v>
      </c>
      <c r="J539" t="str">
        <f>PROPER(TRIM([1]raw_orders!J539))</f>
        <v>Office Supplies</v>
      </c>
      <c r="K539" t="str">
        <f>PROPER(TRIM([1]raw_orders!K539))</f>
        <v>Art</v>
      </c>
      <c r="L539" t="s">
        <v>1651</v>
      </c>
      <c r="M539" t="str">
        <f>IF('[1]Cleaned Text Field'!M539="","Unknown",'[1]Cleaned Text Field'!M539)</f>
        <v>Same Day</v>
      </c>
      <c r="N539">
        <f>IF('[1]Cleaned Text Field'!N539="",0,'[1]Cleaned Text Field'!N539)</f>
        <v>3</v>
      </c>
      <c r="O539">
        <v>676.37</v>
      </c>
      <c r="P539" s="5">
        <f>IF('[1]Cleaned Text Field'!P539="",0,'[1]Cleaned Text Field'!P539)</f>
        <v>0.05</v>
      </c>
      <c r="Q539">
        <v>1927.65</v>
      </c>
      <c r="R539">
        <v>1460.6</v>
      </c>
      <c r="S539">
        <v>467.05</v>
      </c>
      <c r="T539" t="str">
        <f>PROPER(TRIM([1]raw_orders!T539))</f>
        <v>Failed</v>
      </c>
      <c r="U539" t="str">
        <f>PROPER(TRIM([1]raw_orders!U539))</f>
        <v>Cancelled</v>
      </c>
      <c r="V539" s="6">
        <f t="shared" si="64"/>
        <v>0.24228983477291002</v>
      </c>
      <c r="W539" t="str">
        <f t="shared" si="65"/>
        <v>January</v>
      </c>
      <c r="X539">
        <f t="shared" si="66"/>
        <v>2024</v>
      </c>
      <c r="Y539">
        <f t="shared" si="67"/>
        <v>8</v>
      </c>
      <c r="Z539" s="7">
        <f t="shared" si="68"/>
        <v>0.05</v>
      </c>
      <c r="AA539">
        <f t="shared" si="69"/>
        <v>1927.6545000000001</v>
      </c>
      <c r="AB539">
        <f t="shared" si="70"/>
        <v>467.05000000000018</v>
      </c>
      <c r="AC539" t="str">
        <f t="shared" si="71"/>
        <v>Clean</v>
      </c>
    </row>
    <row r="540" spans="1:29">
      <c r="A540" t="s">
        <v>1652</v>
      </c>
      <c r="B540" s="4">
        <v>45560</v>
      </c>
      <c r="C540" s="4">
        <v>45301</v>
      </c>
      <c r="D540" t="s">
        <v>1653</v>
      </c>
      <c r="E540" t="str">
        <f>PROPER(TRIM([1]raw_orders!E540))</f>
        <v>Diya Patel</v>
      </c>
      <c r="F540" t="str">
        <f>PROPER(TRIM([1]raw_orders!F540))</f>
        <v>Small Business</v>
      </c>
      <c r="G540" t="str">
        <f>IF('[1]Cleaned Text Field'!G540="","Unknown",'[1]Cleaned Text Field'!G540)</f>
        <v>East</v>
      </c>
      <c r="H540" t="str">
        <f>PROPER(TRIM([1]raw_orders!H540))</f>
        <v>Jharkhand</v>
      </c>
      <c r="I540" t="str">
        <f>PROPER(TRIM([1]raw_orders!I540))</f>
        <v>Ranchi</v>
      </c>
      <c r="J540" t="str">
        <f>PROPER(TRIM([1]raw_orders!J540))</f>
        <v>Furniture</v>
      </c>
      <c r="K540" t="str">
        <f>PROPER(TRIM([1]raw_orders!K540))</f>
        <v>Tables</v>
      </c>
      <c r="L540" t="s">
        <v>1654</v>
      </c>
      <c r="M540" t="str">
        <f>IF('[1]Cleaned Text Field'!M540="","Unknown",'[1]Cleaned Text Field'!M540)</f>
        <v>Second Class</v>
      </c>
      <c r="N540">
        <f>IF('[1]Cleaned Text Field'!N540="",0,'[1]Cleaned Text Field'!N540)</f>
        <v>9</v>
      </c>
      <c r="O540">
        <v>3908.6</v>
      </c>
      <c r="P540" s="5">
        <f>IF('[1]Cleaned Text Field'!P540="",0,'[1]Cleaned Text Field'!P540)</f>
        <v>0.15</v>
      </c>
      <c r="Q540">
        <v>29900.79</v>
      </c>
      <c r="R540">
        <v>24650.67</v>
      </c>
      <c r="S540">
        <v>5250.12</v>
      </c>
      <c r="T540" t="str">
        <f>PROPER(TRIM([1]raw_orders!T540))</f>
        <v>Paid</v>
      </c>
      <c r="U540" t="str">
        <f>PROPER(TRIM([1]raw_orders!U540))</f>
        <v>Completed</v>
      </c>
      <c r="V540" s="6">
        <f t="shared" si="64"/>
        <v>0.17558465846554555</v>
      </c>
      <c r="W540" t="str">
        <f t="shared" si="65"/>
        <v>September</v>
      </c>
      <c r="X540">
        <f t="shared" si="66"/>
        <v>2024</v>
      </c>
      <c r="Y540">
        <f t="shared" si="67"/>
        <v>-259</v>
      </c>
      <c r="Z540" s="7">
        <f t="shared" si="68"/>
        <v>0.15</v>
      </c>
      <c r="AA540">
        <f t="shared" si="69"/>
        <v>29900.79</v>
      </c>
      <c r="AB540">
        <f t="shared" si="70"/>
        <v>5250.1200000000026</v>
      </c>
      <c r="AC540" t="str">
        <f t="shared" si="71"/>
        <v>Warning</v>
      </c>
    </row>
    <row r="541" spans="1:29">
      <c r="A541" t="s">
        <v>1655</v>
      </c>
      <c r="B541" s="4">
        <v>45842</v>
      </c>
      <c r="C541" s="4">
        <v>45842</v>
      </c>
      <c r="D541" t="s">
        <v>1656</v>
      </c>
      <c r="E541" t="str">
        <f>PROPER(TRIM([1]raw_orders!E541))</f>
        <v>Mira Das</v>
      </c>
      <c r="F541" t="str">
        <f>PROPER(TRIM([1]raw_orders!F541))</f>
        <v>Small Business</v>
      </c>
      <c r="G541" t="str">
        <f>IF('[1]Cleaned Text Field'!G541="","Unknown",'[1]Cleaned Text Field'!G541)</f>
        <v>South</v>
      </c>
      <c r="H541" t="str">
        <f>PROPER(TRIM([1]raw_orders!H541))</f>
        <v>Tamil Nadu</v>
      </c>
      <c r="I541" t="str">
        <f>PROPER(TRIM([1]raw_orders!I541))</f>
        <v>Chennai</v>
      </c>
      <c r="J541" t="str">
        <f>PROPER(TRIM([1]raw_orders!J541))</f>
        <v>Furniture</v>
      </c>
      <c r="K541" t="str">
        <f>PROPER(TRIM([1]raw_orders!K541))</f>
        <v>Chairs</v>
      </c>
      <c r="L541" t="s">
        <v>1657</v>
      </c>
      <c r="M541" t="str">
        <f>IF('[1]Cleaned Text Field'!M541="","Unknown",'[1]Cleaned Text Field'!M541)</f>
        <v>Standard Class</v>
      </c>
      <c r="N541">
        <f>IF('[1]Cleaned Text Field'!N541="",0,'[1]Cleaned Text Field'!N541)</f>
        <v>3</v>
      </c>
      <c r="O541">
        <v>705.35</v>
      </c>
      <c r="P541" s="5">
        <f>IF('[1]Cleaned Text Field'!P541="",0,'[1]Cleaned Text Field'!P541)</f>
        <v>0.1</v>
      </c>
      <c r="Q541">
        <v>1904.45</v>
      </c>
      <c r="R541">
        <v>1316.54</v>
      </c>
      <c r="S541">
        <v>587.91</v>
      </c>
      <c r="T541" t="str">
        <f>PROPER(TRIM([1]raw_orders!T541))</f>
        <v>Paid</v>
      </c>
      <c r="U541" t="str">
        <f>PROPER(TRIM([1]raw_orders!U541))</f>
        <v>Cancelled</v>
      </c>
      <c r="V541" s="6">
        <f t="shared" si="64"/>
        <v>0.30870330016540204</v>
      </c>
      <c r="W541" t="str">
        <f t="shared" si="65"/>
        <v>July</v>
      </c>
      <c r="X541">
        <f t="shared" si="66"/>
        <v>2025</v>
      </c>
      <c r="Y541">
        <f t="shared" si="67"/>
        <v>0</v>
      </c>
      <c r="Z541" s="7">
        <f t="shared" si="68"/>
        <v>0.1</v>
      </c>
      <c r="AA541">
        <f t="shared" si="69"/>
        <v>1904.4450000000002</v>
      </c>
      <c r="AB541">
        <f t="shared" si="70"/>
        <v>587.91000000000008</v>
      </c>
      <c r="AC541" t="str">
        <f t="shared" si="71"/>
        <v>Clean</v>
      </c>
    </row>
    <row r="542" spans="1:29">
      <c r="A542" t="s">
        <v>1658</v>
      </c>
      <c r="B542" s="4">
        <v>45348</v>
      </c>
      <c r="C542" s="4">
        <v>45345</v>
      </c>
      <c r="D542" t="s">
        <v>1659</v>
      </c>
      <c r="E542" t="str">
        <f>PROPER(TRIM([1]raw_orders!E542))</f>
        <v>Kabir Singh</v>
      </c>
      <c r="F542" t="str">
        <f>PROPER(TRIM([1]raw_orders!F542))</f>
        <v>Consumer</v>
      </c>
      <c r="G542" t="str">
        <f>IF('[1]Cleaned Text Field'!G542="","Unknown",'[1]Cleaned Text Field'!G542)</f>
        <v>West</v>
      </c>
      <c r="H542" t="str">
        <f>PROPER(TRIM([1]raw_orders!H542))</f>
        <v>Gujarat</v>
      </c>
      <c r="I542" t="str">
        <f>PROPER(TRIM([1]raw_orders!I542))</f>
        <v>Ahmedabad</v>
      </c>
      <c r="J542" t="str">
        <f>PROPER(TRIM([1]raw_orders!J542))</f>
        <v>Furniture</v>
      </c>
      <c r="K542" t="str">
        <f>PROPER(TRIM([1]raw_orders!K542))</f>
        <v>Furnishings</v>
      </c>
      <c r="L542" t="s">
        <v>1660</v>
      </c>
      <c r="M542" t="str">
        <f>IF('[1]Cleaned Text Field'!M542="","Unknown",'[1]Cleaned Text Field'!M542)</f>
        <v>Standard Class</v>
      </c>
      <c r="N542">
        <f>IF('[1]Cleaned Text Field'!N542="",0,'[1]Cleaned Text Field'!N542)</f>
        <v>7</v>
      </c>
      <c r="O542">
        <v>3852.07</v>
      </c>
      <c r="P542" s="5">
        <f>IF('[1]Cleaned Text Field'!P542="",0,'[1]Cleaned Text Field'!P542)</f>
        <v>0.2</v>
      </c>
      <c r="Q542">
        <v>21571.59</v>
      </c>
      <c r="R542">
        <v>17118.07</v>
      </c>
      <c r="S542">
        <v>4453.5200000000004</v>
      </c>
      <c r="T542" t="str">
        <f>PROPER(TRIM([1]raw_orders!T542))</f>
        <v>Paid</v>
      </c>
      <c r="U542" t="str">
        <f>PROPER(TRIM([1]raw_orders!U542))</f>
        <v>Completed</v>
      </c>
      <c r="V542" s="6">
        <f t="shared" si="64"/>
        <v>0.20645302455683612</v>
      </c>
      <c r="W542" t="str">
        <f t="shared" si="65"/>
        <v>February</v>
      </c>
      <c r="X542">
        <f t="shared" si="66"/>
        <v>2024</v>
      </c>
      <c r="Y542">
        <f t="shared" si="67"/>
        <v>-3</v>
      </c>
      <c r="Z542" s="7">
        <f t="shared" si="68"/>
        <v>0.2</v>
      </c>
      <c r="AA542">
        <f t="shared" si="69"/>
        <v>21571.592000000004</v>
      </c>
      <c r="AB542">
        <f t="shared" si="70"/>
        <v>4453.5200000000004</v>
      </c>
      <c r="AC542" t="str">
        <f t="shared" si="71"/>
        <v>Warning</v>
      </c>
    </row>
    <row r="543" spans="1:29">
      <c r="A543" t="s">
        <v>1661</v>
      </c>
      <c r="B543" s="4">
        <v>45876</v>
      </c>
      <c r="C543" s="4">
        <v>45847</v>
      </c>
      <c r="D543" t="s">
        <v>1662</v>
      </c>
      <c r="E543" t="str">
        <f>PROPER(TRIM([1]raw_orders!E543))</f>
        <v>Sneha Kapoor</v>
      </c>
      <c r="F543" t="str">
        <f>PROPER(TRIM([1]raw_orders!F543))</f>
        <v>Consumer</v>
      </c>
      <c r="G543" t="str">
        <f>IF('[1]Cleaned Text Field'!G543="","Unknown",'[1]Cleaned Text Field'!G543)</f>
        <v>West</v>
      </c>
      <c r="H543" t="str">
        <f>PROPER(TRIM([1]raw_orders!H543))</f>
        <v>Maharashtra</v>
      </c>
      <c r="I543" t="str">
        <f>PROPER(TRIM([1]raw_orders!I543))</f>
        <v>Mumbai</v>
      </c>
      <c r="J543" t="str">
        <f>PROPER(TRIM([1]raw_orders!J543))</f>
        <v>Technology</v>
      </c>
      <c r="K543" t="str">
        <f>PROPER(TRIM([1]raw_orders!K543))</f>
        <v>Copiers</v>
      </c>
      <c r="L543" t="s">
        <v>1663</v>
      </c>
      <c r="M543" t="str">
        <f>IF('[1]Cleaned Text Field'!M543="","Unknown",'[1]Cleaned Text Field'!M543)</f>
        <v>Same Day</v>
      </c>
      <c r="N543">
        <f>IF('[1]Cleaned Text Field'!N543="",0,'[1]Cleaned Text Field'!N543)</f>
        <v>3</v>
      </c>
      <c r="O543">
        <v>2880.56</v>
      </c>
      <c r="P543" s="5">
        <f>IF('[1]Cleaned Text Field'!P543="",0,'[1]Cleaned Text Field'!P543)</f>
        <v>0</v>
      </c>
      <c r="Q543">
        <v>8641.68</v>
      </c>
      <c r="R543">
        <v>5747.09</v>
      </c>
      <c r="S543">
        <v>2894.59</v>
      </c>
      <c r="T543" t="str">
        <f>PROPER(TRIM([1]raw_orders!T543))</f>
        <v>Paid</v>
      </c>
      <c r="U543" t="str">
        <f>PROPER(TRIM([1]raw_orders!U543))</f>
        <v>Returned</v>
      </c>
      <c r="V543" s="6">
        <f t="shared" si="64"/>
        <v>0.33495686024013849</v>
      </c>
      <c r="W543" t="str">
        <f t="shared" si="65"/>
        <v>August</v>
      </c>
      <c r="X543">
        <f t="shared" si="66"/>
        <v>2025</v>
      </c>
      <c r="Y543">
        <f t="shared" si="67"/>
        <v>-29</v>
      </c>
      <c r="Z543" s="7">
        <f t="shared" si="68"/>
        <v>0</v>
      </c>
      <c r="AA543">
        <f t="shared" si="69"/>
        <v>8641.68</v>
      </c>
      <c r="AB543">
        <f t="shared" si="70"/>
        <v>2894.59</v>
      </c>
      <c r="AC543" t="str">
        <f t="shared" si="71"/>
        <v>Warning</v>
      </c>
    </row>
    <row r="544" spans="1:29">
      <c r="A544" t="s">
        <v>1664</v>
      </c>
      <c r="B544" s="4">
        <v>45552</v>
      </c>
      <c r="C544" s="4">
        <v>45558</v>
      </c>
      <c r="D544" t="s">
        <v>1665</v>
      </c>
      <c r="E544" t="str">
        <f>PROPER(TRIM([1]raw_orders!E544))</f>
        <v>Rahul Verma</v>
      </c>
      <c r="F544" t="str">
        <f>PROPER(TRIM([1]raw_orders!F544))</f>
        <v>Home Office</v>
      </c>
      <c r="G544" t="str">
        <f>IF('[1]Cleaned Text Field'!G544="","Unknown",'[1]Cleaned Text Field'!G544)</f>
        <v>South</v>
      </c>
      <c r="H544" t="str">
        <f>PROPER(TRIM([1]raw_orders!H544))</f>
        <v>Kerala</v>
      </c>
      <c r="I544" t="str">
        <f>PROPER(TRIM([1]raw_orders!I544))</f>
        <v>Kochi</v>
      </c>
      <c r="J544" t="str">
        <f>PROPER(TRIM([1]raw_orders!J544))</f>
        <v>Furniture</v>
      </c>
      <c r="K544" t="str">
        <f>PROPER(TRIM([1]raw_orders!K544))</f>
        <v>Bookcases</v>
      </c>
      <c r="L544" t="s">
        <v>1666</v>
      </c>
      <c r="M544" t="str">
        <f>IF('[1]Cleaned Text Field'!M544="","Unknown",'[1]Cleaned Text Field'!M544)</f>
        <v>Second Class</v>
      </c>
      <c r="N544">
        <f>IF('[1]Cleaned Text Field'!N544="",0,'[1]Cleaned Text Field'!N544)</f>
        <v>3</v>
      </c>
      <c r="O544">
        <v>4067.62</v>
      </c>
      <c r="P544" s="5">
        <f>IF('[1]Cleaned Text Field'!P544="",0,'[1]Cleaned Text Field'!P544)</f>
        <v>0.2</v>
      </c>
      <c r="Q544">
        <v>9988.5300000000007</v>
      </c>
      <c r="R544">
        <v>8368.24</v>
      </c>
      <c r="S544">
        <v>1394.05</v>
      </c>
      <c r="T544" t="str">
        <f>PROPER(TRIM([1]raw_orders!T544))</f>
        <v>Paid</v>
      </c>
      <c r="U544" t="str">
        <f>PROPER(TRIM([1]raw_orders!U544))</f>
        <v>Cancelled</v>
      </c>
      <c r="V544" s="6">
        <f t="shared" si="64"/>
        <v>0.13956508114807684</v>
      </c>
      <c r="W544" t="str">
        <f t="shared" si="65"/>
        <v>September</v>
      </c>
      <c r="X544">
        <f t="shared" si="66"/>
        <v>2024</v>
      </c>
      <c r="Y544">
        <f t="shared" si="67"/>
        <v>6</v>
      </c>
      <c r="Z544" s="7">
        <f t="shared" si="68"/>
        <v>0.2</v>
      </c>
      <c r="AA544">
        <f t="shared" si="69"/>
        <v>9762.2880000000005</v>
      </c>
      <c r="AB544">
        <f t="shared" si="70"/>
        <v>1620.2900000000009</v>
      </c>
      <c r="AC544" t="str">
        <f t="shared" si="71"/>
        <v>Clean</v>
      </c>
    </row>
    <row r="545" spans="1:29">
      <c r="A545" t="s">
        <v>1667</v>
      </c>
      <c r="B545" s="4">
        <v>45487</v>
      </c>
      <c r="C545" s="4">
        <v>45493</v>
      </c>
      <c r="D545" t="s">
        <v>1668</v>
      </c>
      <c r="E545" t="str">
        <f>PROPER(TRIM([1]raw_orders!E545))</f>
        <v>Mira Das</v>
      </c>
      <c r="F545" t="str">
        <f>PROPER(TRIM([1]raw_orders!F545))</f>
        <v>Consumer</v>
      </c>
      <c r="G545" t="str">
        <f>IF('[1]Cleaned Text Field'!G545="","Unknown",'[1]Cleaned Text Field'!G545)</f>
        <v>East</v>
      </c>
      <c r="H545" t="str">
        <f>PROPER(TRIM([1]raw_orders!H545))</f>
        <v>Bihar</v>
      </c>
      <c r="I545" t="str">
        <f>PROPER(TRIM([1]raw_orders!I545))</f>
        <v>Patna</v>
      </c>
      <c r="J545" t="str">
        <f>PROPER(TRIM([1]raw_orders!J545))</f>
        <v>Technology</v>
      </c>
      <c r="K545" t="str">
        <f>PROPER(TRIM([1]raw_orders!K545))</f>
        <v>Copiers</v>
      </c>
      <c r="L545" t="s">
        <v>1669</v>
      </c>
      <c r="M545" t="str">
        <f>IF('[1]Cleaned Text Field'!M545="","Unknown",'[1]Cleaned Text Field'!M545)</f>
        <v>Same Day</v>
      </c>
      <c r="N545">
        <f>IF('[1]Cleaned Text Field'!N545="",0,'[1]Cleaned Text Field'!N545)</f>
        <v>1</v>
      </c>
      <c r="O545">
        <v>492.67</v>
      </c>
      <c r="P545" s="5">
        <f>IF('[1]Cleaned Text Field'!P545="",0,'[1]Cleaned Text Field'!P545)</f>
        <v>0.15</v>
      </c>
      <c r="Q545">
        <v>418.77</v>
      </c>
      <c r="R545">
        <v>313.72000000000003</v>
      </c>
      <c r="S545">
        <v>105.05</v>
      </c>
      <c r="T545" t="str">
        <f>PROPER(TRIM([1]raw_orders!T545))</f>
        <v>Paid</v>
      </c>
      <c r="U545" t="str">
        <f>PROPER(TRIM([1]raw_orders!U545))</f>
        <v>Completed</v>
      </c>
      <c r="V545" s="6">
        <f t="shared" si="64"/>
        <v>0.25085369057000262</v>
      </c>
      <c r="W545" t="str">
        <f t="shared" si="65"/>
        <v>July</v>
      </c>
      <c r="X545">
        <f t="shared" si="66"/>
        <v>2024</v>
      </c>
      <c r="Y545">
        <f t="shared" si="67"/>
        <v>6</v>
      </c>
      <c r="Z545" s="7">
        <f t="shared" si="68"/>
        <v>0.15</v>
      </c>
      <c r="AA545">
        <f t="shared" si="69"/>
        <v>418.76949999999999</v>
      </c>
      <c r="AB545">
        <f t="shared" si="70"/>
        <v>105.04999999999995</v>
      </c>
      <c r="AC545" t="str">
        <f t="shared" si="71"/>
        <v>Clean</v>
      </c>
    </row>
    <row r="546" spans="1:29">
      <c r="A546" t="s">
        <v>1670</v>
      </c>
      <c r="B546" s="4">
        <v>45686</v>
      </c>
      <c r="C546" s="4">
        <v>45693</v>
      </c>
      <c r="D546" t="s">
        <v>1671</v>
      </c>
      <c r="E546" t="str">
        <f>PROPER(TRIM([1]raw_orders!E546))</f>
        <v>Ananya Rao</v>
      </c>
      <c r="F546" t="str">
        <f>PROPER(TRIM([1]raw_orders!F546))</f>
        <v>Consumer</v>
      </c>
      <c r="G546" t="str">
        <f>IF('[1]Cleaned Text Field'!G546="","Unknown",'[1]Cleaned Text Field'!G546)</f>
        <v>South</v>
      </c>
      <c r="H546" t="str">
        <f>PROPER(TRIM([1]raw_orders!H546))</f>
        <v>Kerala</v>
      </c>
      <c r="I546" t="str">
        <f>PROPER(TRIM([1]raw_orders!I546))</f>
        <v>Kochi</v>
      </c>
      <c r="J546" t="str">
        <f>PROPER(TRIM([1]raw_orders!J546))</f>
        <v>Office Supplies</v>
      </c>
      <c r="K546" t="str">
        <f>PROPER(TRIM([1]raw_orders!K546))</f>
        <v>Art</v>
      </c>
      <c r="L546" t="s">
        <v>1672</v>
      </c>
      <c r="M546" t="str">
        <f>IF('[1]Cleaned Text Field'!M546="","Unknown",'[1]Cleaned Text Field'!M546)</f>
        <v>Same Day</v>
      </c>
      <c r="N546">
        <f>IF('[1]Cleaned Text Field'!N546="",0,'[1]Cleaned Text Field'!N546)</f>
        <v>8</v>
      </c>
      <c r="O546">
        <v>3643.62</v>
      </c>
      <c r="P546" s="5">
        <f>IF('[1]Cleaned Text Field'!P546="",0,'[1]Cleaned Text Field'!P546)</f>
        <v>0.25</v>
      </c>
      <c r="Q546">
        <v>21861.72</v>
      </c>
      <c r="R546">
        <v>18464.34</v>
      </c>
      <c r="S546">
        <v>3397.38</v>
      </c>
      <c r="T546" t="str">
        <f>PROPER(TRIM([1]raw_orders!T546))</f>
        <v>Paid</v>
      </c>
      <c r="U546" t="str">
        <f>PROPER(TRIM([1]raw_orders!U546))</f>
        <v>Cancelled</v>
      </c>
      <c r="V546" s="6">
        <f t="shared" si="64"/>
        <v>0.15540314302808744</v>
      </c>
      <c r="W546" t="str">
        <f t="shared" si="65"/>
        <v>January</v>
      </c>
      <c r="X546">
        <f t="shared" si="66"/>
        <v>2025</v>
      </c>
      <c r="Y546">
        <f t="shared" si="67"/>
        <v>7</v>
      </c>
      <c r="Z546" s="7">
        <f t="shared" si="68"/>
        <v>0.25</v>
      </c>
      <c r="AA546">
        <f t="shared" si="69"/>
        <v>21861.72</v>
      </c>
      <c r="AB546">
        <f t="shared" si="70"/>
        <v>3397.380000000001</v>
      </c>
      <c r="AC546" t="str">
        <f t="shared" si="71"/>
        <v>Clean</v>
      </c>
    </row>
    <row r="547" spans="1:29">
      <c r="A547" t="s">
        <v>1673</v>
      </c>
      <c r="B547" s="4">
        <v>45439</v>
      </c>
      <c r="C547" s="4">
        <v>45442</v>
      </c>
      <c r="D547" t="s">
        <v>1674</v>
      </c>
      <c r="E547" t="str">
        <f>PROPER(TRIM([1]raw_orders!E547))</f>
        <v>Kabir Singh</v>
      </c>
      <c r="F547" t="str">
        <f>PROPER(TRIM([1]raw_orders!F547))</f>
        <v>Small Business</v>
      </c>
      <c r="G547" t="str">
        <f>IF('[1]Cleaned Text Field'!G547="","Unknown",'[1]Cleaned Text Field'!G547)</f>
        <v>East</v>
      </c>
      <c r="H547" t="str">
        <f>PROPER(TRIM([1]raw_orders!H547))</f>
        <v>Jharkhand</v>
      </c>
      <c r="I547" t="str">
        <f>PROPER(TRIM([1]raw_orders!I547))</f>
        <v>Ranchi</v>
      </c>
      <c r="J547" t="str">
        <f>PROPER(TRIM([1]raw_orders!J547))</f>
        <v>Office Supplies</v>
      </c>
      <c r="K547" t="str">
        <f>PROPER(TRIM([1]raw_orders!K547))</f>
        <v>Storage</v>
      </c>
      <c r="L547" t="s">
        <v>1675</v>
      </c>
      <c r="M547" t="str">
        <f>IF('[1]Cleaned Text Field'!M547="","Unknown",'[1]Cleaned Text Field'!M547)</f>
        <v>Same Day</v>
      </c>
      <c r="N547">
        <f>IF('[1]Cleaned Text Field'!N547="",0,'[1]Cleaned Text Field'!N547)</f>
        <v>7</v>
      </c>
      <c r="O547">
        <v>2900.86</v>
      </c>
      <c r="P547" s="5">
        <f>IF('[1]Cleaned Text Field'!P547="",0,'[1]Cleaned Text Field'!P547)</f>
        <v>0.15</v>
      </c>
      <c r="Q547">
        <v>17260.12</v>
      </c>
      <c r="R547">
        <v>13513.51</v>
      </c>
      <c r="S547">
        <v>3746.61</v>
      </c>
      <c r="T547" t="str">
        <f>PROPER(TRIM([1]raw_orders!T547))</f>
        <v>Paid</v>
      </c>
      <c r="U547" t="str">
        <f>PROPER(TRIM([1]raw_orders!U547))</f>
        <v>Completed</v>
      </c>
      <c r="V547" s="6">
        <f t="shared" si="64"/>
        <v>0.21706743637935311</v>
      </c>
      <c r="W547" t="str">
        <f t="shared" si="65"/>
        <v>May</v>
      </c>
      <c r="X547">
        <f t="shared" si="66"/>
        <v>2024</v>
      </c>
      <c r="Y547">
        <f t="shared" si="67"/>
        <v>3</v>
      </c>
      <c r="Z547" s="7">
        <f t="shared" si="68"/>
        <v>0.15</v>
      </c>
      <c r="AA547">
        <f t="shared" si="69"/>
        <v>17260.116999999998</v>
      </c>
      <c r="AB547">
        <f t="shared" si="70"/>
        <v>3746.6099999999988</v>
      </c>
      <c r="AC547" t="str">
        <f t="shared" si="71"/>
        <v>Clean</v>
      </c>
    </row>
    <row r="548" spans="1:29">
      <c r="A548" t="s">
        <v>1676</v>
      </c>
      <c r="B548" s="4">
        <v>45883</v>
      </c>
      <c r="C548" s="4">
        <v>45891</v>
      </c>
      <c r="D548" t="s">
        <v>1677</v>
      </c>
      <c r="E548" t="str">
        <f>PROPER(TRIM([1]raw_orders!E548))</f>
        <v>Arjun Bose</v>
      </c>
      <c r="F548" t="str">
        <f>PROPER(TRIM([1]raw_orders!F548))</f>
        <v>Corporate</v>
      </c>
      <c r="G548" t="str">
        <f>IF('[1]Cleaned Text Field'!G548="","Unknown",'[1]Cleaned Text Field'!G548)</f>
        <v>West</v>
      </c>
      <c r="H548" t="str">
        <f>PROPER(TRIM([1]raw_orders!H548))</f>
        <v>Gujarat</v>
      </c>
      <c r="I548" t="str">
        <f>PROPER(TRIM([1]raw_orders!I548))</f>
        <v>Ahmedabad</v>
      </c>
      <c r="J548" t="str">
        <f>PROPER(TRIM([1]raw_orders!J548))</f>
        <v>Office Supplies</v>
      </c>
      <c r="K548" t="str">
        <f>PROPER(TRIM([1]raw_orders!K548))</f>
        <v>Paper</v>
      </c>
      <c r="L548" t="s">
        <v>1678</v>
      </c>
      <c r="M548" t="str">
        <f>IF('[1]Cleaned Text Field'!M548="","Unknown",'[1]Cleaned Text Field'!M548)</f>
        <v>First Class</v>
      </c>
      <c r="N548">
        <f>IF('[1]Cleaned Text Field'!N548="",0,'[1]Cleaned Text Field'!N548)</f>
        <v>5</v>
      </c>
      <c r="O548">
        <v>2567.37</v>
      </c>
      <c r="P548" s="5">
        <f>IF('[1]Cleaned Text Field'!P548="",0,'[1]Cleaned Text Field'!P548)</f>
        <v>0.15</v>
      </c>
      <c r="Q548">
        <v>10911.32</v>
      </c>
      <c r="R548">
        <v>6966.44</v>
      </c>
      <c r="S548">
        <v>4395.17</v>
      </c>
      <c r="T548" t="str">
        <f>PROPER(TRIM([1]raw_orders!T548))</f>
        <v>Paid</v>
      </c>
      <c r="U548" t="str">
        <f>PROPER(TRIM([1]raw_orders!U548))</f>
        <v>Completed</v>
      </c>
      <c r="V548" s="6">
        <f t="shared" si="64"/>
        <v>0.40280827617556814</v>
      </c>
      <c r="W548" t="str">
        <f t="shared" si="65"/>
        <v>August</v>
      </c>
      <c r="X548">
        <f t="shared" si="66"/>
        <v>2025</v>
      </c>
      <c r="Y548">
        <f t="shared" si="67"/>
        <v>8</v>
      </c>
      <c r="Z548" s="7">
        <f t="shared" si="68"/>
        <v>0.15</v>
      </c>
      <c r="AA548">
        <f t="shared" si="69"/>
        <v>10911.322499999998</v>
      </c>
      <c r="AB548">
        <f t="shared" si="70"/>
        <v>3944.88</v>
      </c>
      <c r="AC548" t="str">
        <f t="shared" si="71"/>
        <v>Clean</v>
      </c>
    </row>
    <row r="549" spans="1:29">
      <c r="A549" t="s">
        <v>1679</v>
      </c>
      <c r="B549" s="4">
        <v>45428</v>
      </c>
      <c r="C549" s="4">
        <v>45435</v>
      </c>
      <c r="D549" t="s">
        <v>1680</v>
      </c>
      <c r="E549" t="str">
        <f>PROPER(TRIM([1]raw_orders!E549))</f>
        <v>Neha Gupta</v>
      </c>
      <c r="F549" t="str">
        <f>PROPER(TRIM([1]raw_orders!F549))</f>
        <v>Small Business</v>
      </c>
      <c r="G549" t="str">
        <f>IF('[1]Cleaned Text Field'!G549="","Unknown",'[1]Cleaned Text Field'!G549)</f>
        <v>North</v>
      </c>
      <c r="H549" t="str">
        <f>PROPER(TRIM([1]raw_orders!H549))</f>
        <v>Uttar Pradesh</v>
      </c>
      <c r="I549" t="str">
        <f>PROPER(TRIM([1]raw_orders!I549))</f>
        <v>Noida</v>
      </c>
      <c r="J549" t="str">
        <f>PROPER(TRIM([1]raw_orders!J549))</f>
        <v>Technology</v>
      </c>
      <c r="K549" t="str">
        <f>PROPER(TRIM([1]raw_orders!K549))</f>
        <v>Copiers</v>
      </c>
      <c r="L549" t="s">
        <v>1681</v>
      </c>
      <c r="M549" t="str">
        <f>IF('[1]Cleaned Text Field'!M549="","Unknown",'[1]Cleaned Text Field'!M549)</f>
        <v>Standard Class</v>
      </c>
      <c r="N549">
        <f>IF('[1]Cleaned Text Field'!N549="",0,'[1]Cleaned Text Field'!N549)</f>
        <v>9</v>
      </c>
      <c r="O549">
        <v>3722.09</v>
      </c>
      <c r="P549" s="5">
        <f>IF('[1]Cleaned Text Field'!P549="",0,'[1]Cleaned Text Field'!P549)</f>
        <v>0.1</v>
      </c>
      <c r="Q549">
        <v>30148.93</v>
      </c>
      <c r="R549">
        <v>25155.07</v>
      </c>
      <c r="S549">
        <v>4993.8599999999997</v>
      </c>
      <c r="T549" t="str">
        <f>PROPER(TRIM([1]raw_orders!T549))</f>
        <v>Paid</v>
      </c>
      <c r="U549" t="str">
        <f>PROPER(TRIM([1]raw_orders!U549))</f>
        <v>Completed</v>
      </c>
      <c r="V549" s="6">
        <f t="shared" si="64"/>
        <v>0.16563970926994753</v>
      </c>
      <c r="W549" t="str">
        <f t="shared" si="65"/>
        <v>May</v>
      </c>
      <c r="X549">
        <f t="shared" si="66"/>
        <v>2024</v>
      </c>
      <c r="Y549">
        <f t="shared" si="67"/>
        <v>7</v>
      </c>
      <c r="Z549" s="7">
        <f t="shared" si="68"/>
        <v>0.1</v>
      </c>
      <c r="AA549">
        <f t="shared" si="69"/>
        <v>30148.929</v>
      </c>
      <c r="AB549">
        <f t="shared" si="70"/>
        <v>4993.8600000000006</v>
      </c>
      <c r="AC549" t="str">
        <f t="shared" si="71"/>
        <v>Clean</v>
      </c>
    </row>
    <row r="550" spans="1:29">
      <c r="A550" t="s">
        <v>1682</v>
      </c>
      <c r="B550" s="4">
        <v>45441</v>
      </c>
      <c r="C550" s="4">
        <v>45441</v>
      </c>
      <c r="D550" t="s">
        <v>1683</v>
      </c>
      <c r="E550" t="str">
        <f>PROPER(TRIM([1]raw_orders!E550))</f>
        <v>Rohan Mehta</v>
      </c>
      <c r="F550" t="str">
        <f>PROPER(TRIM([1]raw_orders!F550))</f>
        <v>Corporate</v>
      </c>
      <c r="G550" t="str">
        <f>IF('[1]Cleaned Text Field'!G550="","Unknown",'[1]Cleaned Text Field'!G550)</f>
        <v>East</v>
      </c>
      <c r="H550" t="str">
        <f>PROPER(TRIM([1]raw_orders!H550))</f>
        <v>Bihar</v>
      </c>
      <c r="I550" t="str">
        <f>PROPER(TRIM([1]raw_orders!I550))</f>
        <v>Patna</v>
      </c>
      <c r="J550" t="str">
        <f>PROPER(TRIM([1]raw_orders!J550))</f>
        <v>Furniture</v>
      </c>
      <c r="K550" t="str">
        <f>PROPER(TRIM([1]raw_orders!K550))</f>
        <v>Bookcases</v>
      </c>
      <c r="L550" t="s">
        <v>1684</v>
      </c>
      <c r="M550" t="str">
        <f>IF('[1]Cleaned Text Field'!M550="","Unknown",'[1]Cleaned Text Field'!M550)</f>
        <v>Same Day</v>
      </c>
      <c r="N550">
        <f>IF('[1]Cleaned Text Field'!N550="",0,'[1]Cleaned Text Field'!N550)</f>
        <v>1</v>
      </c>
      <c r="O550">
        <v>1072.01</v>
      </c>
      <c r="P550" s="5">
        <f>IF('[1]Cleaned Text Field'!P550="",0,'[1]Cleaned Text Field'!P550)</f>
        <v>0</v>
      </c>
      <c r="Q550">
        <v>1072.01</v>
      </c>
      <c r="R550">
        <v>852.62</v>
      </c>
      <c r="S550">
        <v>219.39</v>
      </c>
      <c r="T550" t="str">
        <f>PROPER(TRIM([1]raw_orders!T550))</f>
        <v>Pending</v>
      </c>
      <c r="U550" t="str">
        <f>PROPER(TRIM([1]raw_orders!U550))</f>
        <v>Cancelled</v>
      </c>
      <c r="V550" s="6">
        <f t="shared" si="64"/>
        <v>0.20465294167032022</v>
      </c>
      <c r="W550" t="str">
        <f t="shared" si="65"/>
        <v>May</v>
      </c>
      <c r="X550">
        <f t="shared" si="66"/>
        <v>2024</v>
      </c>
      <c r="Y550">
        <f t="shared" si="67"/>
        <v>0</v>
      </c>
      <c r="Z550" s="7">
        <f t="shared" si="68"/>
        <v>0</v>
      </c>
      <c r="AA550">
        <f t="shared" si="69"/>
        <v>1072.01</v>
      </c>
      <c r="AB550">
        <f t="shared" si="70"/>
        <v>219.39</v>
      </c>
      <c r="AC550" t="str">
        <f t="shared" si="71"/>
        <v>Clean</v>
      </c>
    </row>
    <row r="551" spans="1:29">
      <c r="A551" t="s">
        <v>1685</v>
      </c>
      <c r="B551" s="4">
        <v>45941</v>
      </c>
      <c r="C551" s="4">
        <v>45943</v>
      </c>
      <c r="D551" t="s">
        <v>1686</v>
      </c>
      <c r="E551" t="str">
        <f>PROPER(TRIM([1]raw_orders!E551))</f>
        <v>Mira Das</v>
      </c>
      <c r="F551" t="str">
        <f>PROPER(TRIM([1]raw_orders!F551))</f>
        <v>Corporate</v>
      </c>
      <c r="G551" t="str">
        <f>IF('[1]Cleaned Text Field'!G551="","Unknown",'[1]Cleaned Text Field'!G551)</f>
        <v>South</v>
      </c>
      <c r="H551" t="str">
        <f>PROPER(TRIM([1]raw_orders!H551))</f>
        <v>Telangana</v>
      </c>
      <c r="I551" t="str">
        <f>PROPER(TRIM([1]raw_orders!I551))</f>
        <v>Hyderabad</v>
      </c>
      <c r="J551" t="str">
        <f>PROPER(TRIM([1]raw_orders!J551))</f>
        <v>Office Supplies</v>
      </c>
      <c r="K551" t="str">
        <f>PROPER(TRIM([1]raw_orders!K551))</f>
        <v>Art</v>
      </c>
      <c r="L551" t="s">
        <v>1687</v>
      </c>
      <c r="M551" t="str">
        <f>IF('[1]Cleaned Text Field'!M551="","Unknown",'[1]Cleaned Text Field'!M551)</f>
        <v>Second Class</v>
      </c>
      <c r="N551">
        <f>IF('[1]Cleaned Text Field'!N551="",0,'[1]Cleaned Text Field'!N551)</f>
        <v>3</v>
      </c>
      <c r="O551">
        <v>3804.27</v>
      </c>
      <c r="P551" s="5">
        <f>IF('[1]Cleaned Text Field'!P551="",0,'[1]Cleaned Text Field'!P551)</f>
        <v>0.1</v>
      </c>
      <c r="Q551">
        <v>10271.530000000001</v>
      </c>
      <c r="R551">
        <v>8272.24</v>
      </c>
      <c r="S551">
        <v>1999.29</v>
      </c>
      <c r="T551" t="str">
        <f>PROPER(TRIM([1]raw_orders!T551))</f>
        <v>Paid</v>
      </c>
      <c r="U551" t="str">
        <f>PROPER(TRIM([1]raw_orders!U551))</f>
        <v>Completed</v>
      </c>
      <c r="V551" s="6">
        <f t="shared" si="64"/>
        <v>0.19464383592317794</v>
      </c>
      <c r="W551" t="str">
        <f t="shared" si="65"/>
        <v>October</v>
      </c>
      <c r="X551">
        <f t="shared" si="66"/>
        <v>2025</v>
      </c>
      <c r="Y551">
        <f t="shared" si="67"/>
        <v>2</v>
      </c>
      <c r="Z551" s="7">
        <f t="shared" si="68"/>
        <v>0.1</v>
      </c>
      <c r="AA551">
        <f t="shared" si="69"/>
        <v>10271.529</v>
      </c>
      <c r="AB551">
        <f t="shared" si="70"/>
        <v>1999.2900000000009</v>
      </c>
      <c r="AC551" t="str">
        <f t="shared" si="71"/>
        <v>Clean</v>
      </c>
    </row>
    <row r="552" spans="1:29">
      <c r="A552" t="s">
        <v>1688</v>
      </c>
      <c r="B552" s="4">
        <v>45330</v>
      </c>
      <c r="C552" s="4">
        <v>45514</v>
      </c>
      <c r="D552" t="s">
        <v>1689</v>
      </c>
      <c r="E552" t="str">
        <f>PROPER(TRIM([1]raw_orders!E552))</f>
        <v>Mira Das</v>
      </c>
      <c r="F552" t="str">
        <f>PROPER(TRIM([1]raw_orders!F552))</f>
        <v>Home Office</v>
      </c>
      <c r="G552" t="str">
        <f>IF('[1]Cleaned Text Field'!G552="","Unknown",'[1]Cleaned Text Field'!G552)</f>
        <v>East</v>
      </c>
      <c r="H552" t="str">
        <f>PROPER(TRIM([1]raw_orders!H552))</f>
        <v>Odisha</v>
      </c>
      <c r="I552" t="str">
        <f>PROPER(TRIM([1]raw_orders!I552))</f>
        <v>Bhubaneswar</v>
      </c>
      <c r="J552" t="str">
        <f>PROPER(TRIM([1]raw_orders!J552))</f>
        <v>Technology</v>
      </c>
      <c r="K552" t="str">
        <f>PROPER(TRIM([1]raw_orders!K552))</f>
        <v>Accessories</v>
      </c>
      <c r="L552" t="s">
        <v>1690</v>
      </c>
      <c r="M552" t="str">
        <f>IF('[1]Cleaned Text Field'!M552="","Unknown",'[1]Cleaned Text Field'!M552)</f>
        <v>Standard Class</v>
      </c>
      <c r="N552">
        <f>IF('[1]Cleaned Text Field'!N552="",0,'[1]Cleaned Text Field'!N552)</f>
        <v>6</v>
      </c>
      <c r="O552">
        <v>2126.44</v>
      </c>
      <c r="P552" s="5">
        <f>IF('[1]Cleaned Text Field'!P552="",0,'[1]Cleaned Text Field'!P552)</f>
        <v>0.2</v>
      </c>
      <c r="Q552">
        <v>10206.91</v>
      </c>
      <c r="R552">
        <v>6764.53</v>
      </c>
      <c r="S552">
        <v>3442.38</v>
      </c>
      <c r="T552" t="str">
        <f>PROPER(TRIM([1]raw_orders!T552))</f>
        <v>Paid</v>
      </c>
      <c r="U552" t="str">
        <f>PROPER(TRIM([1]raw_orders!U552))</f>
        <v>Completed</v>
      </c>
      <c r="V552" s="6">
        <f t="shared" si="64"/>
        <v>0.33725975834018329</v>
      </c>
      <c r="W552" t="str">
        <f t="shared" si="65"/>
        <v>February</v>
      </c>
      <c r="X552">
        <f t="shared" si="66"/>
        <v>2024</v>
      </c>
      <c r="Y552">
        <f t="shared" si="67"/>
        <v>184</v>
      </c>
      <c r="Z552" s="7">
        <f t="shared" si="68"/>
        <v>0.2</v>
      </c>
      <c r="AA552">
        <f t="shared" si="69"/>
        <v>10206.912</v>
      </c>
      <c r="AB552">
        <f t="shared" si="70"/>
        <v>3442.38</v>
      </c>
      <c r="AC552" t="str">
        <f t="shared" si="71"/>
        <v>Clean</v>
      </c>
    </row>
    <row r="553" spans="1:29">
      <c r="A553" t="s">
        <v>1691</v>
      </c>
      <c r="B553" s="4">
        <v>45349</v>
      </c>
      <c r="C553" s="4">
        <v>45349</v>
      </c>
      <c r="D553" t="s">
        <v>1692</v>
      </c>
      <c r="E553" t="str">
        <f>PROPER(TRIM([1]raw_orders!E553))</f>
        <v>Sneha Kapoor</v>
      </c>
      <c r="F553" t="str">
        <f>PROPER(TRIM([1]raw_orders!F553))</f>
        <v>Consumer</v>
      </c>
      <c r="G553" t="str">
        <f>IF('[1]Cleaned Text Field'!G553="","Unknown",'[1]Cleaned Text Field'!G553)</f>
        <v>East</v>
      </c>
      <c r="H553" t="str">
        <f>PROPER(TRIM([1]raw_orders!H553))</f>
        <v>Jharkhand</v>
      </c>
      <c r="I553" t="str">
        <f>PROPER(TRIM([1]raw_orders!I553))</f>
        <v>Ranchi</v>
      </c>
      <c r="J553" t="str">
        <f>PROPER(TRIM([1]raw_orders!J553))</f>
        <v>Furniture</v>
      </c>
      <c r="K553" t="str">
        <f>PROPER(TRIM([1]raw_orders!K553))</f>
        <v>Chairs</v>
      </c>
      <c r="L553" t="s">
        <v>1693</v>
      </c>
      <c r="M553" t="str">
        <f>IF('[1]Cleaned Text Field'!M553="","Unknown",'[1]Cleaned Text Field'!M553)</f>
        <v>Second Class</v>
      </c>
      <c r="N553">
        <f>IF('[1]Cleaned Text Field'!N553="",0,'[1]Cleaned Text Field'!N553)</f>
        <v>3</v>
      </c>
      <c r="O553">
        <v>3148.09</v>
      </c>
      <c r="P553" s="5">
        <f>IF('[1]Cleaned Text Field'!P553="",0,'[1]Cleaned Text Field'!P553)</f>
        <v>0.15</v>
      </c>
      <c r="Q553">
        <v>8027.63</v>
      </c>
      <c r="R553">
        <v>5496.09</v>
      </c>
      <c r="S553">
        <v>2531.54</v>
      </c>
      <c r="T553" t="str">
        <f>PROPER(TRIM([1]raw_orders!T553))</f>
        <v>Paid</v>
      </c>
      <c r="U553" t="str">
        <f>PROPER(TRIM([1]raw_orders!U553))</f>
        <v>Completed</v>
      </c>
      <c r="V553" s="6">
        <f t="shared" si="64"/>
        <v>0.31535334837305656</v>
      </c>
      <c r="W553" t="str">
        <f t="shared" si="65"/>
        <v>February</v>
      </c>
      <c r="X553">
        <f t="shared" si="66"/>
        <v>2024</v>
      </c>
      <c r="Y553">
        <f t="shared" si="67"/>
        <v>0</v>
      </c>
      <c r="Z553" s="7">
        <f t="shared" si="68"/>
        <v>0.15</v>
      </c>
      <c r="AA553">
        <f t="shared" si="69"/>
        <v>8027.6295</v>
      </c>
      <c r="AB553">
        <f t="shared" si="70"/>
        <v>2531.54</v>
      </c>
      <c r="AC553" t="str">
        <f t="shared" si="71"/>
        <v>Clean</v>
      </c>
    </row>
    <row r="554" spans="1:29">
      <c r="A554" t="s">
        <v>1694</v>
      </c>
      <c r="B554" s="4">
        <v>45681</v>
      </c>
      <c r="C554" s="4">
        <v>45687</v>
      </c>
      <c r="D554" t="s">
        <v>1695</v>
      </c>
      <c r="E554" t="str">
        <f>PROPER(TRIM([1]raw_orders!E554))</f>
        <v>Ananya Rao</v>
      </c>
      <c r="F554" t="str">
        <f>PROPER(TRIM([1]raw_orders!F554))</f>
        <v>Corporate</v>
      </c>
      <c r="G554" t="str">
        <f>IF('[1]Cleaned Text Field'!G554="","Unknown",'[1]Cleaned Text Field'!G554)</f>
        <v>East</v>
      </c>
      <c r="H554" t="str">
        <f>PROPER(TRIM([1]raw_orders!H554))</f>
        <v>West Bengal</v>
      </c>
      <c r="I554" t="str">
        <f>PROPER(TRIM([1]raw_orders!I554))</f>
        <v>Kolkata</v>
      </c>
      <c r="J554" t="str">
        <f>PROPER(TRIM([1]raw_orders!J554))</f>
        <v>Technology</v>
      </c>
      <c r="K554" t="str">
        <f>PROPER(TRIM([1]raw_orders!K554))</f>
        <v>Copiers</v>
      </c>
      <c r="L554" t="s">
        <v>1696</v>
      </c>
      <c r="M554" t="str">
        <f>IF('[1]Cleaned Text Field'!M554="","Unknown",'[1]Cleaned Text Field'!M554)</f>
        <v>Standard Class</v>
      </c>
      <c r="N554">
        <f>IF('[1]Cleaned Text Field'!N554="",0,'[1]Cleaned Text Field'!N554)</f>
        <v>8</v>
      </c>
      <c r="O554">
        <v>312.52999999999997</v>
      </c>
      <c r="P554" s="5" t="str">
        <f>IF('[1]Cleaned Text Field'!P554="",0,'[1]Cleaned Text Field'!P554)</f>
        <v>70%</v>
      </c>
      <c r="Q554">
        <v>1875.18</v>
      </c>
      <c r="R554">
        <v>1579.17</v>
      </c>
      <c r="S554">
        <v>296.01</v>
      </c>
      <c r="T554" t="str">
        <f>PROPER(TRIM([1]raw_orders!T554))</f>
        <v>Paid</v>
      </c>
      <c r="U554" t="str">
        <f>PROPER(TRIM([1]raw_orders!U554))</f>
        <v>Completed</v>
      </c>
      <c r="V554" s="6">
        <f t="shared" si="64"/>
        <v>0.15785684574280867</v>
      </c>
      <c r="W554" t="str">
        <f t="shared" si="65"/>
        <v>January</v>
      </c>
      <c r="X554">
        <f t="shared" si="66"/>
        <v>2025</v>
      </c>
      <c r="Y554">
        <f t="shared" si="67"/>
        <v>6</v>
      </c>
      <c r="Z554" s="7">
        <f>VALUE(SUBSTITUTE(P554,"%",""))/100</f>
        <v>0.7</v>
      </c>
      <c r="AA554">
        <f t="shared" si="69"/>
        <v>750.072</v>
      </c>
      <c r="AB554">
        <f t="shared" si="70"/>
        <v>296.01</v>
      </c>
      <c r="AC554" t="str">
        <f t="shared" si="71"/>
        <v>Clean</v>
      </c>
    </row>
    <row r="555" spans="1:29">
      <c r="A555" t="s">
        <v>1697</v>
      </c>
      <c r="B555" s="4">
        <v>45772</v>
      </c>
      <c r="C555" s="4">
        <v>45775</v>
      </c>
      <c r="D555" t="s">
        <v>1698</v>
      </c>
      <c r="E555" t="str">
        <f>PROPER(TRIM([1]raw_orders!E555))</f>
        <v>Aarav Sharma</v>
      </c>
      <c r="F555" t="str">
        <f>PROPER(TRIM([1]raw_orders!F555))</f>
        <v>Small Business</v>
      </c>
      <c r="G555" t="str">
        <f>IF('[1]Cleaned Text Field'!G555="","Unknown",'[1]Cleaned Text Field'!G555)</f>
        <v>West</v>
      </c>
      <c r="H555" t="str">
        <f>PROPER(TRIM([1]raw_orders!H555))</f>
        <v>Gujarat</v>
      </c>
      <c r="I555" t="str">
        <f>PROPER(TRIM([1]raw_orders!I555))</f>
        <v>Ahmedabad</v>
      </c>
      <c r="J555" t="str">
        <f>PROPER(TRIM([1]raw_orders!J555))</f>
        <v>Office Supplies</v>
      </c>
      <c r="K555" t="str">
        <f>PROPER(TRIM([1]raw_orders!K555))</f>
        <v>Storage</v>
      </c>
      <c r="L555" t="s">
        <v>1699</v>
      </c>
      <c r="M555" t="str">
        <f>IF('[1]Cleaned Text Field'!M555="","Unknown",'[1]Cleaned Text Field'!M555)</f>
        <v>First Class</v>
      </c>
      <c r="N555">
        <f>IF('[1]Cleaned Text Field'!N555="",0,'[1]Cleaned Text Field'!N555)</f>
        <v>9</v>
      </c>
      <c r="O555">
        <v>1294.1099999999999</v>
      </c>
      <c r="P555" s="5">
        <f>IF('[1]Cleaned Text Field'!P555="",0,'[1]Cleaned Text Field'!P555)</f>
        <v>0.25</v>
      </c>
      <c r="Q555">
        <v>8735.24</v>
      </c>
      <c r="R555">
        <v>6620.07</v>
      </c>
      <c r="S555">
        <v>2115.17</v>
      </c>
      <c r="T555" t="str">
        <f>PROPER(TRIM([1]raw_orders!T555))</f>
        <v>Paid</v>
      </c>
      <c r="U555" t="str">
        <f>PROPER(TRIM([1]raw_orders!U555))</f>
        <v>Completed</v>
      </c>
      <c r="V555" s="6">
        <f t="shared" si="64"/>
        <v>0.24214217354073844</v>
      </c>
      <c r="W555" t="str">
        <f t="shared" si="65"/>
        <v>April</v>
      </c>
      <c r="X555">
        <f t="shared" si="66"/>
        <v>2025</v>
      </c>
      <c r="Y555">
        <f t="shared" si="67"/>
        <v>3</v>
      </c>
      <c r="Z555" s="7">
        <f t="shared" si="68"/>
        <v>0.25</v>
      </c>
      <c r="AA555">
        <f t="shared" si="69"/>
        <v>8735.2425000000003</v>
      </c>
      <c r="AB555">
        <f t="shared" si="70"/>
        <v>2115.17</v>
      </c>
      <c r="AC555" t="str">
        <f t="shared" si="71"/>
        <v>Clean</v>
      </c>
    </row>
    <row r="556" spans="1:29">
      <c r="A556" t="s">
        <v>1700</v>
      </c>
      <c r="B556" s="4">
        <v>45577</v>
      </c>
      <c r="C556" s="4">
        <v>45582</v>
      </c>
      <c r="D556" t="s">
        <v>1701</v>
      </c>
      <c r="E556" t="str">
        <f>PROPER(TRIM([1]raw_orders!E556))</f>
        <v>Arjun Bose</v>
      </c>
      <c r="F556" t="str">
        <f>PROPER(TRIM([1]raw_orders!F556))</f>
        <v>Consumer</v>
      </c>
      <c r="G556" t="str">
        <f>IF('[1]Cleaned Text Field'!G556="","Unknown",'[1]Cleaned Text Field'!G556)</f>
        <v>Unknown</v>
      </c>
      <c r="H556" t="str">
        <f>PROPER(TRIM([1]raw_orders!H556))</f>
        <v>Jharkhand</v>
      </c>
      <c r="I556" t="str">
        <f>PROPER(TRIM([1]raw_orders!I556))</f>
        <v>Ranchi</v>
      </c>
      <c r="J556" t="str">
        <f>PROPER(TRIM([1]raw_orders!J556))</f>
        <v>Furniture</v>
      </c>
      <c r="K556" t="str">
        <f>PROPER(TRIM([1]raw_orders!K556))</f>
        <v>Furnishings</v>
      </c>
      <c r="L556" t="s">
        <v>1702</v>
      </c>
      <c r="M556" t="str">
        <f>IF('[1]Cleaned Text Field'!M556="","Unknown",'[1]Cleaned Text Field'!M556)</f>
        <v>Standard Class</v>
      </c>
      <c r="N556">
        <f>IF('[1]Cleaned Text Field'!N556="",0,'[1]Cleaned Text Field'!N556)</f>
        <v>4</v>
      </c>
      <c r="O556">
        <v>1071.22</v>
      </c>
      <c r="P556" s="5">
        <f>IF('[1]Cleaned Text Field'!P556="",0,'[1]Cleaned Text Field'!P556)</f>
        <v>0.05</v>
      </c>
      <c r="Q556">
        <v>4070.64</v>
      </c>
      <c r="R556">
        <v>2831.62</v>
      </c>
      <c r="S556">
        <v>1239.02</v>
      </c>
      <c r="T556" t="str">
        <f>PROPER(TRIM([1]raw_orders!T556))</f>
        <v>Paid</v>
      </c>
      <c r="U556" t="str">
        <f>PROPER(TRIM([1]raw_orders!U556))</f>
        <v>Completed</v>
      </c>
      <c r="V556" s="6">
        <f t="shared" si="64"/>
        <v>0.30437965528762062</v>
      </c>
      <c r="W556" t="str">
        <f t="shared" si="65"/>
        <v>October</v>
      </c>
      <c r="X556">
        <f t="shared" si="66"/>
        <v>2024</v>
      </c>
      <c r="Y556">
        <f t="shared" si="67"/>
        <v>5</v>
      </c>
      <c r="Z556" s="7">
        <f t="shared" si="68"/>
        <v>0.05</v>
      </c>
      <c r="AA556">
        <f t="shared" si="69"/>
        <v>4070.636</v>
      </c>
      <c r="AB556">
        <f t="shared" si="70"/>
        <v>1239.02</v>
      </c>
      <c r="AC556" t="str">
        <f t="shared" si="71"/>
        <v>Clean</v>
      </c>
    </row>
    <row r="557" spans="1:29">
      <c r="A557" t="s">
        <v>1703</v>
      </c>
      <c r="B557" s="4">
        <v>45749</v>
      </c>
      <c r="C557" s="4">
        <v>45698</v>
      </c>
      <c r="D557" t="s">
        <v>1704</v>
      </c>
      <c r="E557" t="str">
        <f>PROPER(TRIM([1]raw_orders!E557))</f>
        <v>Ananya Rao</v>
      </c>
      <c r="F557" t="str">
        <f>PROPER(TRIM([1]raw_orders!F557))</f>
        <v>Small Business</v>
      </c>
      <c r="G557" t="str">
        <f>IF('[1]Cleaned Text Field'!G557="","Unknown",'[1]Cleaned Text Field'!G557)</f>
        <v>South</v>
      </c>
      <c r="H557" t="str">
        <f>PROPER(TRIM([1]raw_orders!H557))</f>
        <v>Telangana</v>
      </c>
      <c r="I557" t="str">
        <f>PROPER(TRIM([1]raw_orders!I557))</f>
        <v>Hyderabad</v>
      </c>
      <c r="J557" t="str">
        <f>PROPER(TRIM([1]raw_orders!J557))</f>
        <v>Office Supplies</v>
      </c>
      <c r="K557" t="str">
        <f>PROPER(TRIM([1]raw_orders!K557))</f>
        <v>Storage</v>
      </c>
      <c r="L557" t="s">
        <v>1705</v>
      </c>
      <c r="M557" t="str">
        <f>IF('[1]Cleaned Text Field'!M557="","Unknown",'[1]Cleaned Text Field'!M557)</f>
        <v>Standard Class</v>
      </c>
      <c r="N557">
        <f>IF('[1]Cleaned Text Field'!N557="",0,'[1]Cleaned Text Field'!N557)</f>
        <v>6</v>
      </c>
      <c r="O557">
        <v>1042.8</v>
      </c>
      <c r="P557" s="5">
        <f>IF('[1]Cleaned Text Field'!P557="",0,'[1]Cleaned Text Field'!P557)</f>
        <v>0.05</v>
      </c>
      <c r="Q557">
        <v>5943.96</v>
      </c>
      <c r="R557">
        <v>3604.14</v>
      </c>
      <c r="S557">
        <v>2339.8200000000002</v>
      </c>
      <c r="T557" t="str">
        <f>PROPER(TRIM([1]raw_orders!T557))</f>
        <v>Paid</v>
      </c>
      <c r="U557" t="str">
        <f>PROPER(TRIM([1]raw_orders!U557))</f>
        <v>Completed</v>
      </c>
      <c r="V557" s="6">
        <f t="shared" si="64"/>
        <v>0.39364665980255592</v>
      </c>
      <c r="W557" t="str">
        <f t="shared" si="65"/>
        <v>April</v>
      </c>
      <c r="X557">
        <f t="shared" si="66"/>
        <v>2025</v>
      </c>
      <c r="Y557">
        <f t="shared" si="67"/>
        <v>-51</v>
      </c>
      <c r="Z557" s="7">
        <f t="shared" si="68"/>
        <v>0.05</v>
      </c>
      <c r="AA557">
        <f t="shared" si="69"/>
        <v>5943.9599999999991</v>
      </c>
      <c r="AB557">
        <f t="shared" si="70"/>
        <v>2339.8200000000002</v>
      </c>
      <c r="AC557" t="str">
        <f t="shared" si="71"/>
        <v>Warning</v>
      </c>
    </row>
    <row r="558" spans="1:29">
      <c r="A558" t="s">
        <v>1706</v>
      </c>
      <c r="B558" s="4">
        <v>45466</v>
      </c>
      <c r="C558" s="4">
        <v>45472</v>
      </c>
      <c r="D558" t="s">
        <v>1707</v>
      </c>
      <c r="E558" t="str">
        <f>PROPER(TRIM([1]raw_orders!E558))</f>
        <v>Neha Gupta</v>
      </c>
      <c r="F558" t="str">
        <f>PROPER(TRIM([1]raw_orders!F558))</f>
        <v>Consumer</v>
      </c>
      <c r="G558" t="str">
        <f>IF('[1]Cleaned Text Field'!G558="","Unknown",'[1]Cleaned Text Field'!G558)</f>
        <v>North</v>
      </c>
      <c r="H558" t="str">
        <f>PROPER(TRIM([1]raw_orders!H558))</f>
        <v>Haryana</v>
      </c>
      <c r="I558" t="str">
        <f>PROPER(TRIM([1]raw_orders!I558))</f>
        <v>Gurugram</v>
      </c>
      <c r="J558" t="str">
        <f>PROPER(TRIM([1]raw_orders!J558))</f>
        <v>Furniture</v>
      </c>
      <c r="K558" t="str">
        <f>PROPER(TRIM([1]raw_orders!K558))</f>
        <v>Tables</v>
      </c>
      <c r="L558" t="s">
        <v>1708</v>
      </c>
      <c r="M558" t="str">
        <f>IF('[1]Cleaned Text Field'!M558="","Unknown",'[1]Cleaned Text Field'!M558)</f>
        <v>First Class</v>
      </c>
      <c r="N558">
        <f>IF('[1]Cleaned Text Field'!N558="",0,'[1]Cleaned Text Field'!N558)</f>
        <v>1</v>
      </c>
      <c r="O558">
        <v>4426.66</v>
      </c>
      <c r="P558" s="5">
        <f>IF('[1]Cleaned Text Field'!P558="",0,'[1]Cleaned Text Field'!P558)</f>
        <v>0</v>
      </c>
      <c r="Q558">
        <v>4426.66</v>
      </c>
      <c r="R558">
        <v>3035.2</v>
      </c>
      <c r="S558">
        <v>1816.23</v>
      </c>
      <c r="T558" t="str">
        <f>PROPER(TRIM([1]raw_orders!T558))</f>
        <v>Paid</v>
      </c>
      <c r="U558" t="str">
        <f>PROPER(TRIM([1]raw_orders!U558))</f>
        <v>Returned</v>
      </c>
      <c r="V558" s="6">
        <f t="shared" si="64"/>
        <v>0.41029353959870424</v>
      </c>
      <c r="W558" t="str">
        <f t="shared" si="65"/>
        <v>June</v>
      </c>
      <c r="X558">
        <f t="shared" si="66"/>
        <v>2024</v>
      </c>
      <c r="Y558">
        <f t="shared" si="67"/>
        <v>6</v>
      </c>
      <c r="Z558" s="7">
        <f t="shared" si="68"/>
        <v>0</v>
      </c>
      <c r="AA558">
        <f t="shared" si="69"/>
        <v>4426.66</v>
      </c>
      <c r="AB558">
        <f t="shared" si="70"/>
        <v>1391.46</v>
      </c>
      <c r="AC558" t="str">
        <f t="shared" si="71"/>
        <v>Clean</v>
      </c>
    </row>
    <row r="559" spans="1:29">
      <c r="A559" t="s">
        <v>1709</v>
      </c>
      <c r="B559" s="4">
        <v>45420</v>
      </c>
      <c r="C559" s="4">
        <v>45426</v>
      </c>
      <c r="D559" t="s">
        <v>1710</v>
      </c>
      <c r="E559" t="str">
        <f>PROPER(TRIM([1]raw_orders!E559))</f>
        <v>Vikram Iyer</v>
      </c>
      <c r="F559" t="str">
        <f>PROPER(TRIM([1]raw_orders!F559))</f>
        <v>Home Office</v>
      </c>
      <c r="G559" t="str">
        <f>IF('[1]Cleaned Text Field'!G559="","Unknown",'[1]Cleaned Text Field'!G559)</f>
        <v>North</v>
      </c>
      <c r="H559" t="str">
        <f>PROPER(TRIM([1]raw_orders!H559))</f>
        <v>Haryana</v>
      </c>
      <c r="I559" t="str">
        <f>PROPER(TRIM([1]raw_orders!I559))</f>
        <v>Gurugram</v>
      </c>
      <c r="J559" t="str">
        <f>PROPER(TRIM([1]raw_orders!J559))</f>
        <v>Technology</v>
      </c>
      <c r="K559" t="str">
        <f>PROPER(TRIM([1]raw_orders!K559))</f>
        <v>Phones</v>
      </c>
      <c r="L559" t="s">
        <v>1711</v>
      </c>
      <c r="M559" t="str">
        <f>IF('[1]Cleaned Text Field'!M559="","Unknown",'[1]Cleaned Text Field'!M559)</f>
        <v>First Class</v>
      </c>
      <c r="N559">
        <f>IF('[1]Cleaned Text Field'!N559="",0,'[1]Cleaned Text Field'!N559)</f>
        <v>9</v>
      </c>
      <c r="O559">
        <v>3769.46</v>
      </c>
      <c r="P559" s="5">
        <f>IF('[1]Cleaned Text Field'!P559="",0,'[1]Cleaned Text Field'!P559)</f>
        <v>0.05</v>
      </c>
      <c r="Q559">
        <v>32228.880000000001</v>
      </c>
      <c r="R559">
        <v>24971.360000000001</v>
      </c>
      <c r="S559">
        <v>7257.52</v>
      </c>
      <c r="T559" t="str">
        <f>PROPER(TRIM([1]raw_orders!T559))</f>
        <v>Paid</v>
      </c>
      <c r="U559" t="str">
        <f>PROPER(TRIM([1]raw_orders!U559))</f>
        <v>Cancelled</v>
      </c>
      <c r="V559" s="6">
        <f t="shared" si="64"/>
        <v>0.22518685104788005</v>
      </c>
      <c r="W559" t="str">
        <f t="shared" si="65"/>
        <v>May</v>
      </c>
      <c r="X559">
        <f t="shared" si="66"/>
        <v>2024</v>
      </c>
      <c r="Y559">
        <f t="shared" si="67"/>
        <v>6</v>
      </c>
      <c r="Z559" s="7">
        <f t="shared" si="68"/>
        <v>0.05</v>
      </c>
      <c r="AA559">
        <f t="shared" si="69"/>
        <v>32228.882999999998</v>
      </c>
      <c r="AB559">
        <f t="shared" si="70"/>
        <v>7257.52</v>
      </c>
      <c r="AC559" t="str">
        <f t="shared" si="71"/>
        <v>Clean</v>
      </c>
    </row>
    <row r="560" spans="1:29">
      <c r="A560" t="s">
        <v>1712</v>
      </c>
      <c r="B560" s="4">
        <v>45904</v>
      </c>
      <c r="C560" s="4">
        <v>45904</v>
      </c>
      <c r="D560" t="s">
        <v>1713</v>
      </c>
      <c r="E560" t="str">
        <f>PROPER(TRIM([1]raw_orders!E560))</f>
        <v>Aditi Sen</v>
      </c>
      <c r="F560" t="str">
        <f>PROPER(TRIM([1]raw_orders!F560))</f>
        <v>Corporate</v>
      </c>
      <c r="G560" t="str">
        <f>IF('[1]Cleaned Text Field'!G560="","Unknown",'[1]Cleaned Text Field'!G560)</f>
        <v>North</v>
      </c>
      <c r="H560" t="str">
        <f>PROPER(TRIM([1]raw_orders!H560))</f>
        <v>Punjab</v>
      </c>
      <c r="I560" t="str">
        <f>PROPER(TRIM([1]raw_orders!I560))</f>
        <v>Ludhiana</v>
      </c>
      <c r="J560" t="str">
        <f>PROPER(TRIM([1]raw_orders!J560))</f>
        <v>Technology</v>
      </c>
      <c r="K560" t="str">
        <f>PROPER(TRIM([1]raw_orders!K560))</f>
        <v>Machines</v>
      </c>
      <c r="L560" t="s">
        <v>1714</v>
      </c>
      <c r="M560" t="str">
        <f>IF('[1]Cleaned Text Field'!M560="","Unknown",'[1]Cleaned Text Field'!M560)</f>
        <v>First Class</v>
      </c>
      <c r="N560">
        <f>IF('[1]Cleaned Text Field'!N560="",0,'[1]Cleaned Text Field'!N560)</f>
        <v>8</v>
      </c>
      <c r="O560">
        <v>3079.95</v>
      </c>
      <c r="P560" s="5">
        <f>IF('[1]Cleaned Text Field'!P560="",0,'[1]Cleaned Text Field'!P560)</f>
        <v>0.2</v>
      </c>
      <c r="Q560">
        <v>19711.68</v>
      </c>
      <c r="R560">
        <v>14461.8</v>
      </c>
      <c r="S560">
        <v>5249.88</v>
      </c>
      <c r="T560" t="str">
        <f>PROPER(TRIM([1]raw_orders!T560))</f>
        <v>Paid</v>
      </c>
      <c r="U560" t="str">
        <f>PROPER(TRIM([1]raw_orders!U560))</f>
        <v>Completed</v>
      </c>
      <c r="V560" s="6">
        <f t="shared" si="64"/>
        <v>0.2663334632055715</v>
      </c>
      <c r="W560" t="str">
        <f t="shared" si="65"/>
        <v>September</v>
      </c>
      <c r="X560">
        <f t="shared" si="66"/>
        <v>2025</v>
      </c>
      <c r="Y560">
        <f t="shared" si="67"/>
        <v>0</v>
      </c>
      <c r="Z560" s="7">
        <f t="shared" si="68"/>
        <v>0.2</v>
      </c>
      <c r="AA560">
        <f t="shared" si="69"/>
        <v>19711.68</v>
      </c>
      <c r="AB560">
        <f t="shared" si="70"/>
        <v>5249.880000000001</v>
      </c>
      <c r="AC560" t="str">
        <f t="shared" si="71"/>
        <v>Clean</v>
      </c>
    </row>
    <row r="561" spans="1:29">
      <c r="A561" t="s">
        <v>1715</v>
      </c>
      <c r="B561" s="4">
        <v>45930</v>
      </c>
      <c r="C561" s="4">
        <v>45937</v>
      </c>
      <c r="D561" t="s">
        <v>1716</v>
      </c>
      <c r="E561" t="str">
        <f>PROPER(TRIM([1]raw_orders!E561))</f>
        <v>Diya Patel</v>
      </c>
      <c r="F561" t="str">
        <f>PROPER(TRIM([1]raw_orders!F561))</f>
        <v>Corporate</v>
      </c>
      <c r="G561" t="str">
        <f>IF('[1]Cleaned Text Field'!G561="","Unknown",'[1]Cleaned Text Field'!G561)</f>
        <v>East</v>
      </c>
      <c r="H561" t="str">
        <f>PROPER(TRIM([1]raw_orders!H561))</f>
        <v>Bihar</v>
      </c>
      <c r="I561" t="str">
        <f>PROPER(TRIM([1]raw_orders!I561))</f>
        <v>Patna</v>
      </c>
      <c r="J561" t="str">
        <f>PROPER(TRIM([1]raw_orders!J561))</f>
        <v>Technology</v>
      </c>
      <c r="K561" t="str">
        <f>PROPER(TRIM([1]raw_orders!K561))</f>
        <v>Copiers</v>
      </c>
      <c r="L561" t="s">
        <v>1717</v>
      </c>
      <c r="M561" t="str">
        <f>IF('[1]Cleaned Text Field'!M561="","Unknown",'[1]Cleaned Text Field'!M561)</f>
        <v>Second Class</v>
      </c>
      <c r="N561">
        <f>IF('[1]Cleaned Text Field'!N561="",0,'[1]Cleaned Text Field'!N561)</f>
        <v>5</v>
      </c>
      <c r="O561">
        <v>3277.82</v>
      </c>
      <c r="P561" s="5">
        <f>IF('[1]Cleaned Text Field'!P561="",0,'[1]Cleaned Text Field'!P561)</f>
        <v>0.1</v>
      </c>
      <c r="Q561">
        <v>14750.19</v>
      </c>
      <c r="R561">
        <v>9482.58</v>
      </c>
      <c r="S561">
        <v>5267.61</v>
      </c>
      <c r="T561" t="str">
        <f>PROPER(TRIM([1]raw_orders!T561))</f>
        <v>Paid</v>
      </c>
      <c r="U561" t="str">
        <f>PROPER(TRIM([1]raw_orders!U561))</f>
        <v>Returned</v>
      </c>
      <c r="V561" s="6">
        <f t="shared" si="64"/>
        <v>0.35712150148574356</v>
      </c>
      <c r="W561" t="str">
        <f t="shared" si="65"/>
        <v>September</v>
      </c>
      <c r="X561">
        <f t="shared" si="66"/>
        <v>2025</v>
      </c>
      <c r="Y561">
        <f t="shared" si="67"/>
        <v>7</v>
      </c>
      <c r="Z561" s="7">
        <f t="shared" si="68"/>
        <v>0.1</v>
      </c>
      <c r="AA561">
        <f t="shared" si="69"/>
        <v>14750.190000000002</v>
      </c>
      <c r="AB561">
        <f t="shared" si="70"/>
        <v>5267.6100000000006</v>
      </c>
      <c r="AC561" t="str">
        <f t="shared" si="71"/>
        <v>Clean</v>
      </c>
    </row>
    <row r="562" spans="1:29">
      <c r="A562" t="s">
        <v>1718</v>
      </c>
      <c r="B562" s="4">
        <v>45307</v>
      </c>
      <c r="C562" s="4">
        <v>45313</v>
      </c>
      <c r="D562" t="s">
        <v>1719</v>
      </c>
      <c r="E562" t="str">
        <f>PROPER(TRIM([1]raw_orders!E562))</f>
        <v>Arjun Bose</v>
      </c>
      <c r="F562" t="str">
        <f>PROPER(TRIM([1]raw_orders!F562))</f>
        <v>Consumer</v>
      </c>
      <c r="G562" t="str">
        <f>IF('[1]Cleaned Text Field'!G562="","Unknown",'[1]Cleaned Text Field'!G562)</f>
        <v>West</v>
      </c>
      <c r="H562" t="str">
        <f>PROPER(TRIM([1]raw_orders!H562))</f>
        <v>Goa</v>
      </c>
      <c r="I562" t="str">
        <f>PROPER(TRIM([1]raw_orders!I562))</f>
        <v>Panaji</v>
      </c>
      <c r="J562" t="str">
        <f>PROPER(TRIM([1]raw_orders!J562))</f>
        <v>Office Supplies</v>
      </c>
      <c r="K562" t="str">
        <f>PROPER(TRIM([1]raw_orders!K562))</f>
        <v>Storage</v>
      </c>
      <c r="L562" t="s">
        <v>1720</v>
      </c>
      <c r="M562" t="str">
        <f>IF('[1]Cleaned Text Field'!M562="","Unknown",'[1]Cleaned Text Field'!M562)</f>
        <v>Standard Class</v>
      </c>
      <c r="N562">
        <f>IF('[1]Cleaned Text Field'!N562="",0,'[1]Cleaned Text Field'!N562)</f>
        <v>4</v>
      </c>
      <c r="O562">
        <v>282.52999999999997</v>
      </c>
      <c r="P562" s="5">
        <f>IF('[1]Cleaned Text Field'!P562="",0,'[1]Cleaned Text Field'!P562)</f>
        <v>0</v>
      </c>
      <c r="Q562">
        <v>1130.1199999999999</v>
      </c>
      <c r="R562">
        <v>848.62</v>
      </c>
      <c r="S562">
        <v>281.5</v>
      </c>
      <c r="T562" t="str">
        <f>PROPER(TRIM([1]raw_orders!T562))</f>
        <v>Paid</v>
      </c>
      <c r="U562" t="str">
        <f>PROPER(TRIM([1]raw_orders!U562))</f>
        <v>Cancelled</v>
      </c>
      <c r="V562" s="6">
        <f t="shared" si="64"/>
        <v>0.24908859236187311</v>
      </c>
      <c r="W562" t="str">
        <f t="shared" si="65"/>
        <v>January</v>
      </c>
      <c r="X562">
        <f t="shared" si="66"/>
        <v>2024</v>
      </c>
      <c r="Y562">
        <f t="shared" si="67"/>
        <v>6</v>
      </c>
      <c r="Z562" s="7">
        <f t="shared" si="68"/>
        <v>0</v>
      </c>
      <c r="AA562">
        <f t="shared" si="69"/>
        <v>1130.1199999999999</v>
      </c>
      <c r="AB562">
        <f t="shared" si="70"/>
        <v>281.49999999999989</v>
      </c>
      <c r="AC562" t="str">
        <f t="shared" si="71"/>
        <v>Clean</v>
      </c>
    </row>
    <row r="563" spans="1:29">
      <c r="A563" t="s">
        <v>1721</v>
      </c>
      <c r="B563" s="4">
        <v>45852</v>
      </c>
      <c r="C563" s="4">
        <v>45856</v>
      </c>
      <c r="D563" t="s">
        <v>1722</v>
      </c>
      <c r="E563" t="str">
        <f>PROPER(TRIM([1]raw_orders!E563))</f>
        <v>Aditi Sen</v>
      </c>
      <c r="F563" t="str">
        <f>PROPER(TRIM([1]raw_orders!F563))</f>
        <v>Consumer</v>
      </c>
      <c r="G563" t="str">
        <f>IF('[1]Cleaned Text Field'!G563="","Unknown",'[1]Cleaned Text Field'!G563)</f>
        <v>North</v>
      </c>
      <c r="H563" t="str">
        <f>PROPER(TRIM([1]raw_orders!H563))</f>
        <v>Punjab</v>
      </c>
      <c r="I563" t="str">
        <f>PROPER(TRIM([1]raw_orders!I563))</f>
        <v>Ludhiana</v>
      </c>
      <c r="J563" t="str">
        <f>PROPER(TRIM([1]raw_orders!J563))</f>
        <v>Technology</v>
      </c>
      <c r="K563" t="str">
        <f>PROPER(TRIM([1]raw_orders!K563))</f>
        <v>Copiers</v>
      </c>
      <c r="L563" t="s">
        <v>1723</v>
      </c>
      <c r="M563" t="str">
        <f>IF('[1]Cleaned Text Field'!M563="","Unknown",'[1]Cleaned Text Field'!M563)</f>
        <v>First Class</v>
      </c>
      <c r="N563">
        <f>IF('[1]Cleaned Text Field'!N563="",0,'[1]Cleaned Text Field'!N563)</f>
        <v>4</v>
      </c>
      <c r="O563">
        <v>725.22</v>
      </c>
      <c r="P563" s="5">
        <f>IF('[1]Cleaned Text Field'!P563="",0,'[1]Cleaned Text Field'!P563)</f>
        <v>0</v>
      </c>
      <c r="Q563">
        <v>2900.88</v>
      </c>
      <c r="R563">
        <v>2391.85</v>
      </c>
      <c r="S563">
        <v>509.03</v>
      </c>
      <c r="T563" t="str">
        <f>PROPER(TRIM([1]raw_orders!T563))</f>
        <v>Pending</v>
      </c>
      <c r="U563" t="str">
        <f>PROPER(TRIM([1]raw_orders!U563))</f>
        <v>Returned</v>
      </c>
      <c r="V563" s="6">
        <f t="shared" si="64"/>
        <v>0.17547433882132316</v>
      </c>
      <c r="W563" t="str">
        <f t="shared" si="65"/>
        <v>July</v>
      </c>
      <c r="X563">
        <f t="shared" si="66"/>
        <v>2025</v>
      </c>
      <c r="Y563">
        <f t="shared" si="67"/>
        <v>4</v>
      </c>
      <c r="Z563" s="7">
        <f t="shared" si="68"/>
        <v>0</v>
      </c>
      <c r="AA563">
        <f t="shared" si="69"/>
        <v>2900.88</v>
      </c>
      <c r="AB563">
        <f t="shared" si="70"/>
        <v>509.0300000000002</v>
      </c>
      <c r="AC563" t="str">
        <f t="shared" si="71"/>
        <v>Clean</v>
      </c>
    </row>
    <row r="564" spans="1:29">
      <c r="A564" t="s">
        <v>1724</v>
      </c>
      <c r="B564" s="4">
        <v>45422</v>
      </c>
      <c r="C564" s="4">
        <v>45428</v>
      </c>
      <c r="D564" t="s">
        <v>1725</v>
      </c>
      <c r="E564" t="str">
        <f>PROPER(TRIM([1]raw_orders!E564))</f>
        <v>Karan Malhotra</v>
      </c>
      <c r="F564" t="str">
        <f>PROPER(TRIM([1]raw_orders!F564))</f>
        <v>Consumer</v>
      </c>
      <c r="G564" t="str">
        <f>IF('[1]Cleaned Text Field'!G564="","Unknown",'[1]Cleaned Text Field'!G564)</f>
        <v>North</v>
      </c>
      <c r="H564" t="str">
        <f>PROPER(TRIM([1]raw_orders!H564))</f>
        <v>Punjab</v>
      </c>
      <c r="I564" t="str">
        <f>PROPER(TRIM([1]raw_orders!I564))</f>
        <v>Ludhiana</v>
      </c>
      <c r="J564" t="str">
        <f>PROPER(TRIM([1]raw_orders!J564))</f>
        <v>Office Supplies</v>
      </c>
      <c r="K564" t="str">
        <f>PROPER(TRIM([1]raw_orders!K564))</f>
        <v>Binders</v>
      </c>
      <c r="L564" t="s">
        <v>1726</v>
      </c>
      <c r="M564" t="str">
        <f>IF('[1]Cleaned Text Field'!M564="","Unknown",'[1]Cleaned Text Field'!M564)</f>
        <v>Same Day</v>
      </c>
      <c r="N564">
        <f>IF('[1]Cleaned Text Field'!N564="",0,'[1]Cleaned Text Field'!N564)</f>
        <v>7</v>
      </c>
      <c r="O564">
        <v>121.54</v>
      </c>
      <c r="P564" s="5">
        <f>IF('[1]Cleaned Text Field'!P564="",0,'[1]Cleaned Text Field'!P564)</f>
        <v>0.2</v>
      </c>
      <c r="Q564">
        <v>680.62</v>
      </c>
      <c r="R564">
        <v>463.49</v>
      </c>
      <c r="S564">
        <v>217.13</v>
      </c>
      <c r="T564" t="str">
        <f>PROPER(TRIM([1]raw_orders!T564))</f>
        <v>Failed</v>
      </c>
      <c r="U564" t="str">
        <f>PROPER(TRIM([1]raw_orders!U564))</f>
        <v>Returned</v>
      </c>
      <c r="V564" s="6">
        <f t="shared" si="64"/>
        <v>0.31901795421821277</v>
      </c>
      <c r="W564" t="str">
        <f t="shared" si="65"/>
        <v>May</v>
      </c>
      <c r="X564">
        <f t="shared" si="66"/>
        <v>2024</v>
      </c>
      <c r="Y564">
        <f t="shared" si="67"/>
        <v>6</v>
      </c>
      <c r="Z564" s="7">
        <f t="shared" si="68"/>
        <v>0.2</v>
      </c>
      <c r="AA564">
        <f t="shared" si="69"/>
        <v>680.62400000000014</v>
      </c>
      <c r="AB564">
        <f t="shared" si="70"/>
        <v>217.13</v>
      </c>
      <c r="AC564" t="str">
        <f t="shared" si="71"/>
        <v>Clean</v>
      </c>
    </row>
    <row r="565" spans="1:29">
      <c r="A565" t="s">
        <v>1727</v>
      </c>
      <c r="B565" s="4">
        <v>45418</v>
      </c>
      <c r="C565" s="4">
        <v>45631</v>
      </c>
      <c r="D565" t="s">
        <v>1728</v>
      </c>
      <c r="E565" t="str">
        <f>PROPER(TRIM([1]raw_orders!E565))</f>
        <v>Arjun Bose</v>
      </c>
      <c r="F565" t="str">
        <f>PROPER(TRIM([1]raw_orders!F565))</f>
        <v>Corporate</v>
      </c>
      <c r="G565" t="str">
        <f>IF('[1]Cleaned Text Field'!G565="","Unknown",'[1]Cleaned Text Field'!G565)</f>
        <v>West</v>
      </c>
      <c r="H565" t="str">
        <f>PROPER(TRIM([1]raw_orders!H565))</f>
        <v>Goa</v>
      </c>
      <c r="I565" t="str">
        <f>PROPER(TRIM([1]raw_orders!I565))</f>
        <v>Panaji</v>
      </c>
      <c r="J565" t="str">
        <f>PROPER(TRIM([1]raw_orders!J565))</f>
        <v>Furniture</v>
      </c>
      <c r="K565" t="str">
        <f>PROPER(TRIM([1]raw_orders!K565))</f>
        <v>Tables</v>
      </c>
      <c r="L565" t="s">
        <v>1729</v>
      </c>
      <c r="M565" t="str">
        <f>IF('[1]Cleaned Text Field'!M565="","Unknown",'[1]Cleaned Text Field'!M565)</f>
        <v>Standard Class</v>
      </c>
      <c r="N565">
        <f>IF('[1]Cleaned Text Field'!N565="",0,'[1]Cleaned Text Field'!N565)</f>
        <v>9</v>
      </c>
      <c r="O565">
        <v>790.97</v>
      </c>
      <c r="P565" s="5">
        <f>IF('[1]Cleaned Text Field'!P565="",0,'[1]Cleaned Text Field'!P565)</f>
        <v>0.2</v>
      </c>
      <c r="Q565">
        <v>5694.98</v>
      </c>
      <c r="R565">
        <v>4618.33</v>
      </c>
      <c r="S565">
        <v>1076.6500000000001</v>
      </c>
      <c r="T565" t="str">
        <f>PROPER(TRIM([1]raw_orders!T565))</f>
        <v>Pending</v>
      </c>
      <c r="U565" t="str">
        <f>PROPER(TRIM([1]raw_orders!U565))</f>
        <v>Cancelled</v>
      </c>
      <c r="V565" s="6">
        <f t="shared" si="64"/>
        <v>0.18905246374877527</v>
      </c>
      <c r="W565" t="str">
        <f t="shared" si="65"/>
        <v>May</v>
      </c>
      <c r="X565">
        <f t="shared" si="66"/>
        <v>2024</v>
      </c>
      <c r="Y565">
        <f t="shared" si="67"/>
        <v>213</v>
      </c>
      <c r="Z565" s="7">
        <f t="shared" si="68"/>
        <v>0.2</v>
      </c>
      <c r="AA565">
        <f t="shared" si="69"/>
        <v>5694.9840000000004</v>
      </c>
      <c r="AB565">
        <f t="shared" si="70"/>
        <v>1076.6499999999996</v>
      </c>
      <c r="AC565" t="str">
        <f t="shared" si="71"/>
        <v>Clean</v>
      </c>
    </row>
    <row r="566" spans="1:29">
      <c r="A566" t="s">
        <v>1730</v>
      </c>
      <c r="B566" s="4">
        <v>45606</v>
      </c>
      <c r="C566" s="4">
        <v>45610</v>
      </c>
      <c r="D566" t="s">
        <v>1731</v>
      </c>
      <c r="E566" t="str">
        <f>PROPER(TRIM([1]raw_orders!E566))</f>
        <v>Sneha Kapoor</v>
      </c>
      <c r="F566" t="str">
        <f>PROPER(TRIM([1]raw_orders!F566))</f>
        <v>Corporate</v>
      </c>
      <c r="G566" t="str">
        <f>IF('[1]Cleaned Text Field'!G566="","Unknown",'[1]Cleaned Text Field'!G566)</f>
        <v>South</v>
      </c>
      <c r="H566" t="str">
        <f>PROPER(TRIM([1]raw_orders!H566))</f>
        <v>Andhra Pradesh</v>
      </c>
      <c r="I566" t="str">
        <f>PROPER(TRIM([1]raw_orders!I566))</f>
        <v>Vijayawada</v>
      </c>
      <c r="J566" t="str">
        <f>PROPER(TRIM([1]raw_orders!J566))</f>
        <v>Furniture</v>
      </c>
      <c r="K566" t="str">
        <f>PROPER(TRIM([1]raw_orders!K566))</f>
        <v>Tables</v>
      </c>
      <c r="L566" t="s">
        <v>1732</v>
      </c>
      <c r="M566" t="str">
        <f>IF('[1]Cleaned Text Field'!M566="","Unknown",'[1]Cleaned Text Field'!M566)</f>
        <v>First Class</v>
      </c>
      <c r="N566">
        <f>IF('[1]Cleaned Text Field'!N566="",0,'[1]Cleaned Text Field'!N566)</f>
        <v>2</v>
      </c>
      <c r="O566">
        <v>921.34</v>
      </c>
      <c r="P566" s="5">
        <f>IF('[1]Cleaned Text Field'!P566="",0,'[1]Cleaned Text Field'!P566)</f>
        <v>0.2</v>
      </c>
      <c r="Q566">
        <v>1474.14</v>
      </c>
      <c r="R566">
        <v>968.46</v>
      </c>
      <c r="S566">
        <v>505.68</v>
      </c>
      <c r="T566" t="str">
        <f>PROPER(TRIM([1]raw_orders!T566))</f>
        <v>Paid</v>
      </c>
      <c r="U566" t="str">
        <f>PROPER(TRIM([1]raw_orders!U566))</f>
        <v>Completed</v>
      </c>
      <c r="V566" s="6">
        <f t="shared" si="64"/>
        <v>0.34303390451381821</v>
      </c>
      <c r="W566" t="str">
        <f t="shared" si="65"/>
        <v>November</v>
      </c>
      <c r="X566">
        <f t="shared" si="66"/>
        <v>2024</v>
      </c>
      <c r="Y566">
        <f t="shared" si="67"/>
        <v>4</v>
      </c>
      <c r="Z566" s="7">
        <f t="shared" si="68"/>
        <v>0.2</v>
      </c>
      <c r="AA566">
        <f t="shared" si="69"/>
        <v>1474.1440000000002</v>
      </c>
      <c r="AB566">
        <f t="shared" si="70"/>
        <v>505.68000000000006</v>
      </c>
      <c r="AC566" t="str">
        <f t="shared" si="71"/>
        <v>Clean</v>
      </c>
    </row>
    <row r="567" spans="1:29">
      <c r="A567" t="s">
        <v>1733</v>
      </c>
      <c r="B567" s="4">
        <v>45876</v>
      </c>
      <c r="C567" s="4">
        <v>45882</v>
      </c>
      <c r="D567" t="s">
        <v>1734</v>
      </c>
      <c r="E567" t="str">
        <f>PROPER(TRIM([1]raw_orders!E567))</f>
        <v>Mira Das</v>
      </c>
      <c r="F567" t="str">
        <f>PROPER(TRIM([1]raw_orders!F567))</f>
        <v>Corporate</v>
      </c>
      <c r="G567" t="str">
        <f>IF('[1]Cleaned Text Field'!G567="","Unknown",'[1]Cleaned Text Field'!G567)</f>
        <v>North</v>
      </c>
      <c r="H567" t="str">
        <f>PROPER(TRIM([1]raw_orders!H567))</f>
        <v>Delhi</v>
      </c>
      <c r="I567" t="str">
        <f>PROPER(TRIM([1]raw_orders!I567))</f>
        <v>New Delhi</v>
      </c>
      <c r="J567" t="str">
        <f>PROPER(TRIM([1]raw_orders!J567))</f>
        <v>Technology</v>
      </c>
      <c r="K567" t="str">
        <f>PROPER(TRIM([1]raw_orders!K567))</f>
        <v>Phones</v>
      </c>
      <c r="L567" t="s">
        <v>1735</v>
      </c>
      <c r="M567" t="str">
        <f>IF('[1]Cleaned Text Field'!M567="","Unknown",'[1]Cleaned Text Field'!M567)</f>
        <v>Standard Class</v>
      </c>
      <c r="N567">
        <f>IF('[1]Cleaned Text Field'!N567="",0,'[1]Cleaned Text Field'!N567)</f>
        <v>6</v>
      </c>
      <c r="O567">
        <v>1921.86</v>
      </c>
      <c r="P567" s="5">
        <f>IF('[1]Cleaned Text Field'!P567="",0,'[1]Cleaned Text Field'!P567)</f>
        <v>0.2</v>
      </c>
      <c r="Q567">
        <v>9224.93</v>
      </c>
      <c r="R567">
        <v>7005.2</v>
      </c>
      <c r="S567">
        <v>2219.73</v>
      </c>
      <c r="T567" t="str">
        <f>PROPER(TRIM([1]raw_orders!T567))</f>
        <v>Refunded</v>
      </c>
      <c r="U567" t="str">
        <f>PROPER(TRIM([1]raw_orders!U567))</f>
        <v>Cancelled</v>
      </c>
      <c r="V567" s="6">
        <f t="shared" si="64"/>
        <v>0.24062296407669218</v>
      </c>
      <c r="W567" t="str">
        <f t="shared" si="65"/>
        <v>August</v>
      </c>
      <c r="X567">
        <f t="shared" si="66"/>
        <v>2025</v>
      </c>
      <c r="Y567">
        <f t="shared" si="67"/>
        <v>6</v>
      </c>
      <c r="Z567" s="7">
        <f t="shared" si="68"/>
        <v>0.2</v>
      </c>
      <c r="AA567">
        <f t="shared" si="69"/>
        <v>9224.9279999999999</v>
      </c>
      <c r="AB567">
        <f t="shared" si="70"/>
        <v>2219.7300000000005</v>
      </c>
      <c r="AC567" t="str">
        <f t="shared" si="71"/>
        <v>Clean</v>
      </c>
    </row>
    <row r="568" spans="1:29">
      <c r="A568" t="s">
        <v>1736</v>
      </c>
      <c r="B568" s="4">
        <v>45515</v>
      </c>
      <c r="C568" s="4">
        <v>45523</v>
      </c>
      <c r="D568" t="s">
        <v>1737</v>
      </c>
      <c r="E568" t="str">
        <f>PROPER(TRIM([1]raw_orders!E568))</f>
        <v>Sneha Kapoor</v>
      </c>
      <c r="F568" t="str">
        <f>PROPER(TRIM([1]raw_orders!F568))</f>
        <v>Small Business</v>
      </c>
      <c r="G568" t="str">
        <f>IF('[1]Cleaned Text Field'!G568="","Unknown",'[1]Cleaned Text Field'!G568)</f>
        <v>West</v>
      </c>
      <c r="H568" t="str">
        <f>PROPER(TRIM([1]raw_orders!H568))</f>
        <v>Maharashtra</v>
      </c>
      <c r="I568" t="str">
        <f>PROPER(TRIM([1]raw_orders!I568))</f>
        <v>Mumbai</v>
      </c>
      <c r="J568" t="str">
        <f>PROPER(TRIM([1]raw_orders!J568))</f>
        <v>Office Supplies</v>
      </c>
      <c r="K568" t="str">
        <f>PROPER(TRIM([1]raw_orders!K568))</f>
        <v>Paper</v>
      </c>
      <c r="L568" t="s">
        <v>1738</v>
      </c>
      <c r="M568" t="str">
        <f>IF('[1]Cleaned Text Field'!M568="","Unknown",'[1]Cleaned Text Field'!M568)</f>
        <v>Same Day</v>
      </c>
      <c r="N568">
        <f>IF('[1]Cleaned Text Field'!N568="",0,'[1]Cleaned Text Field'!N568)</f>
        <v>2</v>
      </c>
      <c r="O568">
        <v>2617.89</v>
      </c>
      <c r="P568" s="5">
        <f>IF('[1]Cleaned Text Field'!P568="",0,'[1]Cleaned Text Field'!P568)</f>
        <v>0.1</v>
      </c>
      <c r="Q568">
        <v>4712.2</v>
      </c>
      <c r="R568">
        <v>3851.91</v>
      </c>
      <c r="S568">
        <v>860.29</v>
      </c>
      <c r="T568" t="str">
        <f>PROPER(TRIM([1]raw_orders!T568))</f>
        <v>Failed</v>
      </c>
      <c r="U568" t="str">
        <f>PROPER(TRIM([1]raw_orders!U568))</f>
        <v>Returned</v>
      </c>
      <c r="V568" s="6">
        <f t="shared" si="64"/>
        <v>0.18256652943423454</v>
      </c>
      <c r="W568" t="str">
        <f t="shared" si="65"/>
        <v>August</v>
      </c>
      <c r="X568">
        <f t="shared" si="66"/>
        <v>2024</v>
      </c>
      <c r="Y568">
        <f t="shared" si="67"/>
        <v>8</v>
      </c>
      <c r="Z568" s="7">
        <f t="shared" si="68"/>
        <v>0.1</v>
      </c>
      <c r="AA568">
        <f t="shared" si="69"/>
        <v>4712.2020000000002</v>
      </c>
      <c r="AB568">
        <f t="shared" si="70"/>
        <v>860.29</v>
      </c>
      <c r="AC568" t="str">
        <f t="shared" si="71"/>
        <v>Clean</v>
      </c>
    </row>
    <row r="569" spans="1:29">
      <c r="A569" t="s">
        <v>1739</v>
      </c>
      <c r="B569" s="4">
        <v>45328</v>
      </c>
      <c r="C569" s="4">
        <v>45567</v>
      </c>
      <c r="D569" t="s">
        <v>1740</v>
      </c>
      <c r="E569" t="str">
        <f>PROPER(TRIM([1]raw_orders!E569))</f>
        <v>Arjun Bose</v>
      </c>
      <c r="F569" t="str">
        <f>PROPER(TRIM([1]raw_orders!F569))</f>
        <v>Home Office</v>
      </c>
      <c r="G569" t="str">
        <f>IF('[1]Cleaned Text Field'!G569="","Unknown",'[1]Cleaned Text Field'!G569)</f>
        <v>North</v>
      </c>
      <c r="H569" t="str">
        <f>PROPER(TRIM([1]raw_orders!H569))</f>
        <v>Uttar Pradesh</v>
      </c>
      <c r="I569" t="str">
        <f>PROPER(TRIM([1]raw_orders!I569))</f>
        <v>Noida</v>
      </c>
      <c r="J569" t="str">
        <f>PROPER(TRIM([1]raw_orders!J569))</f>
        <v>Furniture</v>
      </c>
      <c r="K569" t="str">
        <f>PROPER(TRIM([1]raw_orders!K569))</f>
        <v>Furnishings</v>
      </c>
      <c r="L569" t="s">
        <v>539</v>
      </c>
      <c r="M569" t="str">
        <f>IF('[1]Cleaned Text Field'!M569="","Unknown",'[1]Cleaned Text Field'!M569)</f>
        <v>Same Day</v>
      </c>
      <c r="N569">
        <f>IF('[1]Cleaned Text Field'!N569="",0,'[1]Cleaned Text Field'!N569)</f>
        <v>1</v>
      </c>
      <c r="O569">
        <v>1374.06</v>
      </c>
      <c r="P569" s="5">
        <f>IF('[1]Cleaned Text Field'!P569="",0,'[1]Cleaned Text Field'!P569)</f>
        <v>0.05</v>
      </c>
      <c r="Q569">
        <v>1305.3599999999999</v>
      </c>
      <c r="R569">
        <v>731.89</v>
      </c>
      <c r="S569">
        <v>573.47</v>
      </c>
      <c r="T569" t="str">
        <f>PROPER(TRIM([1]raw_orders!T569))</f>
        <v>Paid</v>
      </c>
      <c r="U569" t="str">
        <f>PROPER(TRIM([1]raw_orders!U569))</f>
        <v>Completed</v>
      </c>
      <c r="V569" s="6">
        <f t="shared" si="64"/>
        <v>0.43931942146227865</v>
      </c>
      <c r="W569" t="str">
        <f t="shared" si="65"/>
        <v>February</v>
      </c>
      <c r="X569">
        <f t="shared" si="66"/>
        <v>2024</v>
      </c>
      <c r="Y569">
        <f t="shared" si="67"/>
        <v>239</v>
      </c>
      <c r="Z569" s="7">
        <f t="shared" si="68"/>
        <v>0.05</v>
      </c>
      <c r="AA569">
        <f t="shared" si="69"/>
        <v>1305.357</v>
      </c>
      <c r="AB569">
        <f t="shared" si="70"/>
        <v>573.46999999999991</v>
      </c>
      <c r="AC569" t="str">
        <f t="shared" si="71"/>
        <v>Clean</v>
      </c>
    </row>
    <row r="570" spans="1:29">
      <c r="A570" t="s">
        <v>1741</v>
      </c>
      <c r="B570" s="4">
        <v>45312</v>
      </c>
      <c r="C570" s="4">
        <v>45315</v>
      </c>
      <c r="D570" t="s">
        <v>1742</v>
      </c>
      <c r="E570" t="str">
        <f>PROPER(TRIM([1]raw_orders!E570))</f>
        <v>Kabir Singh</v>
      </c>
      <c r="F570" t="str">
        <f>PROPER(TRIM([1]raw_orders!F570))</f>
        <v>Corporate</v>
      </c>
      <c r="G570" t="str">
        <f>IF('[1]Cleaned Text Field'!G570="","Unknown",'[1]Cleaned Text Field'!G570)</f>
        <v>North</v>
      </c>
      <c r="H570" t="str">
        <f>PROPER(TRIM([1]raw_orders!H570))</f>
        <v>Punjab</v>
      </c>
      <c r="I570" t="str">
        <f>PROPER(TRIM([1]raw_orders!I570))</f>
        <v>Ludhiana</v>
      </c>
      <c r="J570" t="str">
        <f>PROPER(TRIM([1]raw_orders!J570))</f>
        <v>Technology</v>
      </c>
      <c r="K570" t="str">
        <f>PROPER(TRIM([1]raw_orders!K570))</f>
        <v>Machines</v>
      </c>
      <c r="L570" t="s">
        <v>1743</v>
      </c>
      <c r="M570" t="str">
        <f>IF('[1]Cleaned Text Field'!M570="","Unknown",'[1]Cleaned Text Field'!M570)</f>
        <v>Same Day</v>
      </c>
      <c r="N570">
        <f>IF('[1]Cleaned Text Field'!N570="",0,'[1]Cleaned Text Field'!N570)</f>
        <v>1</v>
      </c>
      <c r="O570">
        <v>3806.3</v>
      </c>
      <c r="P570" s="5">
        <f>IF('[1]Cleaned Text Field'!P570="",0,'[1]Cleaned Text Field'!P570)</f>
        <v>0.25</v>
      </c>
      <c r="Q570">
        <v>2854.73</v>
      </c>
      <c r="R570">
        <v>1968.12</v>
      </c>
      <c r="S570">
        <v>886.61</v>
      </c>
      <c r="T570" t="str">
        <f>PROPER(TRIM([1]raw_orders!T570))</f>
        <v>Paid</v>
      </c>
      <c r="U570" t="str">
        <f>PROPER(TRIM([1]raw_orders!U570))</f>
        <v>Completed</v>
      </c>
      <c r="V570" s="6">
        <f t="shared" si="64"/>
        <v>0.31057578124726332</v>
      </c>
      <c r="W570" t="str">
        <f t="shared" si="65"/>
        <v>January</v>
      </c>
      <c r="X570">
        <f t="shared" si="66"/>
        <v>2024</v>
      </c>
      <c r="Y570">
        <f t="shared" si="67"/>
        <v>3</v>
      </c>
      <c r="Z570" s="7">
        <f t="shared" si="68"/>
        <v>0.25</v>
      </c>
      <c r="AA570">
        <f t="shared" si="69"/>
        <v>2854.7250000000004</v>
      </c>
      <c r="AB570">
        <f t="shared" si="70"/>
        <v>886.61000000000013</v>
      </c>
      <c r="AC570" t="str">
        <f t="shared" si="71"/>
        <v>Clean</v>
      </c>
    </row>
    <row r="571" spans="1:29">
      <c r="A571" t="s">
        <v>1744</v>
      </c>
      <c r="B571" s="4">
        <v>45908</v>
      </c>
      <c r="C571" s="4">
        <v>45910</v>
      </c>
      <c r="D571" t="s">
        <v>1745</v>
      </c>
      <c r="E571" t="str">
        <f>PROPER(TRIM([1]raw_orders!E571))</f>
        <v>Rahul Verma</v>
      </c>
      <c r="F571" t="str">
        <f>PROPER(TRIM([1]raw_orders!F571))</f>
        <v>Home Office</v>
      </c>
      <c r="G571" t="str">
        <f>IF('[1]Cleaned Text Field'!G571="","Unknown",'[1]Cleaned Text Field'!G571)</f>
        <v>West</v>
      </c>
      <c r="H571" t="str">
        <f>PROPER(TRIM([1]raw_orders!H571))</f>
        <v>Maharashtra</v>
      </c>
      <c r="I571" t="str">
        <f>PROPER(TRIM([1]raw_orders!I571))</f>
        <v>Mumbai</v>
      </c>
      <c r="J571" t="str">
        <f>PROPER(TRIM([1]raw_orders!J571))</f>
        <v>Furniture</v>
      </c>
      <c r="K571" t="str">
        <f>PROPER(TRIM([1]raw_orders!K571))</f>
        <v>Furnishings</v>
      </c>
      <c r="L571" t="s">
        <v>1746</v>
      </c>
      <c r="M571" t="str">
        <f>IF('[1]Cleaned Text Field'!M571="","Unknown",'[1]Cleaned Text Field'!M571)</f>
        <v>Standard Class</v>
      </c>
      <c r="N571">
        <f>IF('[1]Cleaned Text Field'!N571="",0,'[1]Cleaned Text Field'!N571)</f>
        <v>6</v>
      </c>
      <c r="O571">
        <v>3251.17</v>
      </c>
      <c r="P571" s="5">
        <f>IF('[1]Cleaned Text Field'!P571="",0,'[1]Cleaned Text Field'!P571)</f>
        <v>0.25</v>
      </c>
      <c r="Q571">
        <v>14630.26</v>
      </c>
      <c r="R571">
        <v>11906.36</v>
      </c>
      <c r="S571">
        <v>2723.9</v>
      </c>
      <c r="T571" t="str">
        <f>PROPER(TRIM([1]raw_orders!T571))</f>
        <v>Refunded</v>
      </c>
      <c r="U571" t="str">
        <f>PROPER(TRIM([1]raw_orders!U571))</f>
        <v>Returned</v>
      </c>
      <c r="V571" s="6">
        <f t="shared" si="64"/>
        <v>0.18618261056194491</v>
      </c>
      <c r="W571" t="str">
        <f t="shared" si="65"/>
        <v>September</v>
      </c>
      <c r="X571">
        <f t="shared" si="66"/>
        <v>2025</v>
      </c>
      <c r="Y571">
        <f t="shared" si="67"/>
        <v>2</v>
      </c>
      <c r="Z571" s="7">
        <f t="shared" si="68"/>
        <v>0.25</v>
      </c>
      <c r="AA571">
        <f t="shared" si="69"/>
        <v>14630.264999999999</v>
      </c>
      <c r="AB571">
        <f t="shared" si="70"/>
        <v>2723.8999999999996</v>
      </c>
      <c r="AC571" t="str">
        <f t="shared" si="71"/>
        <v>Clean</v>
      </c>
    </row>
    <row r="572" spans="1:29">
      <c r="A572" t="s">
        <v>1747</v>
      </c>
      <c r="B572" s="4">
        <v>45887</v>
      </c>
      <c r="C572" s="4">
        <v>45891</v>
      </c>
      <c r="D572" t="s">
        <v>1748</v>
      </c>
      <c r="E572" t="str">
        <f>PROPER(TRIM([1]raw_orders!E572))</f>
        <v>Arjun Bose</v>
      </c>
      <c r="F572" t="str">
        <f>PROPER(TRIM([1]raw_orders!F572))</f>
        <v>Consumer</v>
      </c>
      <c r="G572" t="str">
        <f>IF('[1]Cleaned Text Field'!G572="","Unknown",'[1]Cleaned Text Field'!G572)</f>
        <v>East</v>
      </c>
      <c r="H572" t="str">
        <f>PROPER(TRIM([1]raw_orders!H572))</f>
        <v>Jharkhand</v>
      </c>
      <c r="I572" t="str">
        <f>PROPER(TRIM([1]raw_orders!I572))</f>
        <v>Ranchi</v>
      </c>
      <c r="J572" t="str">
        <f>PROPER(TRIM([1]raw_orders!J572))</f>
        <v>Furniture</v>
      </c>
      <c r="K572" t="str">
        <f>PROPER(TRIM([1]raw_orders!K572))</f>
        <v>Furnishings</v>
      </c>
      <c r="L572" t="s">
        <v>1749</v>
      </c>
      <c r="M572" t="str">
        <f>IF('[1]Cleaned Text Field'!M572="","Unknown",'[1]Cleaned Text Field'!M572)</f>
        <v>Second Class</v>
      </c>
      <c r="N572">
        <f>IF('[1]Cleaned Text Field'!N572="",0,'[1]Cleaned Text Field'!N572)</f>
        <v>3</v>
      </c>
      <c r="O572">
        <v>3946.44</v>
      </c>
      <c r="P572" s="5">
        <f>IF('[1]Cleaned Text Field'!P572="",0,'[1]Cleaned Text Field'!P572)</f>
        <v>0.25</v>
      </c>
      <c r="Q572">
        <v>8879.49</v>
      </c>
      <c r="R572">
        <v>6344.57</v>
      </c>
      <c r="S572">
        <v>2534.92</v>
      </c>
      <c r="T572" t="str">
        <f>PROPER(TRIM([1]raw_orders!T572))</f>
        <v>Failed</v>
      </c>
      <c r="U572" t="str">
        <f>PROPER(TRIM([1]raw_orders!U572))</f>
        <v>Returned</v>
      </c>
      <c r="V572" s="6">
        <f t="shared" si="64"/>
        <v>0.28548035979543873</v>
      </c>
      <c r="W572" t="str">
        <f t="shared" si="65"/>
        <v>August</v>
      </c>
      <c r="X572">
        <f t="shared" si="66"/>
        <v>2025</v>
      </c>
      <c r="Y572">
        <f t="shared" si="67"/>
        <v>4</v>
      </c>
      <c r="Z572" s="7">
        <f t="shared" si="68"/>
        <v>0.25</v>
      </c>
      <c r="AA572">
        <f t="shared" si="69"/>
        <v>8879.49</v>
      </c>
      <c r="AB572">
        <f t="shared" si="70"/>
        <v>2534.92</v>
      </c>
      <c r="AC572" t="str">
        <f t="shared" si="71"/>
        <v>Clean</v>
      </c>
    </row>
    <row r="573" spans="1:29">
      <c r="A573" t="s">
        <v>1750</v>
      </c>
      <c r="B573" s="4">
        <v>45698</v>
      </c>
      <c r="C573" s="4">
        <v>45702</v>
      </c>
      <c r="D573" t="s">
        <v>1751</v>
      </c>
      <c r="E573" t="str">
        <f>PROPER(TRIM([1]raw_orders!E573))</f>
        <v>Priya Menon</v>
      </c>
      <c r="F573" t="str">
        <f>PROPER(TRIM([1]raw_orders!F573))</f>
        <v>Small Business</v>
      </c>
      <c r="G573" t="str">
        <f>IF('[1]Cleaned Text Field'!G573="","Unknown",'[1]Cleaned Text Field'!G573)</f>
        <v>North</v>
      </c>
      <c r="H573" t="str">
        <f>PROPER(TRIM([1]raw_orders!H573))</f>
        <v>Uttar Pradesh</v>
      </c>
      <c r="I573" t="str">
        <f>PROPER(TRIM([1]raw_orders!I573))</f>
        <v>Noida</v>
      </c>
      <c r="J573" t="str">
        <f>PROPER(TRIM([1]raw_orders!J573))</f>
        <v>Technology</v>
      </c>
      <c r="K573" t="str">
        <f>PROPER(TRIM([1]raw_orders!K573))</f>
        <v>Phones</v>
      </c>
      <c r="L573" t="s">
        <v>1752</v>
      </c>
      <c r="M573" t="str">
        <f>IF('[1]Cleaned Text Field'!M573="","Unknown",'[1]Cleaned Text Field'!M573)</f>
        <v>Unknown</v>
      </c>
      <c r="N573">
        <f>IF('[1]Cleaned Text Field'!N573="",0,'[1]Cleaned Text Field'!N573)</f>
        <v>5</v>
      </c>
      <c r="O573">
        <v>4276.29</v>
      </c>
      <c r="P573" s="5">
        <f>IF('[1]Cleaned Text Field'!P573="",0,'[1]Cleaned Text Field'!P573)</f>
        <v>0</v>
      </c>
      <c r="Q573">
        <v>21381.45</v>
      </c>
      <c r="R573">
        <v>13240.21</v>
      </c>
      <c r="S573">
        <v>8141.24</v>
      </c>
      <c r="T573" t="str">
        <f>PROPER(TRIM([1]raw_orders!T573))</f>
        <v>Failed</v>
      </c>
      <c r="U573" t="str">
        <f>PROPER(TRIM([1]raw_orders!U573))</f>
        <v>Returned</v>
      </c>
      <c r="V573" s="6">
        <f t="shared" si="64"/>
        <v>0.38076182859441243</v>
      </c>
      <c r="W573" t="str">
        <f t="shared" si="65"/>
        <v>February</v>
      </c>
      <c r="X573">
        <f t="shared" si="66"/>
        <v>2025</v>
      </c>
      <c r="Y573">
        <f t="shared" si="67"/>
        <v>4</v>
      </c>
      <c r="Z573" s="7">
        <f t="shared" si="68"/>
        <v>0</v>
      </c>
      <c r="AA573">
        <f t="shared" si="69"/>
        <v>21381.45</v>
      </c>
      <c r="AB573">
        <f t="shared" si="70"/>
        <v>8141.2400000000016</v>
      </c>
      <c r="AC573" t="str">
        <f t="shared" si="71"/>
        <v>Clean</v>
      </c>
    </row>
    <row r="574" spans="1:29">
      <c r="A574" t="s">
        <v>1753</v>
      </c>
      <c r="B574" s="4">
        <v>45293</v>
      </c>
      <c r="C574" s="4">
        <v>45536</v>
      </c>
      <c r="D574" t="s">
        <v>1754</v>
      </c>
      <c r="E574" t="str">
        <f>PROPER(TRIM([1]raw_orders!E574))</f>
        <v>Diya Patel</v>
      </c>
      <c r="F574" t="str">
        <f>PROPER(TRIM([1]raw_orders!F574))</f>
        <v>Corporate</v>
      </c>
      <c r="G574" t="str">
        <f>IF('[1]Cleaned Text Field'!G574="","Unknown",'[1]Cleaned Text Field'!G574)</f>
        <v>North</v>
      </c>
      <c r="H574" t="str">
        <f>PROPER(TRIM([1]raw_orders!H574))</f>
        <v>Delhi</v>
      </c>
      <c r="I574" t="str">
        <f>PROPER(TRIM([1]raw_orders!I574))</f>
        <v>New Delhi</v>
      </c>
      <c r="J574" t="str">
        <f>PROPER(TRIM([1]raw_orders!J574))</f>
        <v>Technology</v>
      </c>
      <c r="K574" t="str">
        <f>PROPER(TRIM([1]raw_orders!K574))</f>
        <v>Phones</v>
      </c>
      <c r="L574" t="s">
        <v>1755</v>
      </c>
      <c r="M574" t="str">
        <f>IF('[1]Cleaned Text Field'!M574="","Unknown",'[1]Cleaned Text Field'!M574)</f>
        <v>Standard Class</v>
      </c>
      <c r="N574">
        <f>IF('[1]Cleaned Text Field'!N574="",0,'[1]Cleaned Text Field'!N574)</f>
        <v>3</v>
      </c>
      <c r="O574">
        <v>739.56</v>
      </c>
      <c r="P574" s="5">
        <f>IF('[1]Cleaned Text Field'!P574="",0,'[1]Cleaned Text Field'!P574)</f>
        <v>0.2</v>
      </c>
      <c r="Q574">
        <v>1774.94</v>
      </c>
      <c r="R574">
        <v>1007.4</v>
      </c>
      <c r="S574">
        <v>767.54</v>
      </c>
      <c r="T574" t="str">
        <f>PROPER(TRIM([1]raw_orders!T574))</f>
        <v>Paid</v>
      </c>
      <c r="U574" t="str">
        <f>PROPER(TRIM([1]raw_orders!U574))</f>
        <v>Completed</v>
      </c>
      <c r="V574" s="6">
        <f t="shared" si="64"/>
        <v>0.43243151881190345</v>
      </c>
      <c r="W574" t="str">
        <f t="shared" si="65"/>
        <v>January</v>
      </c>
      <c r="X574">
        <f t="shared" si="66"/>
        <v>2024</v>
      </c>
      <c r="Y574">
        <f t="shared" si="67"/>
        <v>243</v>
      </c>
      <c r="Z574" s="7">
        <f t="shared" si="68"/>
        <v>0.2</v>
      </c>
      <c r="AA574">
        <f t="shared" si="69"/>
        <v>1774.944</v>
      </c>
      <c r="AB574">
        <f t="shared" si="70"/>
        <v>767.54000000000008</v>
      </c>
      <c r="AC574" t="str">
        <f t="shared" si="71"/>
        <v>Clean</v>
      </c>
    </row>
    <row r="575" spans="1:29">
      <c r="A575" t="s">
        <v>1756</v>
      </c>
      <c r="B575" s="4">
        <v>45922</v>
      </c>
      <c r="C575" s="4">
        <v>45926</v>
      </c>
      <c r="D575" t="s">
        <v>1757</v>
      </c>
      <c r="E575" t="str">
        <f>PROPER(TRIM([1]raw_orders!E575))</f>
        <v>Isha Nair</v>
      </c>
      <c r="F575" t="str">
        <f>PROPER(TRIM([1]raw_orders!F575))</f>
        <v>Consumer</v>
      </c>
      <c r="G575" t="str">
        <f>IF('[1]Cleaned Text Field'!G575="","Unknown",'[1]Cleaned Text Field'!G575)</f>
        <v>South</v>
      </c>
      <c r="H575" t="str">
        <f>PROPER(TRIM([1]raw_orders!H575))</f>
        <v>Andhra Pradesh</v>
      </c>
      <c r="I575" t="str">
        <f>PROPER(TRIM([1]raw_orders!I575))</f>
        <v>Vijayawada</v>
      </c>
      <c r="J575" t="str">
        <f>PROPER(TRIM([1]raw_orders!J575))</f>
        <v>Technology</v>
      </c>
      <c r="K575" t="str">
        <f>PROPER(TRIM([1]raw_orders!K575))</f>
        <v>Phones</v>
      </c>
      <c r="L575" t="s">
        <v>1758</v>
      </c>
      <c r="M575" t="str">
        <f>IF('[1]Cleaned Text Field'!M575="","Unknown",'[1]Cleaned Text Field'!M575)</f>
        <v>Standard Class</v>
      </c>
      <c r="N575">
        <f>IF('[1]Cleaned Text Field'!N575="",0,'[1]Cleaned Text Field'!N575)</f>
        <v>1</v>
      </c>
      <c r="O575">
        <v>573.65</v>
      </c>
      <c r="P575" s="5">
        <f>IF('[1]Cleaned Text Field'!P575="",0,'[1]Cleaned Text Field'!P575)</f>
        <v>0</v>
      </c>
      <c r="Q575">
        <v>573.65</v>
      </c>
      <c r="R575">
        <v>322.67</v>
      </c>
      <c r="S575">
        <v>250.98</v>
      </c>
      <c r="T575" t="str">
        <f>PROPER(TRIM([1]raw_orders!T575))</f>
        <v>Paid</v>
      </c>
      <c r="U575" t="str">
        <f>PROPER(TRIM([1]raw_orders!U575))</f>
        <v>Completed</v>
      </c>
      <c r="V575" s="6">
        <f t="shared" si="64"/>
        <v>0.43751416368866031</v>
      </c>
      <c r="W575" t="str">
        <f t="shared" si="65"/>
        <v>September</v>
      </c>
      <c r="X575">
        <f t="shared" si="66"/>
        <v>2025</v>
      </c>
      <c r="Y575">
        <f t="shared" si="67"/>
        <v>4</v>
      </c>
      <c r="Z575" s="7">
        <f t="shared" si="68"/>
        <v>0</v>
      </c>
      <c r="AA575">
        <f t="shared" si="69"/>
        <v>573.65</v>
      </c>
      <c r="AB575">
        <f t="shared" si="70"/>
        <v>250.97999999999996</v>
      </c>
      <c r="AC575" t="str">
        <f t="shared" si="71"/>
        <v>Clean</v>
      </c>
    </row>
    <row r="576" spans="1:29">
      <c r="A576" t="s">
        <v>1759</v>
      </c>
      <c r="B576" s="4">
        <v>45342</v>
      </c>
      <c r="C576" s="4">
        <v>45347</v>
      </c>
      <c r="D576" t="s">
        <v>743</v>
      </c>
      <c r="E576" t="str">
        <f>PROPER(TRIM([1]raw_orders!E576))</f>
        <v>Diya Patel</v>
      </c>
      <c r="F576" t="str">
        <f>PROPER(TRIM([1]raw_orders!F576))</f>
        <v>Home Office</v>
      </c>
      <c r="G576" t="str">
        <f>IF('[1]Cleaned Text Field'!G576="","Unknown",'[1]Cleaned Text Field'!G576)</f>
        <v>North</v>
      </c>
      <c r="H576" t="str">
        <f>PROPER(TRIM([1]raw_orders!H576))</f>
        <v>Punjab</v>
      </c>
      <c r="I576" t="str">
        <f>PROPER(TRIM([1]raw_orders!I576))</f>
        <v>Ludhiana</v>
      </c>
      <c r="J576" t="str">
        <f>PROPER(TRIM([1]raw_orders!J576))</f>
        <v>Technology</v>
      </c>
      <c r="K576" t="str">
        <f>PROPER(TRIM([1]raw_orders!K576))</f>
        <v>Machines</v>
      </c>
      <c r="L576" t="s">
        <v>1760</v>
      </c>
      <c r="M576" t="str">
        <f>IF('[1]Cleaned Text Field'!M576="","Unknown",'[1]Cleaned Text Field'!M576)</f>
        <v>Standard Class</v>
      </c>
      <c r="N576">
        <f>IF('[1]Cleaned Text Field'!N576="",0,'[1]Cleaned Text Field'!N576)</f>
        <v>4</v>
      </c>
      <c r="O576">
        <v>1355.8</v>
      </c>
      <c r="P576" s="5">
        <f>IF('[1]Cleaned Text Field'!P576="",0,'[1]Cleaned Text Field'!P576)</f>
        <v>0</v>
      </c>
      <c r="Q576">
        <v>5423.2</v>
      </c>
      <c r="R576">
        <v>4072.44</v>
      </c>
      <c r="S576">
        <v>1350.76</v>
      </c>
      <c r="T576" t="str">
        <f>PROPER(TRIM([1]raw_orders!T576))</f>
        <v>Paid</v>
      </c>
      <c r="U576" t="str">
        <f>PROPER(TRIM([1]raw_orders!U576))</f>
        <v>Completed</v>
      </c>
      <c r="V576" s="6">
        <f t="shared" si="64"/>
        <v>0.24907065938929046</v>
      </c>
      <c r="W576" t="str">
        <f t="shared" si="65"/>
        <v>February</v>
      </c>
      <c r="X576">
        <f t="shared" si="66"/>
        <v>2024</v>
      </c>
      <c r="Y576">
        <f t="shared" si="67"/>
        <v>5</v>
      </c>
      <c r="Z576" s="7">
        <f t="shared" si="68"/>
        <v>0</v>
      </c>
      <c r="AA576">
        <f t="shared" si="69"/>
        <v>5423.2</v>
      </c>
      <c r="AB576">
        <f t="shared" si="70"/>
        <v>1350.7599999999998</v>
      </c>
      <c r="AC576" t="str">
        <f t="shared" si="71"/>
        <v>Clean</v>
      </c>
    </row>
    <row r="577" spans="1:29">
      <c r="A577" t="s">
        <v>1761</v>
      </c>
      <c r="B577" s="4">
        <v>45727</v>
      </c>
      <c r="C577" s="4">
        <v>45730</v>
      </c>
      <c r="D577" t="s">
        <v>1762</v>
      </c>
      <c r="E577" t="str">
        <f>PROPER(TRIM([1]raw_orders!E577))</f>
        <v>Sneha Kapoor</v>
      </c>
      <c r="F577" t="str">
        <f>PROPER(TRIM([1]raw_orders!F577))</f>
        <v>Home Office</v>
      </c>
      <c r="G577" t="str">
        <f>IF('[1]Cleaned Text Field'!G577="","Unknown",'[1]Cleaned Text Field'!G577)</f>
        <v>South</v>
      </c>
      <c r="H577" t="str">
        <f>PROPER(TRIM([1]raw_orders!H577))</f>
        <v>Kerala</v>
      </c>
      <c r="I577" t="str">
        <f>PROPER(TRIM([1]raw_orders!I577))</f>
        <v>Kochi</v>
      </c>
      <c r="J577" t="str">
        <f>PROPER(TRIM([1]raw_orders!J577))</f>
        <v>Furniture</v>
      </c>
      <c r="K577" t="str">
        <f>PROPER(TRIM([1]raw_orders!K577))</f>
        <v>Furnishings</v>
      </c>
      <c r="L577" t="s">
        <v>1763</v>
      </c>
      <c r="M577" t="str">
        <f>IF('[1]Cleaned Text Field'!M577="","Unknown",'[1]Cleaned Text Field'!M577)</f>
        <v>Same Day</v>
      </c>
      <c r="N577">
        <f>IF('[1]Cleaned Text Field'!N577="",0,'[1]Cleaned Text Field'!N577)</f>
        <v>4</v>
      </c>
      <c r="O577">
        <v>1244.82</v>
      </c>
      <c r="P577" s="5">
        <f>IF('[1]Cleaned Text Field'!P577="",0,'[1]Cleaned Text Field'!P577)</f>
        <v>0.2</v>
      </c>
      <c r="Q577">
        <v>3983.42</v>
      </c>
      <c r="R577">
        <v>3174.91</v>
      </c>
      <c r="S577">
        <v>808.51</v>
      </c>
      <c r="T577" t="str">
        <f>PROPER(TRIM([1]raw_orders!T577))</f>
        <v>Failed</v>
      </c>
      <c r="U577" t="str">
        <f>PROPER(TRIM([1]raw_orders!U577))</f>
        <v>Returned</v>
      </c>
      <c r="V577" s="6">
        <f t="shared" si="64"/>
        <v>0.20296880569962494</v>
      </c>
      <c r="W577" t="str">
        <f t="shared" si="65"/>
        <v>March</v>
      </c>
      <c r="X577">
        <f t="shared" si="66"/>
        <v>2025</v>
      </c>
      <c r="Y577">
        <f t="shared" si="67"/>
        <v>3</v>
      </c>
      <c r="Z577" s="7">
        <f t="shared" si="68"/>
        <v>0.2</v>
      </c>
      <c r="AA577">
        <f t="shared" si="69"/>
        <v>3983.424</v>
      </c>
      <c r="AB577">
        <f t="shared" si="70"/>
        <v>808.51000000000022</v>
      </c>
      <c r="AC577" t="str">
        <f t="shared" si="71"/>
        <v>Clean</v>
      </c>
    </row>
    <row r="578" spans="1:29">
      <c r="A578" t="s">
        <v>1764</v>
      </c>
      <c r="B578" s="4">
        <v>45339</v>
      </c>
      <c r="C578" s="4">
        <v>45345</v>
      </c>
      <c r="D578" t="s">
        <v>1765</v>
      </c>
      <c r="E578" t="str">
        <f>PROPER(TRIM([1]raw_orders!E578))</f>
        <v>Rohan Mehta</v>
      </c>
      <c r="F578" t="str">
        <f>PROPER(TRIM([1]raw_orders!F578))</f>
        <v>Home Office</v>
      </c>
      <c r="G578" t="str">
        <f>IF('[1]Cleaned Text Field'!G578="","Unknown",'[1]Cleaned Text Field'!G578)</f>
        <v>Unknown</v>
      </c>
      <c r="H578" t="str">
        <f>PROPER(TRIM([1]raw_orders!H578))</f>
        <v>Bihar</v>
      </c>
      <c r="I578" t="str">
        <f>PROPER(TRIM([1]raw_orders!I578))</f>
        <v>Patna</v>
      </c>
      <c r="J578" t="str">
        <f>PROPER(TRIM([1]raw_orders!J578))</f>
        <v>Office Supplies</v>
      </c>
      <c r="K578" t="str">
        <f>PROPER(TRIM([1]raw_orders!K578))</f>
        <v>Binders</v>
      </c>
      <c r="L578" t="s">
        <v>1766</v>
      </c>
      <c r="M578" t="str">
        <f>IF('[1]Cleaned Text Field'!M578="","Unknown",'[1]Cleaned Text Field'!M578)</f>
        <v>Standard Class</v>
      </c>
      <c r="N578">
        <f>IF('[1]Cleaned Text Field'!N578="",0,'[1]Cleaned Text Field'!N578)</f>
        <v>9</v>
      </c>
      <c r="O578">
        <v>2614.46</v>
      </c>
      <c r="P578" s="5">
        <f>IF('[1]Cleaned Text Field'!P578="",0,'[1]Cleaned Text Field'!P578)</f>
        <v>0</v>
      </c>
      <c r="Q578">
        <v>23530.14</v>
      </c>
      <c r="R578">
        <v>19537.79</v>
      </c>
      <c r="S578">
        <v>3992.35</v>
      </c>
      <c r="T578" t="str">
        <f>PROPER(TRIM([1]raw_orders!T578))</f>
        <v>Refunded</v>
      </c>
      <c r="U578" t="str">
        <f>PROPER(TRIM([1]raw_orders!U578))</f>
        <v>Returned</v>
      </c>
      <c r="V578" s="6">
        <f t="shared" si="64"/>
        <v>0.16966962372514571</v>
      </c>
      <c r="W578" t="str">
        <f t="shared" si="65"/>
        <v>February</v>
      </c>
      <c r="X578">
        <f t="shared" si="66"/>
        <v>2024</v>
      </c>
      <c r="Y578">
        <f t="shared" si="67"/>
        <v>6</v>
      </c>
      <c r="Z578" s="7">
        <f t="shared" si="68"/>
        <v>0</v>
      </c>
      <c r="AA578">
        <f t="shared" si="69"/>
        <v>23530.14</v>
      </c>
      <c r="AB578">
        <f t="shared" si="70"/>
        <v>3992.3499999999985</v>
      </c>
      <c r="AC578" t="str">
        <f t="shared" si="71"/>
        <v>Clean</v>
      </c>
    </row>
    <row r="579" spans="1:29">
      <c r="A579" t="s">
        <v>1767</v>
      </c>
      <c r="B579" s="4">
        <v>45897</v>
      </c>
      <c r="C579" s="4">
        <v>45903</v>
      </c>
      <c r="D579" t="s">
        <v>1768</v>
      </c>
      <c r="E579" t="str">
        <f>PROPER(TRIM([1]raw_orders!E579))</f>
        <v>Priya Menon</v>
      </c>
      <c r="F579" t="str">
        <f>PROPER(TRIM([1]raw_orders!F579))</f>
        <v>Corporate</v>
      </c>
      <c r="G579" t="str">
        <f>IF('[1]Cleaned Text Field'!G579="","Unknown",'[1]Cleaned Text Field'!G579)</f>
        <v>West</v>
      </c>
      <c r="H579" t="str">
        <f>PROPER(TRIM([1]raw_orders!H579))</f>
        <v>Madhya Pradesh</v>
      </c>
      <c r="I579" t="str">
        <f>PROPER(TRIM([1]raw_orders!I579))</f>
        <v>Indore</v>
      </c>
      <c r="J579" t="str">
        <f>PROPER(TRIM([1]raw_orders!J579))</f>
        <v>Furniture</v>
      </c>
      <c r="K579" t="str">
        <f>PROPER(TRIM([1]raw_orders!K579))</f>
        <v>Furnishings</v>
      </c>
      <c r="L579" t="s">
        <v>1769</v>
      </c>
      <c r="M579" t="str">
        <f>IF('[1]Cleaned Text Field'!M579="","Unknown",'[1]Cleaned Text Field'!M579)</f>
        <v>Standard Class</v>
      </c>
      <c r="N579">
        <f>IF('[1]Cleaned Text Field'!N579="",0,'[1]Cleaned Text Field'!N579)</f>
        <v>7</v>
      </c>
      <c r="O579">
        <v>268.45</v>
      </c>
      <c r="P579" s="5">
        <f>IF('[1]Cleaned Text Field'!P579="",0,'[1]Cleaned Text Field'!P579)</f>
        <v>0</v>
      </c>
      <c r="Q579">
        <v>1879.15</v>
      </c>
      <c r="R579">
        <v>1134.9000000000001</v>
      </c>
      <c r="S579">
        <v>744.25</v>
      </c>
      <c r="T579" t="str">
        <f>PROPER(TRIM([1]raw_orders!T579))</f>
        <v>Paid</v>
      </c>
      <c r="U579" t="str">
        <f>PROPER(TRIM([1]raw_orders!U579))</f>
        <v>Completed</v>
      </c>
      <c r="V579" s="6">
        <f t="shared" ref="V579:V642" si="72">IF(Q579=0,0,S579/Q579)</f>
        <v>0.3960567277758561</v>
      </c>
      <c r="W579" t="str">
        <f t="shared" ref="W579:W642" si="73">TEXT(B579,"mmmm")</f>
        <v>August</v>
      </c>
      <c r="X579">
        <f t="shared" ref="X579:X642" si="74">YEAR(B579)</f>
        <v>2025</v>
      </c>
      <c r="Y579">
        <f t="shared" ref="Y579:Y642" si="75">C579-B579</f>
        <v>6</v>
      </c>
      <c r="Z579" s="7">
        <f t="shared" ref="Z579:Z642" si="76">P579</f>
        <v>0</v>
      </c>
      <c r="AA579">
        <f t="shared" ref="AA579:AA642" si="77">N579*O579*(1-P579)</f>
        <v>1879.1499999999999</v>
      </c>
      <c r="AB579">
        <f t="shared" ref="AB579:AB642" si="78">Q579-R579</f>
        <v>744.25</v>
      </c>
      <c r="AC579" t="str">
        <f t="shared" ref="AC579:AC642" si="79">IF(OR(B579="",C579="",AA579&lt;=0),"Invalid",IF(Y579&lt;0,"Warning",IF(Z579&gt;100%,"Warning","Clean")))</f>
        <v>Clean</v>
      </c>
    </row>
    <row r="580" spans="1:29">
      <c r="A580" t="s">
        <v>1770</v>
      </c>
      <c r="B580" s="4">
        <v>45343</v>
      </c>
      <c r="C580" s="4">
        <v>45345</v>
      </c>
      <c r="D580" t="s">
        <v>240</v>
      </c>
      <c r="E580" t="str">
        <f>PROPER(TRIM([1]raw_orders!E580))</f>
        <v>Neha Gupta</v>
      </c>
      <c r="F580" t="str">
        <f>PROPER(TRIM([1]raw_orders!F580))</f>
        <v>Small Business</v>
      </c>
      <c r="G580" t="str">
        <f>IF('[1]Cleaned Text Field'!G580="","Unknown",'[1]Cleaned Text Field'!G580)</f>
        <v>West</v>
      </c>
      <c r="H580" t="str">
        <f>PROPER(TRIM([1]raw_orders!H580))</f>
        <v>Gujarat</v>
      </c>
      <c r="I580" t="str">
        <f>PROPER(TRIM([1]raw_orders!I580))</f>
        <v>Ahmedabad</v>
      </c>
      <c r="J580" t="str">
        <f>PROPER(TRIM([1]raw_orders!J580))</f>
        <v>Technology</v>
      </c>
      <c r="K580" t="str">
        <f>PROPER(TRIM([1]raw_orders!K580))</f>
        <v>Copiers</v>
      </c>
      <c r="L580" t="s">
        <v>1771</v>
      </c>
      <c r="M580" t="str">
        <f>IF('[1]Cleaned Text Field'!M580="","Unknown",'[1]Cleaned Text Field'!M580)</f>
        <v>First Class</v>
      </c>
      <c r="N580">
        <f>IF('[1]Cleaned Text Field'!N580="",0,'[1]Cleaned Text Field'!N580)</f>
        <v>6</v>
      </c>
      <c r="O580">
        <v>2633.65</v>
      </c>
      <c r="P580" s="5">
        <f>IF('[1]Cleaned Text Field'!P580="",0,'[1]Cleaned Text Field'!P580)</f>
        <v>0.05</v>
      </c>
      <c r="Q580">
        <v>15011.81</v>
      </c>
      <c r="R580">
        <v>9660.36</v>
      </c>
      <c r="S580">
        <v>5351.45</v>
      </c>
      <c r="T580" t="str">
        <f>PROPER(TRIM([1]raw_orders!T580))</f>
        <v>Paid</v>
      </c>
      <c r="U580" t="str">
        <f>PROPER(TRIM([1]raw_orders!U580))</f>
        <v>Completed</v>
      </c>
      <c r="V580" s="6">
        <f t="shared" si="72"/>
        <v>0.35648266265027334</v>
      </c>
      <c r="W580" t="str">
        <f t="shared" si="73"/>
        <v>February</v>
      </c>
      <c r="X580">
        <f t="shared" si="74"/>
        <v>2024</v>
      </c>
      <c r="Y580">
        <f t="shared" si="75"/>
        <v>2</v>
      </c>
      <c r="Z580" s="7">
        <f t="shared" si="76"/>
        <v>0.05</v>
      </c>
      <c r="AA580">
        <f t="shared" si="77"/>
        <v>15011.805</v>
      </c>
      <c r="AB580">
        <f t="shared" si="78"/>
        <v>5351.4499999999989</v>
      </c>
      <c r="AC580" t="str">
        <f t="shared" si="79"/>
        <v>Clean</v>
      </c>
    </row>
    <row r="581" spans="1:29">
      <c r="A581" t="s">
        <v>1772</v>
      </c>
      <c r="B581" s="4">
        <v>45462</v>
      </c>
      <c r="C581" s="4">
        <v>45467</v>
      </c>
      <c r="D581" t="s">
        <v>1773</v>
      </c>
      <c r="E581" t="str">
        <f>PROPER(TRIM([1]raw_orders!E581))</f>
        <v>Aarav Sharma</v>
      </c>
      <c r="F581" t="str">
        <f>PROPER(TRIM([1]raw_orders!F581))</f>
        <v>Small Business</v>
      </c>
      <c r="G581" t="str">
        <f>IF('[1]Cleaned Text Field'!G581="","Unknown",'[1]Cleaned Text Field'!G581)</f>
        <v>South</v>
      </c>
      <c r="H581" t="str">
        <f>PROPER(TRIM([1]raw_orders!H581))</f>
        <v>Tamil Nadu</v>
      </c>
      <c r="I581" t="str">
        <f>PROPER(TRIM([1]raw_orders!I581))</f>
        <v>Chennai</v>
      </c>
      <c r="J581" t="str">
        <f>PROPER(TRIM([1]raw_orders!J581))</f>
        <v>Office Supplies</v>
      </c>
      <c r="K581" t="str">
        <f>PROPER(TRIM([1]raw_orders!K581))</f>
        <v>Storage</v>
      </c>
      <c r="L581" t="s">
        <v>1774</v>
      </c>
      <c r="M581" t="str">
        <f>IF('[1]Cleaned Text Field'!M581="","Unknown",'[1]Cleaned Text Field'!M581)</f>
        <v>Same Day</v>
      </c>
      <c r="N581">
        <f>IF('[1]Cleaned Text Field'!N581="",0,'[1]Cleaned Text Field'!N581)</f>
        <v>1</v>
      </c>
      <c r="O581">
        <v>3202.41</v>
      </c>
      <c r="P581" s="5">
        <f>IF('[1]Cleaned Text Field'!P581="",0,'[1]Cleaned Text Field'!P581)</f>
        <v>0</v>
      </c>
      <c r="Q581">
        <v>3202.41</v>
      </c>
      <c r="R581">
        <v>2608.44</v>
      </c>
      <c r="S581">
        <v>593.97</v>
      </c>
      <c r="T581" t="str">
        <f>PROPER(TRIM([1]raw_orders!T581))</f>
        <v>Paid</v>
      </c>
      <c r="U581" t="str">
        <f>PROPER(TRIM([1]raw_orders!U581))</f>
        <v>Completed</v>
      </c>
      <c r="V581" s="6">
        <f t="shared" si="72"/>
        <v>0.185475938433867</v>
      </c>
      <c r="W581" t="str">
        <f t="shared" si="73"/>
        <v>June</v>
      </c>
      <c r="X581">
        <f t="shared" si="74"/>
        <v>2024</v>
      </c>
      <c r="Y581">
        <f t="shared" si="75"/>
        <v>5</v>
      </c>
      <c r="Z581" s="7">
        <f t="shared" si="76"/>
        <v>0</v>
      </c>
      <c r="AA581">
        <f t="shared" si="77"/>
        <v>3202.41</v>
      </c>
      <c r="AB581">
        <f t="shared" si="78"/>
        <v>593.9699999999998</v>
      </c>
      <c r="AC581" t="str">
        <f t="shared" si="79"/>
        <v>Clean</v>
      </c>
    </row>
    <row r="582" spans="1:29">
      <c r="A582" t="s">
        <v>1775</v>
      </c>
      <c r="B582" s="4">
        <v>45811</v>
      </c>
      <c r="C582" s="4">
        <v>45729</v>
      </c>
      <c r="D582" t="s">
        <v>1776</v>
      </c>
      <c r="E582" t="str">
        <f>PROPER(TRIM([1]raw_orders!E582))</f>
        <v>Kabir Singh</v>
      </c>
      <c r="F582" t="str">
        <f>PROPER(TRIM([1]raw_orders!F582))</f>
        <v>Consumer</v>
      </c>
      <c r="G582" t="str">
        <f>IF('[1]Cleaned Text Field'!G582="","Unknown",'[1]Cleaned Text Field'!G582)</f>
        <v>South</v>
      </c>
      <c r="H582" t="str">
        <f>PROPER(TRIM([1]raw_orders!H582))</f>
        <v>Kerala</v>
      </c>
      <c r="I582" t="str">
        <f>PROPER(TRIM([1]raw_orders!I582))</f>
        <v>Kochi</v>
      </c>
      <c r="J582" t="str">
        <f>PROPER(TRIM([1]raw_orders!J582))</f>
        <v>Furniture</v>
      </c>
      <c r="K582" t="str">
        <f>PROPER(TRIM([1]raw_orders!K582))</f>
        <v>Chairs</v>
      </c>
      <c r="L582" t="s">
        <v>1777</v>
      </c>
      <c r="M582" t="str">
        <f>IF('[1]Cleaned Text Field'!M582="","Unknown",'[1]Cleaned Text Field'!M582)</f>
        <v>Standard Class</v>
      </c>
      <c r="N582">
        <f>IF('[1]Cleaned Text Field'!N582="",0,'[1]Cleaned Text Field'!N582)</f>
        <v>3</v>
      </c>
      <c r="O582">
        <v>163.72</v>
      </c>
      <c r="P582" s="5">
        <f>IF('[1]Cleaned Text Field'!P582="",0,'[1]Cleaned Text Field'!P582)</f>
        <v>0.15</v>
      </c>
      <c r="Q582">
        <v>417.49</v>
      </c>
      <c r="R582">
        <v>261.67</v>
      </c>
      <c r="S582">
        <v>155.82</v>
      </c>
      <c r="T582" t="str">
        <f>PROPER(TRIM([1]raw_orders!T582))</f>
        <v>Failed</v>
      </c>
      <c r="U582" t="str">
        <f>PROPER(TRIM([1]raw_orders!U582))</f>
        <v>Returned</v>
      </c>
      <c r="V582" s="6">
        <f t="shared" si="72"/>
        <v>0.37323049653883922</v>
      </c>
      <c r="W582" t="str">
        <f t="shared" si="73"/>
        <v>June</v>
      </c>
      <c r="X582">
        <f t="shared" si="74"/>
        <v>2025</v>
      </c>
      <c r="Y582">
        <f t="shared" si="75"/>
        <v>-82</v>
      </c>
      <c r="Z582" s="7">
        <f t="shared" si="76"/>
        <v>0.15</v>
      </c>
      <c r="AA582">
        <f t="shared" si="77"/>
        <v>417.48599999999999</v>
      </c>
      <c r="AB582">
        <f t="shared" si="78"/>
        <v>155.82</v>
      </c>
      <c r="AC582" t="str">
        <f t="shared" si="79"/>
        <v>Warning</v>
      </c>
    </row>
    <row r="583" spans="1:29">
      <c r="A583" t="s">
        <v>1778</v>
      </c>
      <c r="B583" s="4">
        <v>45878</v>
      </c>
      <c r="C583" s="4">
        <v>45879</v>
      </c>
      <c r="D583" t="s">
        <v>1779</v>
      </c>
      <c r="E583" t="str">
        <f>PROPER(TRIM([1]raw_orders!E583))</f>
        <v>Neha Gupta</v>
      </c>
      <c r="F583" t="str">
        <f>PROPER(TRIM([1]raw_orders!F583))</f>
        <v>Consumer</v>
      </c>
      <c r="G583" t="str">
        <f>IF('[1]Cleaned Text Field'!G583="","Unknown",'[1]Cleaned Text Field'!G583)</f>
        <v>North</v>
      </c>
      <c r="H583" t="str">
        <f>PROPER(TRIM([1]raw_orders!H583))</f>
        <v>Delhi</v>
      </c>
      <c r="I583" t="str">
        <f>PROPER(TRIM([1]raw_orders!I583))</f>
        <v>New Delhi</v>
      </c>
      <c r="J583" t="str">
        <f>PROPER(TRIM([1]raw_orders!J583))</f>
        <v>Office Supplies</v>
      </c>
      <c r="K583" t="str">
        <f>PROPER(TRIM([1]raw_orders!K583))</f>
        <v>Art</v>
      </c>
      <c r="L583" t="s">
        <v>1780</v>
      </c>
      <c r="M583" t="str">
        <f>IF('[1]Cleaned Text Field'!M583="","Unknown",'[1]Cleaned Text Field'!M583)</f>
        <v>Second Class</v>
      </c>
      <c r="N583">
        <f>IF('[1]Cleaned Text Field'!N583="",0,'[1]Cleaned Text Field'!N583)</f>
        <v>4</v>
      </c>
      <c r="O583">
        <v>4080.95</v>
      </c>
      <c r="P583" s="5">
        <f>IF('[1]Cleaned Text Field'!P583="",0,'[1]Cleaned Text Field'!P583)</f>
        <v>0</v>
      </c>
      <c r="Q583">
        <v>16323.8</v>
      </c>
      <c r="R583">
        <v>9965.7900000000009</v>
      </c>
      <c r="S583">
        <v>6358.01</v>
      </c>
      <c r="T583" t="str">
        <f>PROPER(TRIM([1]raw_orders!T583))</f>
        <v>Refunded</v>
      </c>
      <c r="U583" t="str">
        <f>PROPER(TRIM([1]raw_orders!U583))</f>
        <v>Returned</v>
      </c>
      <c r="V583" s="6">
        <f t="shared" si="72"/>
        <v>0.38949325524694006</v>
      </c>
      <c r="W583" t="str">
        <f t="shared" si="73"/>
        <v>August</v>
      </c>
      <c r="X583">
        <f t="shared" si="74"/>
        <v>2025</v>
      </c>
      <c r="Y583">
        <f t="shared" si="75"/>
        <v>1</v>
      </c>
      <c r="Z583" s="7">
        <f t="shared" si="76"/>
        <v>0</v>
      </c>
      <c r="AA583">
        <f t="shared" si="77"/>
        <v>16323.8</v>
      </c>
      <c r="AB583">
        <f t="shared" si="78"/>
        <v>6358.0099999999984</v>
      </c>
      <c r="AC583" t="str">
        <f t="shared" si="79"/>
        <v>Clean</v>
      </c>
    </row>
    <row r="584" spans="1:29">
      <c r="A584" t="s">
        <v>1781</v>
      </c>
      <c r="B584" s="4">
        <v>45580</v>
      </c>
      <c r="C584" s="4">
        <v>45585</v>
      </c>
      <c r="D584" t="s">
        <v>1782</v>
      </c>
      <c r="E584" t="str">
        <f>PROPER(TRIM([1]raw_orders!E584))</f>
        <v>Ananya Rao</v>
      </c>
      <c r="F584" t="str">
        <f>PROPER(TRIM([1]raw_orders!F584))</f>
        <v>Consumer</v>
      </c>
      <c r="G584" t="str">
        <f>IF('[1]Cleaned Text Field'!G584="","Unknown",'[1]Cleaned Text Field'!G584)</f>
        <v>East</v>
      </c>
      <c r="H584" t="str">
        <f>PROPER(TRIM([1]raw_orders!H584))</f>
        <v>Odisha</v>
      </c>
      <c r="I584" t="str">
        <f>PROPER(TRIM([1]raw_orders!I584))</f>
        <v>Bhubaneswar</v>
      </c>
      <c r="J584" t="str">
        <f>PROPER(TRIM([1]raw_orders!J584))</f>
        <v>Office Supplies</v>
      </c>
      <c r="K584" t="str">
        <f>PROPER(TRIM([1]raw_orders!K584))</f>
        <v>Art</v>
      </c>
      <c r="L584" t="s">
        <v>1783</v>
      </c>
      <c r="M584" t="str">
        <f>IF('[1]Cleaned Text Field'!M584="","Unknown",'[1]Cleaned Text Field'!M584)</f>
        <v>First Class</v>
      </c>
      <c r="N584">
        <f>IF('[1]Cleaned Text Field'!N584="",0,'[1]Cleaned Text Field'!N584)</f>
        <v>5</v>
      </c>
      <c r="O584">
        <v>671.24</v>
      </c>
      <c r="P584" s="5">
        <f>IF('[1]Cleaned Text Field'!P584="",0,'[1]Cleaned Text Field'!P584)</f>
        <v>0</v>
      </c>
      <c r="Q584">
        <v>3356.2</v>
      </c>
      <c r="R584">
        <v>2205.7199999999998</v>
      </c>
      <c r="S584">
        <v>1150.48</v>
      </c>
      <c r="T584" t="str">
        <f>PROPER(TRIM([1]raw_orders!T584))</f>
        <v>Pending</v>
      </c>
      <c r="U584" t="str">
        <f>PROPER(TRIM([1]raw_orders!U584))</f>
        <v>Returned</v>
      </c>
      <c r="V584" s="6">
        <f t="shared" si="72"/>
        <v>0.34279244383528995</v>
      </c>
      <c r="W584" t="str">
        <f t="shared" si="73"/>
        <v>October</v>
      </c>
      <c r="X584">
        <f t="shared" si="74"/>
        <v>2024</v>
      </c>
      <c r="Y584">
        <f t="shared" si="75"/>
        <v>5</v>
      </c>
      <c r="Z584" s="7">
        <f t="shared" si="76"/>
        <v>0</v>
      </c>
      <c r="AA584">
        <f t="shared" si="77"/>
        <v>3356.2</v>
      </c>
      <c r="AB584">
        <f t="shared" si="78"/>
        <v>1150.48</v>
      </c>
      <c r="AC584" t="str">
        <f t="shared" si="79"/>
        <v>Clean</v>
      </c>
    </row>
    <row r="585" spans="1:29">
      <c r="A585" t="s">
        <v>1784</v>
      </c>
      <c r="B585" s="4">
        <v>45350</v>
      </c>
      <c r="C585" s="4">
        <v>45350</v>
      </c>
      <c r="D585" t="s">
        <v>1785</v>
      </c>
      <c r="E585" t="str">
        <f>PROPER(TRIM([1]raw_orders!E585))</f>
        <v>Rohan Mehta</v>
      </c>
      <c r="F585" t="str">
        <f>PROPER(TRIM([1]raw_orders!F585))</f>
        <v>Small Business</v>
      </c>
      <c r="G585" t="str">
        <f>IF('[1]Cleaned Text Field'!G585="","Unknown",'[1]Cleaned Text Field'!G585)</f>
        <v>East</v>
      </c>
      <c r="H585" t="str">
        <f>PROPER(TRIM([1]raw_orders!H585))</f>
        <v>West Bengal</v>
      </c>
      <c r="I585" t="str">
        <f>PROPER(TRIM([1]raw_orders!I585))</f>
        <v>Kolkata</v>
      </c>
      <c r="J585" t="str">
        <f>PROPER(TRIM([1]raw_orders!J585))</f>
        <v>Office Supplies</v>
      </c>
      <c r="K585" t="str">
        <f>PROPER(TRIM([1]raw_orders!K585))</f>
        <v>Storage</v>
      </c>
      <c r="L585" t="s">
        <v>1786</v>
      </c>
      <c r="M585" t="str">
        <f>IF('[1]Cleaned Text Field'!M585="","Unknown",'[1]Cleaned Text Field'!M585)</f>
        <v>First Class</v>
      </c>
      <c r="N585">
        <f>IF('[1]Cleaned Text Field'!N585="",0,'[1]Cleaned Text Field'!N585)</f>
        <v>1</v>
      </c>
      <c r="O585">
        <v>2626.84</v>
      </c>
      <c r="P585" s="5">
        <f>IF('[1]Cleaned Text Field'!P585="",0,'[1]Cleaned Text Field'!P585)</f>
        <v>0.2</v>
      </c>
      <c r="Q585">
        <v>2101.4699999999998</v>
      </c>
      <c r="R585">
        <v>1217.83</v>
      </c>
      <c r="S585">
        <v>883.64</v>
      </c>
      <c r="T585" t="str">
        <f>PROPER(TRIM([1]raw_orders!T585))</f>
        <v>Failed</v>
      </c>
      <c r="U585" t="str">
        <f>PROPER(TRIM([1]raw_orders!U585))</f>
        <v>Returned</v>
      </c>
      <c r="V585" s="6">
        <f t="shared" si="72"/>
        <v>0.4204866117527255</v>
      </c>
      <c r="W585" t="str">
        <f t="shared" si="73"/>
        <v>February</v>
      </c>
      <c r="X585">
        <f t="shared" si="74"/>
        <v>2024</v>
      </c>
      <c r="Y585">
        <f t="shared" si="75"/>
        <v>0</v>
      </c>
      <c r="Z585" s="7">
        <f t="shared" si="76"/>
        <v>0.2</v>
      </c>
      <c r="AA585">
        <f t="shared" si="77"/>
        <v>2101.4720000000002</v>
      </c>
      <c r="AB585">
        <f t="shared" si="78"/>
        <v>883.63999999999987</v>
      </c>
      <c r="AC585" t="str">
        <f t="shared" si="79"/>
        <v>Clean</v>
      </c>
    </row>
    <row r="586" spans="1:29">
      <c r="A586" t="s">
        <v>1787</v>
      </c>
      <c r="B586" s="4">
        <v>45508</v>
      </c>
      <c r="C586" s="4">
        <v>45573</v>
      </c>
      <c r="D586" t="s">
        <v>1788</v>
      </c>
      <c r="E586" t="str">
        <f>PROPER(TRIM([1]raw_orders!E586))</f>
        <v>Vikram Iyer</v>
      </c>
      <c r="F586" t="str">
        <f>PROPER(TRIM([1]raw_orders!F586))</f>
        <v>Consumer</v>
      </c>
      <c r="G586" t="str">
        <f>IF('[1]Cleaned Text Field'!G586="","Unknown",'[1]Cleaned Text Field'!G586)</f>
        <v>East</v>
      </c>
      <c r="H586" t="str">
        <f>PROPER(TRIM([1]raw_orders!H586))</f>
        <v>Bihar</v>
      </c>
      <c r="I586" t="str">
        <f>PROPER(TRIM([1]raw_orders!I586))</f>
        <v>Patna</v>
      </c>
      <c r="J586" t="str">
        <f>PROPER(TRIM([1]raw_orders!J586))</f>
        <v>Office Supplies</v>
      </c>
      <c r="K586" t="str">
        <f>PROPER(TRIM([1]raw_orders!K586))</f>
        <v>Art</v>
      </c>
      <c r="L586" t="s">
        <v>1789</v>
      </c>
      <c r="M586" t="str">
        <f>IF('[1]Cleaned Text Field'!M586="","Unknown",'[1]Cleaned Text Field'!M586)</f>
        <v>Same Day</v>
      </c>
      <c r="N586">
        <f>IF('[1]Cleaned Text Field'!N586="",0,'[1]Cleaned Text Field'!N586)</f>
        <v>1</v>
      </c>
      <c r="O586">
        <v>984.93</v>
      </c>
      <c r="P586" s="5">
        <f>IF('[1]Cleaned Text Field'!P586="",0,'[1]Cleaned Text Field'!P586)</f>
        <v>0.15</v>
      </c>
      <c r="Q586">
        <v>837.19</v>
      </c>
      <c r="R586">
        <v>583.79</v>
      </c>
      <c r="S586">
        <v>253.4</v>
      </c>
      <c r="T586" t="str">
        <f>PROPER(TRIM([1]raw_orders!T586))</f>
        <v>Pending</v>
      </c>
      <c r="U586" t="str">
        <f>PROPER(TRIM([1]raw_orders!U586))</f>
        <v>Returned</v>
      </c>
      <c r="V586" s="6">
        <f t="shared" si="72"/>
        <v>0.3026792006593485</v>
      </c>
      <c r="W586" t="str">
        <f t="shared" si="73"/>
        <v>August</v>
      </c>
      <c r="X586">
        <f t="shared" si="74"/>
        <v>2024</v>
      </c>
      <c r="Y586">
        <f t="shared" si="75"/>
        <v>65</v>
      </c>
      <c r="Z586" s="7">
        <f t="shared" si="76"/>
        <v>0.15</v>
      </c>
      <c r="AA586">
        <f t="shared" si="77"/>
        <v>837.19049999999993</v>
      </c>
      <c r="AB586">
        <f t="shared" si="78"/>
        <v>253.40000000000009</v>
      </c>
      <c r="AC586" t="str">
        <f t="shared" si="79"/>
        <v>Clean</v>
      </c>
    </row>
    <row r="587" spans="1:29">
      <c r="A587" t="s">
        <v>1790</v>
      </c>
      <c r="B587" s="4">
        <v>45830</v>
      </c>
      <c r="C587" s="4">
        <v>45833</v>
      </c>
      <c r="D587" t="s">
        <v>1791</v>
      </c>
      <c r="E587" t="str">
        <f>PROPER(TRIM([1]raw_orders!E587))</f>
        <v>Diya Patel</v>
      </c>
      <c r="F587" t="str">
        <f>PROPER(TRIM([1]raw_orders!F587))</f>
        <v>Small Business</v>
      </c>
      <c r="G587" t="str">
        <f>IF('[1]Cleaned Text Field'!G587="","Unknown",'[1]Cleaned Text Field'!G587)</f>
        <v>West</v>
      </c>
      <c r="H587" t="str">
        <f>PROPER(TRIM([1]raw_orders!H587))</f>
        <v>Maharashtra</v>
      </c>
      <c r="I587" t="str">
        <f>PROPER(TRIM([1]raw_orders!I587))</f>
        <v>Mumbai</v>
      </c>
      <c r="J587" t="str">
        <f>PROPER(TRIM([1]raw_orders!J587))</f>
        <v>Technology</v>
      </c>
      <c r="K587" t="str">
        <f>PROPER(TRIM([1]raw_orders!K587))</f>
        <v>Phones</v>
      </c>
      <c r="L587" t="s">
        <v>1792</v>
      </c>
      <c r="M587" t="str">
        <f>IF('[1]Cleaned Text Field'!M587="","Unknown",'[1]Cleaned Text Field'!M587)</f>
        <v>First Class</v>
      </c>
      <c r="N587">
        <f>IF('[1]Cleaned Text Field'!N587="",0,'[1]Cleaned Text Field'!N587)</f>
        <v>8</v>
      </c>
      <c r="O587">
        <v>3453.66</v>
      </c>
      <c r="P587" s="5">
        <f>IF('[1]Cleaned Text Field'!P587="",0,'[1]Cleaned Text Field'!P587)</f>
        <v>0</v>
      </c>
      <c r="Q587">
        <v>27629.279999999999</v>
      </c>
      <c r="R587">
        <v>22026.48</v>
      </c>
      <c r="S587">
        <v>5602.8</v>
      </c>
      <c r="T587" t="str">
        <f>PROPER(TRIM([1]raw_orders!T587))</f>
        <v>Paid</v>
      </c>
      <c r="U587" t="str">
        <f>PROPER(TRIM([1]raw_orders!U587))</f>
        <v>Completed</v>
      </c>
      <c r="V587" s="6">
        <f t="shared" si="72"/>
        <v>0.20278487170132556</v>
      </c>
      <c r="W587" t="str">
        <f t="shared" si="73"/>
        <v>June</v>
      </c>
      <c r="X587">
        <f t="shared" si="74"/>
        <v>2025</v>
      </c>
      <c r="Y587">
        <f t="shared" si="75"/>
        <v>3</v>
      </c>
      <c r="Z587" s="7">
        <f t="shared" si="76"/>
        <v>0</v>
      </c>
      <c r="AA587">
        <f t="shared" si="77"/>
        <v>27629.279999999999</v>
      </c>
      <c r="AB587">
        <f t="shared" si="78"/>
        <v>5602.7999999999993</v>
      </c>
      <c r="AC587" t="str">
        <f t="shared" si="79"/>
        <v>Clean</v>
      </c>
    </row>
    <row r="588" spans="1:29">
      <c r="A588" t="s">
        <v>1793</v>
      </c>
      <c r="B588" s="4">
        <v>45995</v>
      </c>
      <c r="C588" s="4">
        <v>45759</v>
      </c>
      <c r="D588" t="s">
        <v>1794</v>
      </c>
      <c r="E588" t="str">
        <f>PROPER(TRIM([1]raw_orders!E588))</f>
        <v>Mira Das</v>
      </c>
      <c r="F588" t="str">
        <f>PROPER(TRIM([1]raw_orders!F588))</f>
        <v>Home Office</v>
      </c>
      <c r="G588" t="str">
        <f>IF('[1]Cleaned Text Field'!G588="","Unknown",'[1]Cleaned Text Field'!G588)</f>
        <v>North</v>
      </c>
      <c r="H588" t="str">
        <f>PROPER(TRIM([1]raw_orders!H588))</f>
        <v>Punjab</v>
      </c>
      <c r="I588" t="str">
        <f>PROPER(TRIM([1]raw_orders!I588))</f>
        <v>Ludhiana</v>
      </c>
      <c r="J588" t="str">
        <f>PROPER(TRIM([1]raw_orders!J588))</f>
        <v>Office Supplies</v>
      </c>
      <c r="K588" t="str">
        <f>PROPER(TRIM([1]raw_orders!K588))</f>
        <v>Binders</v>
      </c>
      <c r="L588" t="s">
        <v>1795</v>
      </c>
      <c r="M588" t="str">
        <f>IF('[1]Cleaned Text Field'!M588="","Unknown",'[1]Cleaned Text Field'!M588)</f>
        <v>Second Class</v>
      </c>
      <c r="N588">
        <f>IF('[1]Cleaned Text Field'!N588="",0,'[1]Cleaned Text Field'!N588)</f>
        <v>7</v>
      </c>
      <c r="O588">
        <v>1334.2</v>
      </c>
      <c r="P588" s="5">
        <f>IF('[1]Cleaned Text Field'!P588="",0,'[1]Cleaned Text Field'!P588)</f>
        <v>0.2</v>
      </c>
      <c r="Q588">
        <v>7471.52</v>
      </c>
      <c r="R588">
        <v>6184.32</v>
      </c>
      <c r="S588">
        <v>1287.2</v>
      </c>
      <c r="T588" t="str">
        <f>PROPER(TRIM([1]raw_orders!T588))</f>
        <v>Paid</v>
      </c>
      <c r="U588" t="str">
        <f>PROPER(TRIM([1]raw_orders!U588))</f>
        <v>Completed</v>
      </c>
      <c r="V588" s="6">
        <f t="shared" si="72"/>
        <v>0.17228087457438379</v>
      </c>
      <c r="W588" t="str">
        <f t="shared" si="73"/>
        <v>December</v>
      </c>
      <c r="X588">
        <f t="shared" si="74"/>
        <v>2025</v>
      </c>
      <c r="Y588">
        <f t="shared" si="75"/>
        <v>-236</v>
      </c>
      <c r="Z588" s="7">
        <f t="shared" si="76"/>
        <v>0.2</v>
      </c>
      <c r="AA588">
        <f t="shared" si="77"/>
        <v>7471.52</v>
      </c>
      <c r="AB588">
        <f t="shared" si="78"/>
        <v>1287.2000000000007</v>
      </c>
      <c r="AC588" t="str">
        <f t="shared" si="79"/>
        <v>Warning</v>
      </c>
    </row>
    <row r="589" spans="1:29">
      <c r="A589" t="s">
        <v>1796</v>
      </c>
      <c r="B589" s="4">
        <v>45861</v>
      </c>
      <c r="C589" s="4">
        <v>45869</v>
      </c>
      <c r="D589" t="s">
        <v>1797</v>
      </c>
      <c r="E589" t="str">
        <f>PROPER(TRIM([1]raw_orders!E589))</f>
        <v>Kabir Singh</v>
      </c>
      <c r="F589" t="str">
        <f>PROPER(TRIM([1]raw_orders!F589))</f>
        <v>Home Office</v>
      </c>
      <c r="G589" t="str">
        <f>IF('[1]Cleaned Text Field'!G589="","Unknown",'[1]Cleaned Text Field'!G589)</f>
        <v>West</v>
      </c>
      <c r="H589" t="str">
        <f>PROPER(TRIM([1]raw_orders!H589))</f>
        <v>Madhya Pradesh</v>
      </c>
      <c r="I589" t="str">
        <f>PROPER(TRIM([1]raw_orders!I589))</f>
        <v>Indore</v>
      </c>
      <c r="J589" t="str">
        <f>PROPER(TRIM([1]raw_orders!J589))</f>
        <v>Technology</v>
      </c>
      <c r="K589" t="str">
        <f>PROPER(TRIM([1]raw_orders!K589))</f>
        <v>Accessories</v>
      </c>
      <c r="L589" t="s">
        <v>1798</v>
      </c>
      <c r="M589" t="str">
        <f>IF('[1]Cleaned Text Field'!M589="","Unknown",'[1]Cleaned Text Field'!M589)</f>
        <v>First Class</v>
      </c>
      <c r="N589">
        <f>IF('[1]Cleaned Text Field'!N589="",0,'[1]Cleaned Text Field'!N589)</f>
        <v>1</v>
      </c>
      <c r="O589">
        <v>4253.84</v>
      </c>
      <c r="P589" s="5">
        <f>IF('[1]Cleaned Text Field'!P589="",0,'[1]Cleaned Text Field'!P589)</f>
        <v>0.15</v>
      </c>
      <c r="Q589">
        <v>3615.76</v>
      </c>
      <c r="R589">
        <v>2951.52</v>
      </c>
      <c r="S589">
        <v>664.24</v>
      </c>
      <c r="T589" t="str">
        <f>PROPER(TRIM([1]raw_orders!T589))</f>
        <v>Refunded</v>
      </c>
      <c r="U589" t="str">
        <f>PROPER(TRIM([1]raw_orders!U589))</f>
        <v>Cancelled</v>
      </c>
      <c r="V589" s="6">
        <f t="shared" si="72"/>
        <v>0.18370688320021239</v>
      </c>
      <c r="W589" t="str">
        <f t="shared" si="73"/>
        <v>July</v>
      </c>
      <c r="X589">
        <f t="shared" si="74"/>
        <v>2025</v>
      </c>
      <c r="Y589">
        <f t="shared" si="75"/>
        <v>8</v>
      </c>
      <c r="Z589" s="7">
        <f t="shared" si="76"/>
        <v>0.15</v>
      </c>
      <c r="AA589">
        <f t="shared" si="77"/>
        <v>3615.7640000000001</v>
      </c>
      <c r="AB589">
        <f t="shared" si="78"/>
        <v>664.24000000000024</v>
      </c>
      <c r="AC589" t="str">
        <f t="shared" si="79"/>
        <v>Clean</v>
      </c>
    </row>
    <row r="590" spans="1:29">
      <c r="A590" t="s">
        <v>1799</v>
      </c>
      <c r="B590" s="4">
        <v>45727</v>
      </c>
      <c r="C590" s="4">
        <v>45731</v>
      </c>
      <c r="D590" t="s">
        <v>1800</v>
      </c>
      <c r="E590" t="str">
        <f>PROPER(TRIM([1]raw_orders!E590))</f>
        <v>Aarav Sharma</v>
      </c>
      <c r="F590" t="str">
        <f>PROPER(TRIM([1]raw_orders!F590))</f>
        <v>Home Office</v>
      </c>
      <c r="G590" t="str">
        <f>IF('[1]Cleaned Text Field'!G590="","Unknown",'[1]Cleaned Text Field'!G590)</f>
        <v>South</v>
      </c>
      <c r="H590" t="str">
        <f>PROPER(TRIM([1]raw_orders!H590))</f>
        <v>Karnataka</v>
      </c>
      <c r="I590" t="str">
        <f>PROPER(TRIM([1]raw_orders!I590))</f>
        <v>Bengaluru</v>
      </c>
      <c r="J590" t="str">
        <f>PROPER(TRIM([1]raw_orders!J590))</f>
        <v>Technology</v>
      </c>
      <c r="K590" t="str">
        <f>PROPER(TRIM([1]raw_orders!K590))</f>
        <v>Accessories</v>
      </c>
      <c r="L590" t="s">
        <v>1801</v>
      </c>
      <c r="M590" t="str">
        <f>IF('[1]Cleaned Text Field'!M590="","Unknown",'[1]Cleaned Text Field'!M590)</f>
        <v>Second Class</v>
      </c>
      <c r="N590">
        <f>IF('[1]Cleaned Text Field'!N590="",0,'[1]Cleaned Text Field'!N590)</f>
        <v>8</v>
      </c>
      <c r="O590">
        <v>4446.3599999999997</v>
      </c>
      <c r="P590" s="5">
        <f>IF('[1]Cleaned Text Field'!P590="",0,'[1]Cleaned Text Field'!P590)</f>
        <v>0.1</v>
      </c>
      <c r="Q590">
        <v>32013.79</v>
      </c>
      <c r="R590">
        <v>20896.88</v>
      </c>
      <c r="S590">
        <v>11116.91</v>
      </c>
      <c r="T590" t="str">
        <f>PROPER(TRIM([1]raw_orders!T590))</f>
        <v>Refunded</v>
      </c>
      <c r="U590" t="str">
        <f>PROPER(TRIM([1]raw_orders!U590))</f>
        <v>Cancelled</v>
      </c>
      <c r="V590" s="6">
        <f t="shared" si="72"/>
        <v>0.3472537928186572</v>
      </c>
      <c r="W590" t="str">
        <f t="shared" si="73"/>
        <v>March</v>
      </c>
      <c r="X590">
        <f t="shared" si="74"/>
        <v>2025</v>
      </c>
      <c r="Y590">
        <f t="shared" si="75"/>
        <v>4</v>
      </c>
      <c r="Z590" s="7">
        <f t="shared" si="76"/>
        <v>0.1</v>
      </c>
      <c r="AA590">
        <f t="shared" si="77"/>
        <v>32013.791999999998</v>
      </c>
      <c r="AB590">
        <f t="shared" si="78"/>
        <v>11116.91</v>
      </c>
      <c r="AC590" t="str">
        <f t="shared" si="79"/>
        <v>Clean</v>
      </c>
    </row>
    <row r="591" spans="1:29">
      <c r="A591" t="s">
        <v>1802</v>
      </c>
      <c r="B591" s="4">
        <v>45632</v>
      </c>
      <c r="C591" s="4">
        <v>45638</v>
      </c>
      <c r="D591" t="s">
        <v>1803</v>
      </c>
      <c r="E591" t="str">
        <f>PROPER(TRIM([1]raw_orders!E591))</f>
        <v>Rohan Mehta</v>
      </c>
      <c r="F591" t="str">
        <f>PROPER(TRIM([1]raw_orders!F591))</f>
        <v>Corporate</v>
      </c>
      <c r="G591" t="str">
        <f>IF('[1]Cleaned Text Field'!G591="","Unknown",'[1]Cleaned Text Field'!G591)</f>
        <v>North</v>
      </c>
      <c r="H591" t="str">
        <f>PROPER(TRIM([1]raw_orders!H591))</f>
        <v>Uttar Pradesh</v>
      </c>
      <c r="I591" t="str">
        <f>PROPER(TRIM([1]raw_orders!I591))</f>
        <v>Noida</v>
      </c>
      <c r="J591" t="str">
        <f>PROPER(TRIM([1]raw_orders!J591))</f>
        <v>Technology</v>
      </c>
      <c r="K591" t="str">
        <f>PROPER(TRIM([1]raw_orders!K591))</f>
        <v>Phones</v>
      </c>
      <c r="L591" t="s">
        <v>1804</v>
      </c>
      <c r="M591" t="str">
        <f>IF('[1]Cleaned Text Field'!M591="","Unknown",'[1]Cleaned Text Field'!M591)</f>
        <v>First Class</v>
      </c>
      <c r="N591">
        <f>IF('[1]Cleaned Text Field'!N591="",0,'[1]Cleaned Text Field'!N591)</f>
        <v>3</v>
      </c>
      <c r="O591">
        <v>524.75</v>
      </c>
      <c r="P591" s="5">
        <f>IF('[1]Cleaned Text Field'!P591="",0,'[1]Cleaned Text Field'!P591)</f>
        <v>0</v>
      </c>
      <c r="Q591">
        <v>1574.25</v>
      </c>
      <c r="R591">
        <v>1326.12</v>
      </c>
      <c r="S591">
        <v>248.13</v>
      </c>
      <c r="T591" t="str">
        <f>PROPER(TRIM([1]raw_orders!T591))</f>
        <v>Paid</v>
      </c>
      <c r="U591" t="str">
        <f>PROPER(TRIM([1]raw_orders!U591))</f>
        <v>Completed</v>
      </c>
      <c r="V591" s="6">
        <f t="shared" si="72"/>
        <v>0.15761791329204383</v>
      </c>
      <c r="W591" t="str">
        <f t="shared" si="73"/>
        <v>December</v>
      </c>
      <c r="X591">
        <f t="shared" si="74"/>
        <v>2024</v>
      </c>
      <c r="Y591">
        <f t="shared" si="75"/>
        <v>6</v>
      </c>
      <c r="Z591" s="7">
        <f t="shared" si="76"/>
        <v>0</v>
      </c>
      <c r="AA591">
        <f t="shared" si="77"/>
        <v>1574.25</v>
      </c>
      <c r="AB591">
        <f t="shared" si="78"/>
        <v>248.13000000000011</v>
      </c>
      <c r="AC591" t="str">
        <f t="shared" si="79"/>
        <v>Clean</v>
      </c>
    </row>
    <row r="592" spans="1:29">
      <c r="A592" t="s">
        <v>1805</v>
      </c>
      <c r="B592" s="4">
        <v>45441</v>
      </c>
      <c r="C592" s="4">
        <v>45441</v>
      </c>
      <c r="D592" t="s">
        <v>1806</v>
      </c>
      <c r="E592" t="str">
        <f>PROPER(TRIM([1]raw_orders!E592))</f>
        <v>Aarav Sharma</v>
      </c>
      <c r="F592" t="str">
        <f>PROPER(TRIM([1]raw_orders!F592))</f>
        <v>Home Office</v>
      </c>
      <c r="G592" t="str">
        <f>IF('[1]Cleaned Text Field'!G592="","Unknown",'[1]Cleaned Text Field'!G592)</f>
        <v>North</v>
      </c>
      <c r="H592" t="str">
        <f>PROPER(TRIM([1]raw_orders!H592))</f>
        <v>Delhi</v>
      </c>
      <c r="I592" t="str">
        <f>PROPER(TRIM([1]raw_orders!I592))</f>
        <v>New Delhi</v>
      </c>
      <c r="J592" t="str">
        <f>PROPER(TRIM([1]raw_orders!J592))</f>
        <v>Furniture</v>
      </c>
      <c r="K592" t="str">
        <f>PROPER(TRIM([1]raw_orders!K592))</f>
        <v>Chairs</v>
      </c>
      <c r="L592" t="s">
        <v>1807</v>
      </c>
      <c r="M592" t="str">
        <f>IF('[1]Cleaned Text Field'!M592="","Unknown",'[1]Cleaned Text Field'!M592)</f>
        <v>Same Day</v>
      </c>
      <c r="N592">
        <f>IF('[1]Cleaned Text Field'!N592="",0,'[1]Cleaned Text Field'!N592)</f>
        <v>6</v>
      </c>
      <c r="O592">
        <v>3430.35</v>
      </c>
      <c r="P592" s="5">
        <f>IF('[1]Cleaned Text Field'!P592="",0,'[1]Cleaned Text Field'!P592)</f>
        <v>0</v>
      </c>
      <c r="Q592">
        <v>20582.099999999999</v>
      </c>
      <c r="R592">
        <v>15897.65</v>
      </c>
      <c r="S592">
        <v>4684.45</v>
      </c>
      <c r="T592" t="str">
        <f>PROPER(TRIM([1]raw_orders!T592))</f>
        <v>Pending</v>
      </c>
      <c r="U592" t="str">
        <f>PROPER(TRIM([1]raw_orders!U592))</f>
        <v>Cancelled</v>
      </c>
      <c r="V592" s="6">
        <f t="shared" si="72"/>
        <v>0.22759825285077812</v>
      </c>
      <c r="W592" t="str">
        <f t="shared" si="73"/>
        <v>May</v>
      </c>
      <c r="X592">
        <f t="shared" si="74"/>
        <v>2024</v>
      </c>
      <c r="Y592">
        <f t="shared" si="75"/>
        <v>0</v>
      </c>
      <c r="Z592" s="7">
        <f t="shared" si="76"/>
        <v>0</v>
      </c>
      <c r="AA592">
        <f t="shared" si="77"/>
        <v>20582.099999999999</v>
      </c>
      <c r="AB592">
        <f t="shared" si="78"/>
        <v>4684.4499999999989</v>
      </c>
      <c r="AC592" t="str">
        <f t="shared" si="79"/>
        <v>Clean</v>
      </c>
    </row>
    <row r="593" spans="1:29">
      <c r="A593" t="s">
        <v>1808</v>
      </c>
      <c r="B593" s="4">
        <v>45344</v>
      </c>
      <c r="C593" s="4">
        <v>45346</v>
      </c>
      <c r="D593" t="s">
        <v>1809</v>
      </c>
      <c r="E593" t="str">
        <f>PROPER(TRIM([1]raw_orders!E593))</f>
        <v>Sneha Kapoor</v>
      </c>
      <c r="F593" t="str">
        <f>PROPER(TRIM([1]raw_orders!F593))</f>
        <v>Consumer</v>
      </c>
      <c r="G593" t="str">
        <f>IF('[1]Cleaned Text Field'!G593="","Unknown",'[1]Cleaned Text Field'!G593)</f>
        <v>South</v>
      </c>
      <c r="H593" t="str">
        <f>PROPER(TRIM([1]raw_orders!H593))</f>
        <v>Karnataka</v>
      </c>
      <c r="I593" t="str">
        <f>PROPER(TRIM([1]raw_orders!I593))</f>
        <v>Bengaluru</v>
      </c>
      <c r="J593" t="str">
        <f>PROPER(TRIM([1]raw_orders!J593))</f>
        <v>Technology</v>
      </c>
      <c r="K593" t="str">
        <f>PROPER(TRIM([1]raw_orders!K593))</f>
        <v>Copiers</v>
      </c>
      <c r="L593" t="s">
        <v>1810</v>
      </c>
      <c r="M593" t="str">
        <f>IF('[1]Cleaned Text Field'!M593="","Unknown",'[1]Cleaned Text Field'!M593)</f>
        <v>First Class</v>
      </c>
      <c r="N593">
        <f>IF('[1]Cleaned Text Field'!N593="",0,'[1]Cleaned Text Field'!N593)</f>
        <v>3</v>
      </c>
      <c r="O593">
        <v>3545.08</v>
      </c>
      <c r="P593" s="5">
        <f>IF('[1]Cleaned Text Field'!P593="",0,'[1]Cleaned Text Field'!P593)</f>
        <v>0</v>
      </c>
      <c r="Q593">
        <v>10635.24</v>
      </c>
      <c r="R593">
        <v>6031.88</v>
      </c>
      <c r="S593">
        <v>4603.3599999999997</v>
      </c>
      <c r="T593" t="str">
        <f>PROPER(TRIM([1]raw_orders!T593))</f>
        <v>Failed</v>
      </c>
      <c r="U593" t="str">
        <f>PROPER(TRIM([1]raw_orders!U593))</f>
        <v>Returned</v>
      </c>
      <c r="V593" s="6">
        <f t="shared" si="72"/>
        <v>0.43284025560307055</v>
      </c>
      <c r="W593" t="str">
        <f t="shared" si="73"/>
        <v>February</v>
      </c>
      <c r="X593">
        <f t="shared" si="74"/>
        <v>2024</v>
      </c>
      <c r="Y593">
        <f t="shared" si="75"/>
        <v>2</v>
      </c>
      <c r="Z593" s="7">
        <f t="shared" si="76"/>
        <v>0</v>
      </c>
      <c r="AA593">
        <f t="shared" si="77"/>
        <v>10635.24</v>
      </c>
      <c r="AB593">
        <f t="shared" si="78"/>
        <v>4603.3599999999997</v>
      </c>
      <c r="AC593" t="str">
        <f t="shared" si="79"/>
        <v>Clean</v>
      </c>
    </row>
    <row r="594" spans="1:29">
      <c r="A594" t="s">
        <v>1811</v>
      </c>
      <c r="B594" s="4">
        <v>45385</v>
      </c>
      <c r="C594" s="4">
        <v>45360</v>
      </c>
      <c r="D594" t="s">
        <v>1812</v>
      </c>
      <c r="E594" t="str">
        <f>PROPER(TRIM([1]raw_orders!E594))</f>
        <v>Mira Das</v>
      </c>
      <c r="F594" t="str">
        <f>PROPER(TRIM([1]raw_orders!F594))</f>
        <v>Consumer</v>
      </c>
      <c r="G594" t="str">
        <f>IF('[1]Cleaned Text Field'!G594="","Unknown",'[1]Cleaned Text Field'!G594)</f>
        <v>East</v>
      </c>
      <c r="H594" t="str">
        <f>PROPER(TRIM([1]raw_orders!H594))</f>
        <v>West Bengal</v>
      </c>
      <c r="I594" t="str">
        <f>PROPER(TRIM([1]raw_orders!I594))</f>
        <v>Kolkata</v>
      </c>
      <c r="J594" t="str">
        <f>PROPER(TRIM([1]raw_orders!J594))</f>
        <v>Technology</v>
      </c>
      <c r="K594" t="str">
        <f>PROPER(TRIM([1]raw_orders!K594))</f>
        <v>Accessories</v>
      </c>
      <c r="L594" t="s">
        <v>1813</v>
      </c>
      <c r="M594" t="str">
        <f>IF('[1]Cleaned Text Field'!M594="","Unknown",'[1]Cleaned Text Field'!M594)</f>
        <v>Same Day</v>
      </c>
      <c r="N594">
        <f>IF('[1]Cleaned Text Field'!N594="",0,'[1]Cleaned Text Field'!N594)</f>
        <v>8</v>
      </c>
      <c r="O594">
        <v>4401.41</v>
      </c>
      <c r="P594" s="5">
        <f>IF('[1]Cleaned Text Field'!P594="",0,'[1]Cleaned Text Field'!P594)</f>
        <v>0.15</v>
      </c>
      <c r="Q594">
        <v>29929.59</v>
      </c>
      <c r="R594">
        <v>22436.03</v>
      </c>
      <c r="S594">
        <v>7493.56</v>
      </c>
      <c r="T594" t="str">
        <f>PROPER(TRIM([1]raw_orders!T594))</f>
        <v>Paid</v>
      </c>
      <c r="U594" t="str">
        <f>PROPER(TRIM([1]raw_orders!U594))</f>
        <v>Completed</v>
      </c>
      <c r="V594" s="6">
        <f t="shared" si="72"/>
        <v>0.25037295866732556</v>
      </c>
      <c r="W594" t="str">
        <f t="shared" si="73"/>
        <v>April</v>
      </c>
      <c r="X594">
        <f t="shared" si="74"/>
        <v>2024</v>
      </c>
      <c r="Y594">
        <f t="shared" si="75"/>
        <v>-25</v>
      </c>
      <c r="Z594" s="7">
        <f t="shared" si="76"/>
        <v>0.15</v>
      </c>
      <c r="AA594">
        <f t="shared" si="77"/>
        <v>29929.588</v>
      </c>
      <c r="AB594">
        <f t="shared" si="78"/>
        <v>7493.5600000000013</v>
      </c>
      <c r="AC594" t="str">
        <f t="shared" si="79"/>
        <v>Warning</v>
      </c>
    </row>
    <row r="595" spans="1:29">
      <c r="A595" t="s">
        <v>1814</v>
      </c>
      <c r="B595" s="4">
        <v>45927</v>
      </c>
      <c r="C595" s="4">
        <v>45929</v>
      </c>
      <c r="D595" t="s">
        <v>1606</v>
      </c>
      <c r="E595" t="str">
        <f>PROPER(TRIM([1]raw_orders!E595))</f>
        <v>Arjun Bose</v>
      </c>
      <c r="F595" t="str">
        <f>PROPER(TRIM([1]raw_orders!F595))</f>
        <v>Home Office</v>
      </c>
      <c r="G595" t="str">
        <f>IF('[1]Cleaned Text Field'!G595="","Unknown",'[1]Cleaned Text Field'!G595)</f>
        <v>North</v>
      </c>
      <c r="H595" t="str">
        <f>PROPER(TRIM([1]raw_orders!H595))</f>
        <v>Uttar Pradesh</v>
      </c>
      <c r="I595" t="str">
        <f>PROPER(TRIM([1]raw_orders!I595))</f>
        <v>Noida</v>
      </c>
      <c r="J595" t="str">
        <f>PROPER(TRIM([1]raw_orders!J595))</f>
        <v>Furniture</v>
      </c>
      <c r="K595" t="str">
        <f>PROPER(TRIM([1]raw_orders!K595))</f>
        <v>Tables</v>
      </c>
      <c r="L595" t="s">
        <v>1815</v>
      </c>
      <c r="M595" t="str">
        <f>IF('[1]Cleaned Text Field'!M595="","Unknown",'[1]Cleaned Text Field'!M595)</f>
        <v>Second Class</v>
      </c>
      <c r="N595">
        <f>IF('[1]Cleaned Text Field'!N595="",0,'[1]Cleaned Text Field'!N595)</f>
        <v>9</v>
      </c>
      <c r="O595">
        <v>4100.1099999999997</v>
      </c>
      <c r="P595" s="5">
        <f>IF('[1]Cleaned Text Field'!P595="",0,'[1]Cleaned Text Field'!P595)</f>
        <v>0.25</v>
      </c>
      <c r="Q595">
        <v>27675.74</v>
      </c>
      <c r="R595">
        <v>15571.08</v>
      </c>
      <c r="S595">
        <v>12104.66</v>
      </c>
      <c r="T595" t="str">
        <f>PROPER(TRIM([1]raw_orders!T595))</f>
        <v>Paid</v>
      </c>
      <c r="U595" t="str">
        <f>PROPER(TRIM([1]raw_orders!U595))</f>
        <v>Completed</v>
      </c>
      <c r="V595" s="6">
        <f t="shared" si="72"/>
        <v>0.43737439360248359</v>
      </c>
      <c r="W595" t="str">
        <f t="shared" si="73"/>
        <v>September</v>
      </c>
      <c r="X595">
        <f t="shared" si="74"/>
        <v>2025</v>
      </c>
      <c r="Y595">
        <f t="shared" si="75"/>
        <v>2</v>
      </c>
      <c r="Z595" s="7">
        <f t="shared" si="76"/>
        <v>0.25</v>
      </c>
      <c r="AA595">
        <f t="shared" si="77"/>
        <v>27675.7425</v>
      </c>
      <c r="AB595">
        <f t="shared" si="78"/>
        <v>12104.660000000002</v>
      </c>
      <c r="AC595" t="str">
        <f t="shared" si="79"/>
        <v>Clean</v>
      </c>
    </row>
    <row r="596" spans="1:29">
      <c r="A596" t="s">
        <v>1816</v>
      </c>
      <c r="B596" s="4">
        <v>45554</v>
      </c>
      <c r="C596" s="4">
        <v>45556</v>
      </c>
      <c r="D596" t="s">
        <v>1817</v>
      </c>
      <c r="E596" t="str">
        <f>PROPER(TRIM([1]raw_orders!E596))</f>
        <v>Karan Malhotra</v>
      </c>
      <c r="F596" t="str">
        <f>PROPER(TRIM([1]raw_orders!F596))</f>
        <v>Small Business</v>
      </c>
      <c r="G596" t="str">
        <f>IF('[1]Cleaned Text Field'!G596="","Unknown",'[1]Cleaned Text Field'!G596)</f>
        <v>East</v>
      </c>
      <c r="H596" t="str">
        <f>PROPER(TRIM([1]raw_orders!H596))</f>
        <v>West Bengal</v>
      </c>
      <c r="I596" t="str">
        <f>PROPER(TRIM([1]raw_orders!I596))</f>
        <v>Kolkata</v>
      </c>
      <c r="J596" t="str">
        <f>PROPER(TRIM([1]raw_orders!J596))</f>
        <v>Furniture</v>
      </c>
      <c r="K596" t="str">
        <f>PROPER(TRIM([1]raw_orders!K596))</f>
        <v>Chairs</v>
      </c>
      <c r="L596" t="s">
        <v>1818</v>
      </c>
      <c r="M596" t="str">
        <f>IF('[1]Cleaned Text Field'!M596="","Unknown",'[1]Cleaned Text Field'!M596)</f>
        <v>First Class</v>
      </c>
      <c r="N596">
        <f>IF('[1]Cleaned Text Field'!N596="",0,'[1]Cleaned Text Field'!N596)</f>
        <v>3</v>
      </c>
      <c r="O596">
        <v>3981.76</v>
      </c>
      <c r="P596" s="5">
        <f>IF('[1]Cleaned Text Field'!P596="",0,'[1]Cleaned Text Field'!P596)</f>
        <v>0</v>
      </c>
      <c r="Q596">
        <v>11945.28</v>
      </c>
      <c r="R596">
        <v>9700.31</v>
      </c>
      <c r="S596">
        <v>2244.9699999999998</v>
      </c>
      <c r="T596" t="str">
        <f>PROPER(TRIM([1]raw_orders!T596))</f>
        <v>Paid</v>
      </c>
      <c r="U596" t="str">
        <f>PROPER(TRIM([1]raw_orders!U596))</f>
        <v>Completed</v>
      </c>
      <c r="V596" s="6">
        <f t="shared" si="72"/>
        <v>0.18793782983739182</v>
      </c>
      <c r="W596" t="str">
        <f t="shared" si="73"/>
        <v>September</v>
      </c>
      <c r="X596">
        <f t="shared" si="74"/>
        <v>2024</v>
      </c>
      <c r="Y596">
        <f t="shared" si="75"/>
        <v>2</v>
      </c>
      <c r="Z596" s="7">
        <f t="shared" si="76"/>
        <v>0</v>
      </c>
      <c r="AA596">
        <f t="shared" si="77"/>
        <v>11945.28</v>
      </c>
      <c r="AB596">
        <f t="shared" si="78"/>
        <v>2244.9700000000012</v>
      </c>
      <c r="AC596" t="str">
        <f t="shared" si="79"/>
        <v>Clean</v>
      </c>
    </row>
    <row r="597" spans="1:29">
      <c r="A597" t="s">
        <v>1819</v>
      </c>
      <c r="B597" s="4">
        <v>45699</v>
      </c>
      <c r="C597" s="4">
        <v>45704</v>
      </c>
      <c r="D597" t="s">
        <v>1820</v>
      </c>
      <c r="E597" t="str">
        <f>PROPER(TRIM([1]raw_orders!E597))</f>
        <v>Mira Das</v>
      </c>
      <c r="F597" t="str">
        <f>PROPER(TRIM([1]raw_orders!F597))</f>
        <v>Corporate</v>
      </c>
      <c r="G597" t="str">
        <f>IF('[1]Cleaned Text Field'!G597="","Unknown",'[1]Cleaned Text Field'!G597)</f>
        <v>North</v>
      </c>
      <c r="H597" t="str">
        <f>PROPER(TRIM([1]raw_orders!H597))</f>
        <v>Uttar Pradesh</v>
      </c>
      <c r="I597" t="str">
        <f>PROPER(TRIM([1]raw_orders!I597))</f>
        <v>Noida</v>
      </c>
      <c r="J597" t="str">
        <f>PROPER(TRIM([1]raw_orders!J597))</f>
        <v>Technology</v>
      </c>
      <c r="K597" t="str">
        <f>PROPER(TRIM([1]raw_orders!K597))</f>
        <v>Phones</v>
      </c>
      <c r="L597" t="s">
        <v>1821</v>
      </c>
      <c r="M597" t="str">
        <f>IF('[1]Cleaned Text Field'!M597="","Unknown",'[1]Cleaned Text Field'!M597)</f>
        <v>First Class</v>
      </c>
      <c r="N597">
        <f>IF('[1]Cleaned Text Field'!N597="",0,'[1]Cleaned Text Field'!N597)</f>
        <v>8</v>
      </c>
      <c r="O597">
        <v>1825.56</v>
      </c>
      <c r="P597" s="5">
        <f>IF('[1]Cleaned Text Field'!P597="",0,'[1]Cleaned Text Field'!P597)</f>
        <v>0.1</v>
      </c>
      <c r="Q597">
        <v>13144.03</v>
      </c>
      <c r="R597">
        <v>9764</v>
      </c>
      <c r="S597">
        <v>3380.03</v>
      </c>
      <c r="T597" t="str">
        <f>PROPER(TRIM([1]raw_orders!T597))</f>
        <v>Paid</v>
      </c>
      <c r="U597" t="str">
        <f>PROPER(TRIM([1]raw_orders!U597))</f>
        <v>Completed</v>
      </c>
      <c r="V597" s="6">
        <f t="shared" si="72"/>
        <v>0.25715324751997676</v>
      </c>
      <c r="W597" t="str">
        <f t="shared" si="73"/>
        <v>February</v>
      </c>
      <c r="X597">
        <f t="shared" si="74"/>
        <v>2025</v>
      </c>
      <c r="Y597">
        <f t="shared" si="75"/>
        <v>5</v>
      </c>
      <c r="Z597" s="7">
        <f t="shared" si="76"/>
        <v>0.1</v>
      </c>
      <c r="AA597">
        <f t="shared" si="77"/>
        <v>13144.031999999999</v>
      </c>
      <c r="AB597">
        <f t="shared" si="78"/>
        <v>3380.0300000000007</v>
      </c>
      <c r="AC597" t="str">
        <f t="shared" si="79"/>
        <v>Clean</v>
      </c>
    </row>
    <row r="598" spans="1:29">
      <c r="A598" t="s">
        <v>1822</v>
      </c>
      <c r="B598" s="4">
        <v>45392</v>
      </c>
      <c r="C598" s="4">
        <v>45398</v>
      </c>
      <c r="D598" t="s">
        <v>1823</v>
      </c>
      <c r="E598" t="str">
        <f>PROPER(TRIM([1]raw_orders!E598))</f>
        <v>Aditi Sen</v>
      </c>
      <c r="F598" t="str">
        <f>PROPER(TRIM([1]raw_orders!F598))</f>
        <v>Consumer</v>
      </c>
      <c r="G598" t="str">
        <f>IF('[1]Cleaned Text Field'!G598="","Unknown",'[1]Cleaned Text Field'!G598)</f>
        <v>South</v>
      </c>
      <c r="H598" t="str">
        <f>PROPER(TRIM([1]raw_orders!H598))</f>
        <v>Kerala</v>
      </c>
      <c r="I598" t="str">
        <f>PROPER(TRIM([1]raw_orders!I598))</f>
        <v>Kochi</v>
      </c>
      <c r="J598" t="str">
        <f>PROPER(TRIM([1]raw_orders!J598))</f>
        <v>Furniture</v>
      </c>
      <c r="K598" t="str">
        <f>PROPER(TRIM([1]raw_orders!K598))</f>
        <v>Chairs</v>
      </c>
      <c r="L598" t="s">
        <v>1824</v>
      </c>
      <c r="M598" t="str">
        <f>IF('[1]Cleaned Text Field'!M598="","Unknown",'[1]Cleaned Text Field'!M598)</f>
        <v>Second Class</v>
      </c>
      <c r="N598">
        <f>IF('[1]Cleaned Text Field'!N598="",0,'[1]Cleaned Text Field'!N598)</f>
        <v>9</v>
      </c>
      <c r="O598">
        <v>2723.26</v>
      </c>
      <c r="P598" s="5">
        <f>IF('[1]Cleaned Text Field'!P598="",0,'[1]Cleaned Text Field'!P598)</f>
        <v>0.25</v>
      </c>
      <c r="Q598">
        <v>18382.009999999998</v>
      </c>
      <c r="R598">
        <v>13108.2</v>
      </c>
      <c r="S598">
        <v>5273.81</v>
      </c>
      <c r="T598" t="str">
        <f>PROPER(TRIM([1]raw_orders!T598))</f>
        <v>Paid</v>
      </c>
      <c r="U598" t="str">
        <f>PROPER(TRIM([1]raw_orders!U598))</f>
        <v>Completed</v>
      </c>
      <c r="V598" s="6">
        <f t="shared" si="72"/>
        <v>0.28690061641789993</v>
      </c>
      <c r="W598" t="str">
        <f t="shared" si="73"/>
        <v>April</v>
      </c>
      <c r="X598">
        <f t="shared" si="74"/>
        <v>2024</v>
      </c>
      <c r="Y598">
        <f t="shared" si="75"/>
        <v>6</v>
      </c>
      <c r="Z598" s="7">
        <f t="shared" si="76"/>
        <v>0.25</v>
      </c>
      <c r="AA598">
        <f t="shared" si="77"/>
        <v>18382.005000000005</v>
      </c>
      <c r="AB598">
        <f t="shared" si="78"/>
        <v>5273.8099999999977</v>
      </c>
      <c r="AC598" t="str">
        <f t="shared" si="79"/>
        <v>Clean</v>
      </c>
    </row>
    <row r="599" spans="1:29">
      <c r="A599" t="s">
        <v>1825</v>
      </c>
      <c r="B599" s="4">
        <v>45846</v>
      </c>
      <c r="C599" s="4">
        <v>45846</v>
      </c>
      <c r="D599" t="s">
        <v>1826</v>
      </c>
      <c r="E599" t="str">
        <f>PROPER(TRIM([1]raw_orders!E599))</f>
        <v>Aditi Sen</v>
      </c>
      <c r="F599" t="str">
        <f>PROPER(TRIM([1]raw_orders!F599))</f>
        <v>Consumer</v>
      </c>
      <c r="G599" t="str">
        <f>IF('[1]Cleaned Text Field'!G599="","Unknown",'[1]Cleaned Text Field'!G599)</f>
        <v>South</v>
      </c>
      <c r="H599" t="str">
        <f>PROPER(TRIM([1]raw_orders!H599))</f>
        <v>Telangana</v>
      </c>
      <c r="I599" t="str">
        <f>PROPER(TRIM([1]raw_orders!I599))</f>
        <v>Hyderabad</v>
      </c>
      <c r="J599" t="str">
        <f>PROPER(TRIM([1]raw_orders!J599))</f>
        <v>Technology</v>
      </c>
      <c r="K599" t="str">
        <f>PROPER(TRIM([1]raw_orders!K599))</f>
        <v>Copiers</v>
      </c>
      <c r="L599" t="s">
        <v>1827</v>
      </c>
      <c r="M599" t="str">
        <f>IF('[1]Cleaned Text Field'!M599="","Unknown",'[1]Cleaned Text Field'!M599)</f>
        <v>Same Day</v>
      </c>
      <c r="N599">
        <f>IF('[1]Cleaned Text Field'!N599="",0,'[1]Cleaned Text Field'!N599)</f>
        <v>9</v>
      </c>
      <c r="O599">
        <v>274.88</v>
      </c>
      <c r="P599" s="5">
        <f>IF('[1]Cleaned Text Field'!P599="",0,'[1]Cleaned Text Field'!P599)</f>
        <v>0.25</v>
      </c>
      <c r="Q599">
        <v>1855.44</v>
      </c>
      <c r="R599">
        <v>1262.74</v>
      </c>
      <c r="S599">
        <v>592.70000000000005</v>
      </c>
      <c r="T599" t="str">
        <f>PROPER(TRIM([1]raw_orders!T599))</f>
        <v>Paid</v>
      </c>
      <c r="U599" t="str">
        <f>PROPER(TRIM([1]raw_orders!U599))</f>
        <v>Completed</v>
      </c>
      <c r="V599" s="6">
        <f t="shared" si="72"/>
        <v>0.3194390548872505</v>
      </c>
      <c r="W599" t="str">
        <f t="shared" si="73"/>
        <v>July</v>
      </c>
      <c r="X599">
        <f t="shared" si="74"/>
        <v>2025</v>
      </c>
      <c r="Y599">
        <f t="shared" si="75"/>
        <v>0</v>
      </c>
      <c r="Z599" s="7">
        <f t="shared" si="76"/>
        <v>0.25</v>
      </c>
      <c r="AA599">
        <f t="shared" si="77"/>
        <v>1855.44</v>
      </c>
      <c r="AB599">
        <f t="shared" si="78"/>
        <v>592.70000000000005</v>
      </c>
      <c r="AC599" t="str">
        <f t="shared" si="79"/>
        <v>Clean</v>
      </c>
    </row>
    <row r="600" spans="1:29">
      <c r="A600" t="s">
        <v>1828</v>
      </c>
      <c r="B600" s="4">
        <v>45521</v>
      </c>
      <c r="C600" s="4">
        <v>45528</v>
      </c>
      <c r="D600" t="s">
        <v>1829</v>
      </c>
      <c r="E600" t="str">
        <f>PROPER(TRIM([1]raw_orders!E600))</f>
        <v>Ananya Rao</v>
      </c>
      <c r="F600" t="str">
        <f>PROPER(TRIM([1]raw_orders!F600))</f>
        <v>Corporate</v>
      </c>
      <c r="G600" t="str">
        <f>IF('[1]Cleaned Text Field'!G600="","Unknown",'[1]Cleaned Text Field'!G600)</f>
        <v>East</v>
      </c>
      <c r="H600" t="str">
        <f>PROPER(TRIM([1]raw_orders!H600))</f>
        <v>West Bengal</v>
      </c>
      <c r="I600" t="str">
        <f>PROPER(TRIM([1]raw_orders!I600))</f>
        <v>Kolkata</v>
      </c>
      <c r="J600" t="str">
        <f>PROPER(TRIM([1]raw_orders!J600))</f>
        <v>Technology</v>
      </c>
      <c r="K600" t="str">
        <f>PROPER(TRIM([1]raw_orders!K600))</f>
        <v>Copiers</v>
      </c>
      <c r="L600" t="s">
        <v>1830</v>
      </c>
      <c r="M600" t="str">
        <f>IF('[1]Cleaned Text Field'!M600="","Unknown",'[1]Cleaned Text Field'!M600)</f>
        <v>Same Day</v>
      </c>
      <c r="N600">
        <f>IF('[1]Cleaned Text Field'!N600="",0,'[1]Cleaned Text Field'!N600)</f>
        <v>3</v>
      </c>
      <c r="O600">
        <v>1490.69</v>
      </c>
      <c r="P600" s="5">
        <f>IF('[1]Cleaned Text Field'!P600="",0,'[1]Cleaned Text Field'!P600)</f>
        <v>0.25</v>
      </c>
      <c r="Q600">
        <v>3354.05</v>
      </c>
      <c r="R600">
        <v>2672.67</v>
      </c>
      <c r="S600">
        <v>681.38</v>
      </c>
      <c r="T600" t="str">
        <f>PROPER(TRIM([1]raw_orders!T600))</f>
        <v>Paid</v>
      </c>
      <c r="U600" t="str">
        <f>PROPER(TRIM([1]raw_orders!U600))</f>
        <v>Completed</v>
      </c>
      <c r="V600" s="6">
        <f t="shared" si="72"/>
        <v>0.20315141396222475</v>
      </c>
      <c r="W600" t="str">
        <f t="shared" si="73"/>
        <v>August</v>
      </c>
      <c r="X600">
        <f t="shared" si="74"/>
        <v>2024</v>
      </c>
      <c r="Y600">
        <f t="shared" si="75"/>
        <v>7</v>
      </c>
      <c r="Z600" s="7">
        <f t="shared" si="76"/>
        <v>0.25</v>
      </c>
      <c r="AA600">
        <f t="shared" si="77"/>
        <v>3354.0524999999998</v>
      </c>
      <c r="AB600">
        <f t="shared" si="78"/>
        <v>681.38000000000011</v>
      </c>
      <c r="AC600" t="str">
        <f t="shared" si="79"/>
        <v>Clean</v>
      </c>
    </row>
    <row r="601" spans="1:29">
      <c r="A601" t="s">
        <v>1831</v>
      </c>
      <c r="B601" s="4">
        <v>45523</v>
      </c>
      <c r="C601" s="4">
        <v>45525</v>
      </c>
      <c r="D601" t="s">
        <v>1832</v>
      </c>
      <c r="E601" t="str">
        <f>PROPER(TRIM([1]raw_orders!E601))</f>
        <v>Arjun Bose</v>
      </c>
      <c r="F601" t="str">
        <f>PROPER(TRIM([1]raw_orders!F601))</f>
        <v>Consumer</v>
      </c>
      <c r="G601" t="str">
        <f>IF('[1]Cleaned Text Field'!G601="","Unknown",'[1]Cleaned Text Field'!G601)</f>
        <v>North</v>
      </c>
      <c r="H601" t="str">
        <f>PROPER(TRIM([1]raw_orders!H601))</f>
        <v>Punjab</v>
      </c>
      <c r="I601" t="str">
        <f>PROPER(TRIM([1]raw_orders!I601))</f>
        <v>Ludhiana</v>
      </c>
      <c r="J601" t="str">
        <f>PROPER(TRIM([1]raw_orders!J601))</f>
        <v>Technology</v>
      </c>
      <c r="K601" t="str">
        <f>PROPER(TRIM([1]raw_orders!K601))</f>
        <v>Phones</v>
      </c>
      <c r="L601" t="s">
        <v>1833</v>
      </c>
      <c r="M601" t="str">
        <f>IF('[1]Cleaned Text Field'!M601="","Unknown",'[1]Cleaned Text Field'!M601)</f>
        <v>First Class</v>
      </c>
      <c r="N601">
        <f>IF('[1]Cleaned Text Field'!N601="",0,'[1]Cleaned Text Field'!N601)</f>
        <v>3</v>
      </c>
      <c r="O601">
        <v>1103.54</v>
      </c>
      <c r="P601" s="5">
        <f>IF('[1]Cleaned Text Field'!P601="",0,'[1]Cleaned Text Field'!P601)</f>
        <v>0.25</v>
      </c>
      <c r="Q601">
        <v>2482.9699999999998</v>
      </c>
      <c r="R601">
        <v>1621.72</v>
      </c>
      <c r="S601">
        <v>861.25</v>
      </c>
      <c r="T601" t="str">
        <f>PROPER(TRIM([1]raw_orders!T601))</f>
        <v>Paid</v>
      </c>
      <c r="U601" t="str">
        <f>PROPER(TRIM([1]raw_orders!U601))</f>
        <v>Completed</v>
      </c>
      <c r="V601" s="6">
        <f t="shared" si="72"/>
        <v>0.34686282959520254</v>
      </c>
      <c r="W601" t="str">
        <f t="shared" si="73"/>
        <v>August</v>
      </c>
      <c r="X601">
        <f t="shared" si="74"/>
        <v>2024</v>
      </c>
      <c r="Y601">
        <f t="shared" si="75"/>
        <v>2</v>
      </c>
      <c r="Z601" s="7">
        <f t="shared" si="76"/>
        <v>0.25</v>
      </c>
      <c r="AA601">
        <f t="shared" si="77"/>
        <v>2482.9650000000001</v>
      </c>
      <c r="AB601">
        <f t="shared" si="78"/>
        <v>861.24999999999977</v>
      </c>
      <c r="AC601" t="str">
        <f t="shared" si="79"/>
        <v>Clean</v>
      </c>
    </row>
    <row r="602" spans="1:29">
      <c r="A602" t="s">
        <v>1834</v>
      </c>
      <c r="B602" s="4">
        <v>45780</v>
      </c>
      <c r="C602" s="4">
        <v>45728</v>
      </c>
      <c r="D602" t="s">
        <v>1835</v>
      </c>
      <c r="E602" t="str">
        <f>PROPER(TRIM([1]raw_orders!E602))</f>
        <v>Ananya Rao</v>
      </c>
      <c r="F602" t="str">
        <f>PROPER(TRIM([1]raw_orders!F602))</f>
        <v>Corporate</v>
      </c>
      <c r="G602" t="str">
        <f>IF('[1]Cleaned Text Field'!G602="","Unknown",'[1]Cleaned Text Field'!G602)</f>
        <v>West</v>
      </c>
      <c r="H602" t="str">
        <f>PROPER(TRIM([1]raw_orders!H602))</f>
        <v>Madhya Pradesh</v>
      </c>
      <c r="I602" t="str">
        <f>PROPER(TRIM([1]raw_orders!I602))</f>
        <v>Indore</v>
      </c>
      <c r="J602" t="str">
        <f>PROPER(TRIM([1]raw_orders!J602))</f>
        <v>Office Supplies</v>
      </c>
      <c r="K602" t="str">
        <f>PROPER(TRIM([1]raw_orders!K602))</f>
        <v>Storage</v>
      </c>
      <c r="L602" t="s">
        <v>1836</v>
      </c>
      <c r="M602" t="str">
        <f>IF('[1]Cleaned Text Field'!M602="","Unknown",'[1]Cleaned Text Field'!M602)</f>
        <v>Same Day</v>
      </c>
      <c r="N602">
        <f>IF('[1]Cleaned Text Field'!N602="",0,'[1]Cleaned Text Field'!N602)</f>
        <v>3</v>
      </c>
      <c r="O602">
        <v>3682.75</v>
      </c>
      <c r="P602" s="5">
        <f>IF('[1]Cleaned Text Field'!P602="",0,'[1]Cleaned Text Field'!P602)</f>
        <v>0</v>
      </c>
      <c r="Q602">
        <v>11048.25</v>
      </c>
      <c r="R602">
        <v>9062.7199999999993</v>
      </c>
      <c r="S602">
        <v>1985.53</v>
      </c>
      <c r="T602" t="str">
        <f>PROPER(TRIM([1]raw_orders!T602))</f>
        <v>Paid</v>
      </c>
      <c r="U602" t="str">
        <f>PROPER(TRIM([1]raw_orders!U602))</f>
        <v>Completed</v>
      </c>
      <c r="V602" s="6">
        <f t="shared" si="72"/>
        <v>0.17971443441268978</v>
      </c>
      <c r="W602" t="str">
        <f t="shared" si="73"/>
        <v>May</v>
      </c>
      <c r="X602">
        <f t="shared" si="74"/>
        <v>2025</v>
      </c>
      <c r="Y602">
        <f t="shared" si="75"/>
        <v>-52</v>
      </c>
      <c r="Z602" s="7">
        <f t="shared" si="76"/>
        <v>0</v>
      </c>
      <c r="AA602">
        <f t="shared" si="77"/>
        <v>11048.25</v>
      </c>
      <c r="AB602">
        <f t="shared" si="78"/>
        <v>1985.5300000000007</v>
      </c>
      <c r="AC602" t="str">
        <f t="shared" si="79"/>
        <v>Warning</v>
      </c>
    </row>
    <row r="603" spans="1:29">
      <c r="A603" t="s">
        <v>1837</v>
      </c>
      <c r="B603" s="4">
        <v>45317</v>
      </c>
      <c r="C603" s="4">
        <v>45322</v>
      </c>
      <c r="D603" t="s">
        <v>1838</v>
      </c>
      <c r="E603" t="str">
        <f>PROPER(TRIM([1]raw_orders!E603))</f>
        <v>Ananya Rao</v>
      </c>
      <c r="F603" t="str">
        <f>PROPER(TRIM([1]raw_orders!F603))</f>
        <v>Home Office</v>
      </c>
      <c r="G603" t="str">
        <f>IF('[1]Cleaned Text Field'!G603="","Unknown",'[1]Cleaned Text Field'!G603)</f>
        <v>East</v>
      </c>
      <c r="H603" t="str">
        <f>PROPER(TRIM([1]raw_orders!H603))</f>
        <v>West Bengal</v>
      </c>
      <c r="I603" t="str">
        <f>PROPER(TRIM([1]raw_orders!I603))</f>
        <v>Kolkata</v>
      </c>
      <c r="J603" t="str">
        <f>PROPER(TRIM([1]raw_orders!J603))</f>
        <v>Office Supplies</v>
      </c>
      <c r="K603" t="str">
        <f>PROPER(TRIM([1]raw_orders!K603))</f>
        <v>Paper</v>
      </c>
      <c r="L603" t="s">
        <v>1839</v>
      </c>
      <c r="M603" t="str">
        <f>IF('[1]Cleaned Text Field'!M603="","Unknown",'[1]Cleaned Text Field'!M603)</f>
        <v>Second Class</v>
      </c>
      <c r="N603">
        <f>IF('[1]Cleaned Text Field'!N603="",0,'[1]Cleaned Text Field'!N603)</f>
        <v>5</v>
      </c>
      <c r="O603">
        <v>1615.03</v>
      </c>
      <c r="P603" s="5">
        <f>IF('[1]Cleaned Text Field'!P603="",0,'[1]Cleaned Text Field'!P603)</f>
        <v>0.2</v>
      </c>
      <c r="Q603">
        <v>6460.12</v>
      </c>
      <c r="R603">
        <v>3604.03</v>
      </c>
      <c r="S603">
        <v>2856.09</v>
      </c>
      <c r="T603" t="str">
        <f>PROPER(TRIM([1]raw_orders!T603))</f>
        <v>Paid</v>
      </c>
      <c r="U603" t="str">
        <f>PROPER(TRIM([1]raw_orders!U603))</f>
        <v>Completed</v>
      </c>
      <c r="V603" s="6">
        <f t="shared" si="72"/>
        <v>0.4421109824585302</v>
      </c>
      <c r="W603" t="str">
        <f t="shared" si="73"/>
        <v>January</v>
      </c>
      <c r="X603">
        <f t="shared" si="74"/>
        <v>2024</v>
      </c>
      <c r="Y603">
        <f t="shared" si="75"/>
        <v>5</v>
      </c>
      <c r="Z603" s="7">
        <f t="shared" si="76"/>
        <v>0.2</v>
      </c>
      <c r="AA603">
        <f t="shared" si="77"/>
        <v>6460.12</v>
      </c>
      <c r="AB603">
        <f t="shared" si="78"/>
        <v>2856.0899999999997</v>
      </c>
      <c r="AC603" t="str">
        <f t="shared" si="79"/>
        <v>Clean</v>
      </c>
    </row>
    <row r="604" spans="1:29">
      <c r="A604" t="s">
        <v>1840</v>
      </c>
      <c r="B604" s="4">
        <v>45588</v>
      </c>
      <c r="C604" s="4">
        <v>45595</v>
      </c>
      <c r="D604" t="s">
        <v>1841</v>
      </c>
      <c r="E604" t="str">
        <f>PROPER(TRIM([1]raw_orders!E604))</f>
        <v>Aarav Sharma</v>
      </c>
      <c r="F604" t="str">
        <f>PROPER(TRIM([1]raw_orders!F604))</f>
        <v>Consumer</v>
      </c>
      <c r="G604" t="str">
        <f>IF('[1]Cleaned Text Field'!G604="","Unknown",'[1]Cleaned Text Field'!G604)</f>
        <v>East</v>
      </c>
      <c r="H604" t="str">
        <f>PROPER(TRIM([1]raw_orders!H604))</f>
        <v>Jharkhand</v>
      </c>
      <c r="I604" t="str">
        <f>PROPER(TRIM([1]raw_orders!I604))</f>
        <v>Ranchi</v>
      </c>
      <c r="J604" t="str">
        <f>PROPER(TRIM([1]raw_orders!J604))</f>
        <v>Technology</v>
      </c>
      <c r="K604" t="str">
        <f>PROPER(TRIM([1]raw_orders!K604))</f>
        <v>Copiers</v>
      </c>
      <c r="L604" t="s">
        <v>1842</v>
      </c>
      <c r="M604" t="str">
        <f>IF('[1]Cleaned Text Field'!M604="","Unknown",'[1]Cleaned Text Field'!M604)</f>
        <v>Second Class</v>
      </c>
      <c r="N604">
        <f>IF('[1]Cleaned Text Field'!N604="",0,'[1]Cleaned Text Field'!N604)</f>
        <v>9</v>
      </c>
      <c r="O604">
        <v>3423.82</v>
      </c>
      <c r="P604" s="5">
        <f>IF('[1]Cleaned Text Field'!P604="",0,'[1]Cleaned Text Field'!P604)</f>
        <v>0.15</v>
      </c>
      <c r="Q604">
        <v>26192.22</v>
      </c>
      <c r="R604">
        <v>20795.55</v>
      </c>
      <c r="S604">
        <v>5396.67</v>
      </c>
      <c r="T604" t="str">
        <f>PROPER(TRIM([1]raw_orders!T604))</f>
        <v>Paid</v>
      </c>
      <c r="U604" t="str">
        <f>PROPER(TRIM([1]raw_orders!U604))</f>
        <v>Completed</v>
      </c>
      <c r="V604" s="6">
        <f t="shared" si="72"/>
        <v>0.20604095414592577</v>
      </c>
      <c r="W604" t="str">
        <f t="shared" si="73"/>
        <v>October</v>
      </c>
      <c r="X604">
        <f t="shared" si="74"/>
        <v>2024</v>
      </c>
      <c r="Y604">
        <f t="shared" si="75"/>
        <v>7</v>
      </c>
      <c r="Z604" s="7">
        <f t="shared" si="76"/>
        <v>0.15</v>
      </c>
      <c r="AA604">
        <f t="shared" si="77"/>
        <v>26192.223000000002</v>
      </c>
      <c r="AB604">
        <f t="shared" si="78"/>
        <v>5396.6700000000019</v>
      </c>
      <c r="AC604" t="str">
        <f t="shared" si="79"/>
        <v>Clean</v>
      </c>
    </row>
    <row r="605" spans="1:29">
      <c r="A605" t="s">
        <v>1843</v>
      </c>
      <c r="B605" s="4">
        <v>45660</v>
      </c>
      <c r="C605" s="4">
        <v>45962</v>
      </c>
      <c r="D605" t="s">
        <v>279</v>
      </c>
      <c r="E605" t="str">
        <f>PROPER(TRIM([1]raw_orders!E605))</f>
        <v>Vikram Iyer</v>
      </c>
      <c r="F605" t="str">
        <f>PROPER(TRIM([1]raw_orders!F605))</f>
        <v>Corporate</v>
      </c>
      <c r="G605" t="str">
        <f>IF('[1]Cleaned Text Field'!G605="","Unknown",'[1]Cleaned Text Field'!G605)</f>
        <v>East</v>
      </c>
      <c r="H605" t="str">
        <f>PROPER(TRIM([1]raw_orders!H605))</f>
        <v>Bihar</v>
      </c>
      <c r="I605" t="str">
        <f>PROPER(TRIM([1]raw_orders!I605))</f>
        <v>Patna</v>
      </c>
      <c r="J605" t="str">
        <f>PROPER(TRIM([1]raw_orders!J605))</f>
        <v>Technology</v>
      </c>
      <c r="K605" t="str">
        <f>PROPER(TRIM([1]raw_orders!K605))</f>
        <v>Accessories</v>
      </c>
      <c r="L605" t="s">
        <v>1844</v>
      </c>
      <c r="M605" t="str">
        <f>IF('[1]Cleaned Text Field'!M605="","Unknown",'[1]Cleaned Text Field'!M605)</f>
        <v>First Class</v>
      </c>
      <c r="N605">
        <f>IF('[1]Cleaned Text Field'!N605="",0,'[1]Cleaned Text Field'!N605)</f>
        <v>8</v>
      </c>
      <c r="O605">
        <v>2574.29</v>
      </c>
      <c r="P605" s="5">
        <f>IF('[1]Cleaned Text Field'!P605="",0,'[1]Cleaned Text Field'!P605)</f>
        <v>0.05</v>
      </c>
      <c r="Q605">
        <v>19564.599999999999</v>
      </c>
      <c r="R605">
        <v>11154.59</v>
      </c>
      <c r="S605">
        <v>8410.01</v>
      </c>
      <c r="T605" t="str">
        <f>PROPER(TRIM([1]raw_orders!T605))</f>
        <v>Pending</v>
      </c>
      <c r="U605" t="str">
        <f>PROPER(TRIM([1]raw_orders!U605))</f>
        <v>Cancelled</v>
      </c>
      <c r="V605" s="6">
        <f t="shared" si="72"/>
        <v>0.42985851997996388</v>
      </c>
      <c r="W605" t="str">
        <f t="shared" si="73"/>
        <v>January</v>
      </c>
      <c r="X605">
        <f t="shared" si="74"/>
        <v>2025</v>
      </c>
      <c r="Y605">
        <f t="shared" si="75"/>
        <v>302</v>
      </c>
      <c r="Z605" s="7">
        <f t="shared" si="76"/>
        <v>0.05</v>
      </c>
      <c r="AA605">
        <f t="shared" si="77"/>
        <v>19564.603999999999</v>
      </c>
      <c r="AB605">
        <f t="shared" si="78"/>
        <v>8410.0099999999984</v>
      </c>
      <c r="AC605" t="str">
        <f t="shared" si="79"/>
        <v>Clean</v>
      </c>
    </row>
    <row r="606" spans="1:29">
      <c r="A606" t="s">
        <v>1845</v>
      </c>
      <c r="B606" s="4">
        <v>45779</v>
      </c>
      <c r="C606" s="4">
        <v>45694</v>
      </c>
      <c r="D606" t="s">
        <v>1846</v>
      </c>
      <c r="E606" t="str">
        <f>PROPER(TRIM([1]raw_orders!E606))</f>
        <v>Ananya Rao</v>
      </c>
      <c r="F606" t="str">
        <f>PROPER(TRIM([1]raw_orders!F606))</f>
        <v>Consumer</v>
      </c>
      <c r="G606" t="str">
        <f>IF('[1]Cleaned Text Field'!G606="","Unknown",'[1]Cleaned Text Field'!G606)</f>
        <v>West</v>
      </c>
      <c r="H606" t="str">
        <f>PROPER(TRIM([1]raw_orders!H606))</f>
        <v>Madhya Pradesh</v>
      </c>
      <c r="I606" t="str">
        <f>PROPER(TRIM([1]raw_orders!I606))</f>
        <v>Indore</v>
      </c>
      <c r="J606" t="str">
        <f>PROPER(TRIM([1]raw_orders!J606))</f>
        <v>Office Supplies</v>
      </c>
      <c r="K606" t="str">
        <f>PROPER(TRIM([1]raw_orders!K606))</f>
        <v>Binders</v>
      </c>
      <c r="L606" t="s">
        <v>1847</v>
      </c>
      <c r="M606" t="str">
        <f>IF('[1]Cleaned Text Field'!M606="","Unknown",'[1]Cleaned Text Field'!M606)</f>
        <v>Same Day</v>
      </c>
      <c r="N606">
        <f>IF('[1]Cleaned Text Field'!N606="",0,'[1]Cleaned Text Field'!N606)</f>
        <v>3</v>
      </c>
      <c r="O606">
        <v>1076.3</v>
      </c>
      <c r="P606" s="5">
        <f>IF('[1]Cleaned Text Field'!P606="",0,'[1]Cleaned Text Field'!P606)</f>
        <v>0</v>
      </c>
      <c r="Q606">
        <v>3228.9</v>
      </c>
      <c r="R606">
        <v>1853.23</v>
      </c>
      <c r="S606">
        <v>1375.67</v>
      </c>
      <c r="T606" t="str">
        <f>PROPER(TRIM([1]raw_orders!T606))</f>
        <v>Paid</v>
      </c>
      <c r="U606" t="str">
        <f>PROPER(TRIM([1]raw_orders!U606))</f>
        <v>Completed</v>
      </c>
      <c r="V606" s="6">
        <f t="shared" si="72"/>
        <v>0.42604911889497971</v>
      </c>
      <c r="W606" t="str">
        <f t="shared" si="73"/>
        <v>May</v>
      </c>
      <c r="X606">
        <f t="shared" si="74"/>
        <v>2025</v>
      </c>
      <c r="Y606">
        <f t="shared" si="75"/>
        <v>-85</v>
      </c>
      <c r="Z606" s="7">
        <f t="shared" si="76"/>
        <v>0</v>
      </c>
      <c r="AA606">
        <f t="shared" si="77"/>
        <v>3228.8999999999996</v>
      </c>
      <c r="AB606">
        <f t="shared" si="78"/>
        <v>1375.67</v>
      </c>
      <c r="AC606" t="str">
        <f t="shared" si="79"/>
        <v>Warning</v>
      </c>
    </row>
    <row r="607" spans="1:29">
      <c r="A607" t="s">
        <v>1848</v>
      </c>
      <c r="B607" s="4">
        <v>45847</v>
      </c>
      <c r="C607" s="4">
        <v>45851</v>
      </c>
      <c r="D607" t="s">
        <v>1849</v>
      </c>
      <c r="E607" t="str">
        <f>PROPER(TRIM([1]raw_orders!E607))</f>
        <v>Kabir Singh</v>
      </c>
      <c r="F607" t="str">
        <f>PROPER(TRIM([1]raw_orders!F607))</f>
        <v>Corporate</v>
      </c>
      <c r="G607" t="str">
        <f>IF('[1]Cleaned Text Field'!G607="","Unknown",'[1]Cleaned Text Field'!G607)</f>
        <v>West</v>
      </c>
      <c r="H607" t="str">
        <f>PROPER(TRIM([1]raw_orders!H607))</f>
        <v>Goa</v>
      </c>
      <c r="I607" t="str">
        <f>PROPER(TRIM([1]raw_orders!I607))</f>
        <v>Panaji</v>
      </c>
      <c r="J607" t="str">
        <f>PROPER(TRIM([1]raw_orders!J607))</f>
        <v>Furniture</v>
      </c>
      <c r="K607" t="str">
        <f>PROPER(TRIM([1]raw_orders!K607))</f>
        <v>Furnishings</v>
      </c>
      <c r="L607" t="s">
        <v>1850</v>
      </c>
      <c r="M607" t="str">
        <f>IF('[1]Cleaned Text Field'!M607="","Unknown",'[1]Cleaned Text Field'!M607)</f>
        <v>Second Class</v>
      </c>
      <c r="N607">
        <f>IF('[1]Cleaned Text Field'!N607="",0,'[1]Cleaned Text Field'!N607)</f>
        <v>5</v>
      </c>
      <c r="O607">
        <v>1680.01</v>
      </c>
      <c r="P607" s="5" t="str">
        <f>IF('[1]Cleaned Text Field'!P607="",0,'[1]Cleaned Text Field'!P607)</f>
        <v>85%</v>
      </c>
      <c r="Q607">
        <v>7560.04</v>
      </c>
      <c r="R607">
        <v>6448.05</v>
      </c>
      <c r="S607">
        <v>1111.99</v>
      </c>
      <c r="T607" t="str">
        <f>PROPER(TRIM([1]raw_orders!T607))</f>
        <v>Paid</v>
      </c>
      <c r="U607" t="str">
        <f>PROPER(TRIM([1]raw_orders!U607))</f>
        <v>Cancelled</v>
      </c>
      <c r="V607" s="6">
        <f t="shared" si="72"/>
        <v>0.14708784609605241</v>
      </c>
      <c r="W607" t="str">
        <f t="shared" si="73"/>
        <v>July</v>
      </c>
      <c r="X607">
        <f t="shared" si="74"/>
        <v>2025</v>
      </c>
      <c r="Y607">
        <f t="shared" si="75"/>
        <v>4</v>
      </c>
      <c r="Z607" s="7">
        <f>VALUE(SUBSTITUTE(P607,"%",""))/100</f>
        <v>0.85</v>
      </c>
      <c r="AA607">
        <f t="shared" si="77"/>
        <v>1260.0075000000002</v>
      </c>
      <c r="AB607">
        <f t="shared" si="78"/>
        <v>1111.9899999999998</v>
      </c>
      <c r="AC607" t="str">
        <f t="shared" si="79"/>
        <v>Clean</v>
      </c>
    </row>
    <row r="608" spans="1:29">
      <c r="A608" t="s">
        <v>1851</v>
      </c>
      <c r="B608" s="4">
        <v>45710</v>
      </c>
      <c r="C608" s="4">
        <v>45716</v>
      </c>
      <c r="D608" t="s">
        <v>1852</v>
      </c>
      <c r="E608" t="str">
        <f>PROPER(TRIM([1]raw_orders!E608))</f>
        <v>Rahul Verma</v>
      </c>
      <c r="F608" t="str">
        <f>PROPER(TRIM([1]raw_orders!F608))</f>
        <v>Home Office</v>
      </c>
      <c r="G608" t="str">
        <f>IF('[1]Cleaned Text Field'!G608="","Unknown",'[1]Cleaned Text Field'!G608)</f>
        <v>West</v>
      </c>
      <c r="H608" t="str">
        <f>PROPER(TRIM([1]raw_orders!H608))</f>
        <v>Madhya Pradesh</v>
      </c>
      <c r="I608" t="str">
        <f>PROPER(TRIM([1]raw_orders!I608))</f>
        <v>Indore</v>
      </c>
      <c r="J608" t="str">
        <f>PROPER(TRIM([1]raw_orders!J608))</f>
        <v>Technology</v>
      </c>
      <c r="K608" t="str">
        <f>PROPER(TRIM([1]raw_orders!K608))</f>
        <v>Copiers</v>
      </c>
      <c r="L608" t="s">
        <v>1853</v>
      </c>
      <c r="M608" t="str">
        <f>IF('[1]Cleaned Text Field'!M608="","Unknown",'[1]Cleaned Text Field'!M608)</f>
        <v>Same Day</v>
      </c>
      <c r="N608">
        <f>IF('[1]Cleaned Text Field'!N608="",0,'[1]Cleaned Text Field'!N608)</f>
        <v>3</v>
      </c>
      <c r="O608">
        <v>3890.81</v>
      </c>
      <c r="P608" s="5">
        <f>IF('[1]Cleaned Text Field'!P608="",0,'[1]Cleaned Text Field'!P608)</f>
        <v>0.25</v>
      </c>
      <c r="Q608">
        <v>8754.32</v>
      </c>
      <c r="R608">
        <v>6238.9</v>
      </c>
      <c r="S608">
        <v>2515.42</v>
      </c>
      <c r="T608" t="str">
        <f>PROPER(TRIM([1]raw_orders!T608))</f>
        <v>Paid</v>
      </c>
      <c r="U608" t="str">
        <f>PROPER(TRIM([1]raw_orders!U608))</f>
        <v>Completed</v>
      </c>
      <c r="V608" s="6">
        <f t="shared" si="72"/>
        <v>0.28733471017737533</v>
      </c>
      <c r="W608" t="str">
        <f t="shared" si="73"/>
        <v>February</v>
      </c>
      <c r="X608">
        <f t="shared" si="74"/>
        <v>2025</v>
      </c>
      <c r="Y608">
        <f t="shared" si="75"/>
        <v>6</v>
      </c>
      <c r="Z608" s="7">
        <f t="shared" si="76"/>
        <v>0.25</v>
      </c>
      <c r="AA608">
        <f t="shared" si="77"/>
        <v>8754.3225000000002</v>
      </c>
      <c r="AB608">
        <f t="shared" si="78"/>
        <v>2515.42</v>
      </c>
      <c r="AC608" t="str">
        <f t="shared" si="79"/>
        <v>Clean</v>
      </c>
    </row>
    <row r="609" spans="1:29">
      <c r="A609" t="s">
        <v>1854</v>
      </c>
      <c r="B609" s="4">
        <v>45704</v>
      </c>
      <c r="C609" s="4">
        <v>45710</v>
      </c>
      <c r="D609" t="s">
        <v>1855</v>
      </c>
      <c r="E609" t="str">
        <f>PROPER(TRIM([1]raw_orders!E609))</f>
        <v>Sneha Kapoor</v>
      </c>
      <c r="F609" t="str">
        <f>PROPER(TRIM([1]raw_orders!F609))</f>
        <v>Home Office</v>
      </c>
      <c r="G609" t="str">
        <f>IF('[1]Cleaned Text Field'!G609="","Unknown",'[1]Cleaned Text Field'!G609)</f>
        <v>East</v>
      </c>
      <c r="H609" t="str">
        <f>PROPER(TRIM([1]raw_orders!H609))</f>
        <v>Bihar</v>
      </c>
      <c r="I609" t="str">
        <f>PROPER(TRIM([1]raw_orders!I609))</f>
        <v>Patna</v>
      </c>
      <c r="J609" t="str">
        <f>PROPER(TRIM([1]raw_orders!J609))</f>
        <v>Office Supplies</v>
      </c>
      <c r="K609" t="str">
        <f>PROPER(TRIM([1]raw_orders!K609))</f>
        <v>Storage</v>
      </c>
      <c r="L609" t="s">
        <v>1856</v>
      </c>
      <c r="M609" t="str">
        <f>IF('[1]Cleaned Text Field'!M609="","Unknown",'[1]Cleaned Text Field'!M609)</f>
        <v>Same Day</v>
      </c>
      <c r="N609">
        <f>IF('[1]Cleaned Text Field'!N609="",0,'[1]Cleaned Text Field'!N609)</f>
        <v>5</v>
      </c>
      <c r="O609">
        <v>954.67</v>
      </c>
      <c r="P609" s="5">
        <f>IF('[1]Cleaned Text Field'!P609="",0,'[1]Cleaned Text Field'!P609)</f>
        <v>0.15</v>
      </c>
      <c r="Q609">
        <v>4057.35</v>
      </c>
      <c r="R609">
        <v>2862.03</v>
      </c>
      <c r="S609">
        <v>1195.32</v>
      </c>
      <c r="T609" t="str">
        <f>PROPER(TRIM([1]raw_orders!T609))</f>
        <v>Paid</v>
      </c>
      <c r="U609" t="str">
        <f>PROPER(TRIM([1]raw_orders!U609))</f>
        <v>Completed</v>
      </c>
      <c r="V609" s="6">
        <f t="shared" si="72"/>
        <v>0.29460608525268955</v>
      </c>
      <c r="W609" t="str">
        <f t="shared" si="73"/>
        <v>February</v>
      </c>
      <c r="X609">
        <f t="shared" si="74"/>
        <v>2025</v>
      </c>
      <c r="Y609">
        <f t="shared" si="75"/>
        <v>6</v>
      </c>
      <c r="Z609" s="7">
        <f t="shared" si="76"/>
        <v>0.15</v>
      </c>
      <c r="AA609">
        <f t="shared" si="77"/>
        <v>4057.3474999999994</v>
      </c>
      <c r="AB609">
        <f t="shared" si="78"/>
        <v>1195.3199999999997</v>
      </c>
      <c r="AC609" t="str">
        <f t="shared" si="79"/>
        <v>Clean</v>
      </c>
    </row>
    <row r="610" spans="1:29">
      <c r="A610" t="s">
        <v>1857</v>
      </c>
      <c r="B610" s="4">
        <v>45464</v>
      </c>
      <c r="C610" s="4">
        <v>45466</v>
      </c>
      <c r="D610" t="s">
        <v>1635</v>
      </c>
      <c r="E610" t="str">
        <f>PROPER(TRIM([1]raw_orders!E610))</f>
        <v>Karan Malhotra</v>
      </c>
      <c r="F610" t="str">
        <f>PROPER(TRIM([1]raw_orders!F610))</f>
        <v>Home Office</v>
      </c>
      <c r="G610" t="str">
        <f>IF('[1]Cleaned Text Field'!G610="","Unknown",'[1]Cleaned Text Field'!G610)</f>
        <v>West</v>
      </c>
      <c r="H610" t="str">
        <f>PROPER(TRIM([1]raw_orders!H610))</f>
        <v>Goa</v>
      </c>
      <c r="I610" t="str">
        <f>PROPER(TRIM([1]raw_orders!I610))</f>
        <v>Panaji</v>
      </c>
      <c r="J610" t="str">
        <f>PROPER(TRIM([1]raw_orders!J610))</f>
        <v>Furniture</v>
      </c>
      <c r="K610" t="str">
        <f>PROPER(TRIM([1]raw_orders!K610))</f>
        <v>Furnishings</v>
      </c>
      <c r="L610" t="s">
        <v>1858</v>
      </c>
      <c r="M610" t="str">
        <f>IF('[1]Cleaned Text Field'!M610="","Unknown",'[1]Cleaned Text Field'!M610)</f>
        <v>Second Class</v>
      </c>
      <c r="N610">
        <f>IF('[1]Cleaned Text Field'!N610="",0,'[1]Cleaned Text Field'!N610)</f>
        <v>9</v>
      </c>
      <c r="O610">
        <v>2153.75</v>
      </c>
      <c r="P610" s="5">
        <f>IF('[1]Cleaned Text Field'!P610="",0,'[1]Cleaned Text Field'!P610)</f>
        <v>0</v>
      </c>
      <c r="Q610">
        <v>19383.75</v>
      </c>
      <c r="R610">
        <v>11667.43</v>
      </c>
      <c r="S610">
        <v>7716.32</v>
      </c>
      <c r="T610" t="str">
        <f>PROPER(TRIM([1]raw_orders!T610))</f>
        <v>Paid</v>
      </c>
      <c r="U610" t="str">
        <f>PROPER(TRIM([1]raw_orders!U610))</f>
        <v>Completed</v>
      </c>
      <c r="V610" s="6">
        <f t="shared" si="72"/>
        <v>0.39808189849745274</v>
      </c>
      <c r="W610" t="str">
        <f t="shared" si="73"/>
        <v>June</v>
      </c>
      <c r="X610">
        <f t="shared" si="74"/>
        <v>2024</v>
      </c>
      <c r="Y610">
        <f t="shared" si="75"/>
        <v>2</v>
      </c>
      <c r="Z610" s="7">
        <f t="shared" si="76"/>
        <v>0</v>
      </c>
      <c r="AA610">
        <f t="shared" si="77"/>
        <v>19383.75</v>
      </c>
      <c r="AB610">
        <f t="shared" si="78"/>
        <v>7716.32</v>
      </c>
      <c r="AC610" t="str">
        <f t="shared" si="79"/>
        <v>Clean</v>
      </c>
    </row>
    <row r="611" spans="1:29">
      <c r="A611" t="s">
        <v>1859</v>
      </c>
      <c r="B611" s="4">
        <v>45665</v>
      </c>
      <c r="C611" s="4">
        <v>45992</v>
      </c>
      <c r="D611" t="s">
        <v>1860</v>
      </c>
      <c r="E611" t="str">
        <f>PROPER(TRIM([1]raw_orders!E611))</f>
        <v>Sneha Kapoor</v>
      </c>
      <c r="F611" t="str">
        <f>PROPER(TRIM([1]raw_orders!F611))</f>
        <v>Home Office</v>
      </c>
      <c r="G611" t="str">
        <f>IF('[1]Cleaned Text Field'!G611="","Unknown",'[1]Cleaned Text Field'!G611)</f>
        <v>South</v>
      </c>
      <c r="H611" t="str">
        <f>PROPER(TRIM([1]raw_orders!H611))</f>
        <v>Karnataka</v>
      </c>
      <c r="I611" t="str">
        <f>PROPER(TRIM([1]raw_orders!I611))</f>
        <v>Bengaluru</v>
      </c>
      <c r="J611" t="str">
        <f>PROPER(TRIM([1]raw_orders!J611))</f>
        <v>Furniture</v>
      </c>
      <c r="K611" t="str">
        <f>PROPER(TRIM([1]raw_orders!K611))</f>
        <v>Chairs</v>
      </c>
      <c r="L611" t="s">
        <v>1861</v>
      </c>
      <c r="M611" t="str">
        <f>IF('[1]Cleaned Text Field'!M611="","Unknown",'[1]Cleaned Text Field'!M611)</f>
        <v>Standard Class</v>
      </c>
      <c r="N611">
        <f>IF('[1]Cleaned Text Field'!N611="",0,'[1]Cleaned Text Field'!N611)</f>
        <v>7</v>
      </c>
      <c r="O611">
        <v>4337.4799999999996</v>
      </c>
      <c r="P611" s="5">
        <f>IF('[1]Cleaned Text Field'!P611="",0,'[1]Cleaned Text Field'!P611)</f>
        <v>0</v>
      </c>
      <c r="Q611">
        <v>30362.36</v>
      </c>
      <c r="R611">
        <v>25065.4</v>
      </c>
      <c r="S611">
        <v>5296.96</v>
      </c>
      <c r="T611" t="str">
        <f>PROPER(TRIM([1]raw_orders!T611))</f>
        <v>Paid</v>
      </c>
      <c r="U611" t="str">
        <f>PROPER(TRIM([1]raw_orders!U611))</f>
        <v>Completed</v>
      </c>
      <c r="V611" s="6">
        <f t="shared" si="72"/>
        <v>0.17445811195177185</v>
      </c>
      <c r="W611" t="str">
        <f t="shared" si="73"/>
        <v>January</v>
      </c>
      <c r="X611">
        <f t="shared" si="74"/>
        <v>2025</v>
      </c>
      <c r="Y611">
        <f t="shared" si="75"/>
        <v>327</v>
      </c>
      <c r="Z611" s="7">
        <f t="shared" si="76"/>
        <v>0</v>
      </c>
      <c r="AA611">
        <f t="shared" si="77"/>
        <v>30362.359999999997</v>
      </c>
      <c r="AB611">
        <f t="shared" si="78"/>
        <v>5296.9599999999991</v>
      </c>
      <c r="AC611" t="str">
        <f t="shared" si="79"/>
        <v>Clean</v>
      </c>
    </row>
    <row r="612" spans="1:29">
      <c r="A612" t="s">
        <v>1862</v>
      </c>
      <c r="B612" s="4">
        <v>45432</v>
      </c>
      <c r="C612" s="4">
        <v>45432</v>
      </c>
      <c r="D612" t="s">
        <v>1307</v>
      </c>
      <c r="E612" t="str">
        <f>PROPER(TRIM([1]raw_orders!E612))</f>
        <v>Karan Malhotra</v>
      </c>
      <c r="F612" t="str">
        <f>PROPER(TRIM([1]raw_orders!F612))</f>
        <v>Home Office</v>
      </c>
      <c r="G612" t="str">
        <f>IF('[1]Cleaned Text Field'!G612="","Unknown",'[1]Cleaned Text Field'!G612)</f>
        <v>West</v>
      </c>
      <c r="H612" t="str">
        <f>PROPER(TRIM([1]raw_orders!H612))</f>
        <v>Madhya Pradesh</v>
      </c>
      <c r="I612" t="str">
        <f>PROPER(TRIM([1]raw_orders!I612))</f>
        <v>Indore</v>
      </c>
      <c r="J612" t="str">
        <f>PROPER(TRIM([1]raw_orders!J612))</f>
        <v>Furniture</v>
      </c>
      <c r="K612" t="str">
        <f>PROPER(TRIM([1]raw_orders!K612))</f>
        <v>Chairs</v>
      </c>
      <c r="L612" t="s">
        <v>1863</v>
      </c>
      <c r="M612" t="str">
        <f>IF('[1]Cleaned Text Field'!M612="","Unknown",'[1]Cleaned Text Field'!M612)</f>
        <v>Standard Class</v>
      </c>
      <c r="N612">
        <f>IF('[1]Cleaned Text Field'!N612="",0,'[1]Cleaned Text Field'!N612)</f>
        <v>1</v>
      </c>
      <c r="O612">
        <v>3032.95</v>
      </c>
      <c r="P612" s="5">
        <f>IF('[1]Cleaned Text Field'!P612="",0,'[1]Cleaned Text Field'!P612)</f>
        <v>0.1</v>
      </c>
      <c r="Q612">
        <v>2729.65</v>
      </c>
      <c r="R612">
        <v>1715.36</v>
      </c>
      <c r="S612">
        <v>1014.29</v>
      </c>
      <c r="T612" t="str">
        <f>PROPER(TRIM([1]raw_orders!T612))</f>
        <v>Paid</v>
      </c>
      <c r="U612" t="str">
        <f>PROPER(TRIM([1]raw_orders!U612))</f>
        <v>Completed</v>
      </c>
      <c r="V612" s="6">
        <f t="shared" si="72"/>
        <v>0.37158243730881246</v>
      </c>
      <c r="W612" t="str">
        <f t="shared" si="73"/>
        <v>May</v>
      </c>
      <c r="X612">
        <f t="shared" si="74"/>
        <v>2024</v>
      </c>
      <c r="Y612">
        <f t="shared" si="75"/>
        <v>0</v>
      </c>
      <c r="Z612" s="7">
        <f t="shared" si="76"/>
        <v>0.1</v>
      </c>
      <c r="AA612">
        <f t="shared" si="77"/>
        <v>2729.6549999999997</v>
      </c>
      <c r="AB612">
        <f t="shared" si="78"/>
        <v>1014.2900000000002</v>
      </c>
      <c r="AC612" t="str">
        <f t="shared" si="79"/>
        <v>Clean</v>
      </c>
    </row>
    <row r="613" spans="1:29">
      <c r="A613" t="s">
        <v>1864</v>
      </c>
      <c r="B613" s="4">
        <v>45876</v>
      </c>
      <c r="C613" s="4">
        <v>45853</v>
      </c>
      <c r="D613" t="s">
        <v>1865</v>
      </c>
      <c r="E613" t="str">
        <f>PROPER(TRIM([1]raw_orders!E613))</f>
        <v>Ananya Rao</v>
      </c>
      <c r="F613" t="str">
        <f>PROPER(TRIM([1]raw_orders!F613))</f>
        <v>Small Business</v>
      </c>
      <c r="G613" t="str">
        <f>IF('[1]Cleaned Text Field'!G613="","Unknown",'[1]Cleaned Text Field'!G613)</f>
        <v>North</v>
      </c>
      <c r="H613" t="str">
        <f>PROPER(TRIM([1]raw_orders!H613))</f>
        <v>Rajasthan</v>
      </c>
      <c r="I613" t="str">
        <f>PROPER(TRIM([1]raw_orders!I613))</f>
        <v>Jaipur</v>
      </c>
      <c r="J613" t="str">
        <f>PROPER(TRIM([1]raw_orders!J613))</f>
        <v>Office Supplies</v>
      </c>
      <c r="K613" t="str">
        <f>PROPER(TRIM([1]raw_orders!K613))</f>
        <v>Binders</v>
      </c>
      <c r="L613" t="s">
        <v>1866</v>
      </c>
      <c r="M613" t="str">
        <f>IF('[1]Cleaned Text Field'!M613="","Unknown",'[1]Cleaned Text Field'!M613)</f>
        <v>Same Day</v>
      </c>
      <c r="N613">
        <f>IF('[1]Cleaned Text Field'!N613="",0,'[1]Cleaned Text Field'!N613)</f>
        <v>8</v>
      </c>
      <c r="O613">
        <v>655.28</v>
      </c>
      <c r="P613" s="5">
        <f>IF('[1]Cleaned Text Field'!P613="",0,'[1]Cleaned Text Field'!P613)</f>
        <v>0.1</v>
      </c>
      <c r="Q613">
        <v>4718.0200000000004</v>
      </c>
      <c r="R613">
        <v>3908.23</v>
      </c>
      <c r="S613">
        <v>809.79</v>
      </c>
      <c r="T613" t="str">
        <f>PROPER(TRIM([1]raw_orders!T613))</f>
        <v>Paid</v>
      </c>
      <c r="U613" t="str">
        <f>PROPER(TRIM([1]raw_orders!U613))</f>
        <v>Completed</v>
      </c>
      <c r="V613" s="6">
        <f t="shared" si="72"/>
        <v>0.17163767851768325</v>
      </c>
      <c r="W613" t="str">
        <f t="shared" si="73"/>
        <v>August</v>
      </c>
      <c r="X613">
        <f t="shared" si="74"/>
        <v>2025</v>
      </c>
      <c r="Y613">
        <f t="shared" si="75"/>
        <v>-23</v>
      </c>
      <c r="Z613" s="7">
        <f t="shared" si="76"/>
        <v>0.1</v>
      </c>
      <c r="AA613">
        <f t="shared" si="77"/>
        <v>4718.0159999999996</v>
      </c>
      <c r="AB613">
        <f t="shared" si="78"/>
        <v>809.79000000000042</v>
      </c>
      <c r="AC613" t="str">
        <f t="shared" si="79"/>
        <v>Warning</v>
      </c>
    </row>
    <row r="614" spans="1:29">
      <c r="A614" t="s">
        <v>1867</v>
      </c>
      <c r="B614" s="4">
        <v>45753</v>
      </c>
      <c r="C614" s="4">
        <v>45760</v>
      </c>
      <c r="D614" t="s">
        <v>1868</v>
      </c>
      <c r="E614" t="str">
        <f>PROPER(TRIM([1]raw_orders!E614))</f>
        <v>Aditi Sen</v>
      </c>
      <c r="F614" t="str">
        <f>PROPER(TRIM([1]raw_orders!F614))</f>
        <v>Consumer</v>
      </c>
      <c r="G614" t="str">
        <f>IF('[1]Cleaned Text Field'!G614="","Unknown",'[1]Cleaned Text Field'!G614)</f>
        <v>Unknown</v>
      </c>
      <c r="H614" t="str">
        <f>PROPER(TRIM([1]raw_orders!H614))</f>
        <v>Odisha</v>
      </c>
      <c r="I614" t="str">
        <f>PROPER(TRIM([1]raw_orders!I614))</f>
        <v>Bhubaneswar</v>
      </c>
      <c r="J614" t="str">
        <f>PROPER(TRIM([1]raw_orders!J614))</f>
        <v>Technology</v>
      </c>
      <c r="K614" t="str">
        <f>PROPER(TRIM([1]raw_orders!K614))</f>
        <v>Phones</v>
      </c>
      <c r="L614" t="s">
        <v>1869</v>
      </c>
      <c r="M614" t="str">
        <f>IF('[1]Cleaned Text Field'!M614="","Unknown",'[1]Cleaned Text Field'!M614)</f>
        <v>Standard Class</v>
      </c>
      <c r="N614">
        <f>IF('[1]Cleaned Text Field'!N614="",0,'[1]Cleaned Text Field'!N614)</f>
        <v>1</v>
      </c>
      <c r="O614">
        <v>3844.01</v>
      </c>
      <c r="P614" s="5">
        <f>IF('[1]Cleaned Text Field'!P614="",0,'[1]Cleaned Text Field'!P614)</f>
        <v>0</v>
      </c>
      <c r="Q614">
        <v>3844.01</v>
      </c>
      <c r="R614">
        <v>2195.79</v>
      </c>
      <c r="S614">
        <v>1648.22</v>
      </c>
      <c r="T614" t="str">
        <f>PROPER(TRIM([1]raw_orders!T614))</f>
        <v>Paid</v>
      </c>
      <c r="U614" t="str">
        <f>PROPER(TRIM([1]raw_orders!U614))</f>
        <v>Completed</v>
      </c>
      <c r="V614" s="6">
        <f t="shared" si="72"/>
        <v>0.4287761998537985</v>
      </c>
      <c r="W614" t="str">
        <f t="shared" si="73"/>
        <v>April</v>
      </c>
      <c r="X614">
        <f t="shared" si="74"/>
        <v>2025</v>
      </c>
      <c r="Y614">
        <f t="shared" si="75"/>
        <v>7</v>
      </c>
      <c r="Z614" s="7">
        <f t="shared" si="76"/>
        <v>0</v>
      </c>
      <c r="AA614">
        <f t="shared" si="77"/>
        <v>3844.01</v>
      </c>
      <c r="AB614">
        <f t="shared" si="78"/>
        <v>1648.2200000000003</v>
      </c>
      <c r="AC614" t="str">
        <f t="shared" si="79"/>
        <v>Clean</v>
      </c>
    </row>
    <row r="615" spans="1:29">
      <c r="A615" t="s">
        <v>1870</v>
      </c>
      <c r="B615" s="4">
        <v>45570</v>
      </c>
      <c r="C615" s="4">
        <v>45575</v>
      </c>
      <c r="D615" t="s">
        <v>1871</v>
      </c>
      <c r="E615" t="str">
        <f>PROPER(TRIM([1]raw_orders!E615))</f>
        <v>Diya Patel</v>
      </c>
      <c r="F615" t="str">
        <f>PROPER(TRIM([1]raw_orders!F615))</f>
        <v>Home Office</v>
      </c>
      <c r="G615" t="str">
        <f>IF('[1]Cleaned Text Field'!G615="","Unknown",'[1]Cleaned Text Field'!G615)</f>
        <v>West</v>
      </c>
      <c r="H615" t="str">
        <f>PROPER(TRIM([1]raw_orders!H615))</f>
        <v>Gujarat</v>
      </c>
      <c r="I615" t="str">
        <f>PROPER(TRIM([1]raw_orders!I615))</f>
        <v>Ahmedabad</v>
      </c>
      <c r="J615" t="str">
        <f>PROPER(TRIM([1]raw_orders!J615))</f>
        <v>Technology</v>
      </c>
      <c r="K615" t="str">
        <f>PROPER(TRIM([1]raw_orders!K615))</f>
        <v>Machines</v>
      </c>
      <c r="L615" t="s">
        <v>1872</v>
      </c>
      <c r="M615" t="str">
        <f>IF('[1]Cleaned Text Field'!M615="","Unknown",'[1]Cleaned Text Field'!M615)</f>
        <v>Same Day</v>
      </c>
      <c r="N615">
        <f>IF('[1]Cleaned Text Field'!N615="",0,'[1]Cleaned Text Field'!N615)</f>
        <v>9</v>
      </c>
      <c r="O615">
        <v>3361.3</v>
      </c>
      <c r="P615" s="5">
        <f>IF('[1]Cleaned Text Field'!P615="",0,'[1]Cleaned Text Field'!P615)</f>
        <v>0.25</v>
      </c>
      <c r="Q615">
        <v>22688.78</v>
      </c>
      <c r="R615">
        <v>14672.41</v>
      </c>
      <c r="S615">
        <v>8016.37</v>
      </c>
      <c r="T615" t="str">
        <f>PROPER(TRIM([1]raw_orders!T615))</f>
        <v>Paid</v>
      </c>
      <c r="U615" t="str">
        <f>PROPER(TRIM([1]raw_orders!U615))</f>
        <v>Completed</v>
      </c>
      <c r="V615" s="6">
        <f t="shared" si="72"/>
        <v>0.35331868879684147</v>
      </c>
      <c r="W615" t="str">
        <f t="shared" si="73"/>
        <v>October</v>
      </c>
      <c r="X615">
        <f t="shared" si="74"/>
        <v>2024</v>
      </c>
      <c r="Y615">
        <f t="shared" si="75"/>
        <v>5</v>
      </c>
      <c r="Z615" s="7">
        <f t="shared" si="76"/>
        <v>0.25</v>
      </c>
      <c r="AA615">
        <f t="shared" si="77"/>
        <v>22688.775000000001</v>
      </c>
      <c r="AB615">
        <f t="shared" si="78"/>
        <v>8016.369999999999</v>
      </c>
      <c r="AC615" t="str">
        <f t="shared" si="79"/>
        <v>Clean</v>
      </c>
    </row>
    <row r="616" spans="1:29">
      <c r="A616" t="s">
        <v>1873</v>
      </c>
      <c r="B616" s="4">
        <v>45598</v>
      </c>
      <c r="C616" s="4">
        <v>45341</v>
      </c>
      <c r="D616" t="s">
        <v>1874</v>
      </c>
      <c r="E616" t="str">
        <f>PROPER(TRIM([1]raw_orders!E616))</f>
        <v>Ananya Rao</v>
      </c>
      <c r="F616" t="str">
        <f>PROPER(TRIM([1]raw_orders!F616))</f>
        <v>Home Office</v>
      </c>
      <c r="G616" t="str">
        <f>IF('[1]Cleaned Text Field'!G616="","Unknown",'[1]Cleaned Text Field'!G616)</f>
        <v>South</v>
      </c>
      <c r="H616" t="str">
        <f>PROPER(TRIM([1]raw_orders!H616))</f>
        <v>Telangana</v>
      </c>
      <c r="I616" t="str">
        <f>PROPER(TRIM([1]raw_orders!I616))</f>
        <v>Hyderabad</v>
      </c>
      <c r="J616" t="str">
        <f>PROPER(TRIM([1]raw_orders!J616))</f>
        <v>Furniture</v>
      </c>
      <c r="K616" t="str">
        <f>PROPER(TRIM([1]raw_orders!K616))</f>
        <v>Chairs</v>
      </c>
      <c r="L616" t="s">
        <v>1875</v>
      </c>
      <c r="M616" t="str">
        <f>IF('[1]Cleaned Text Field'!M616="","Unknown",'[1]Cleaned Text Field'!M616)</f>
        <v>Standard Class</v>
      </c>
      <c r="N616">
        <f>IF('[1]Cleaned Text Field'!N616="",0,'[1]Cleaned Text Field'!N616)</f>
        <v>8</v>
      </c>
      <c r="O616">
        <v>3398.32</v>
      </c>
      <c r="P616" s="5">
        <f>IF('[1]Cleaned Text Field'!P616="",0,'[1]Cleaned Text Field'!P616)</f>
        <v>0.25</v>
      </c>
      <c r="Q616">
        <v>20389.919999999998</v>
      </c>
      <c r="R616">
        <v>16661.080000000002</v>
      </c>
      <c r="S616">
        <v>3728.84</v>
      </c>
      <c r="T616" t="str">
        <f>PROPER(TRIM([1]raw_orders!T616))</f>
        <v>Refunded</v>
      </c>
      <c r="U616" t="str">
        <f>PROPER(TRIM([1]raw_orders!U616))</f>
        <v>Cancelled</v>
      </c>
      <c r="V616" s="6">
        <f t="shared" si="72"/>
        <v>0.18287663708342164</v>
      </c>
      <c r="W616" t="str">
        <f t="shared" si="73"/>
        <v>November</v>
      </c>
      <c r="X616">
        <f t="shared" si="74"/>
        <v>2024</v>
      </c>
      <c r="Y616">
        <f t="shared" si="75"/>
        <v>-257</v>
      </c>
      <c r="Z616" s="7">
        <f t="shared" si="76"/>
        <v>0.25</v>
      </c>
      <c r="AA616">
        <f t="shared" si="77"/>
        <v>20389.920000000002</v>
      </c>
      <c r="AB616">
        <f t="shared" si="78"/>
        <v>3728.8399999999965</v>
      </c>
      <c r="AC616" t="str">
        <f t="shared" si="79"/>
        <v>Warning</v>
      </c>
    </row>
    <row r="617" spans="1:29">
      <c r="A617" t="s">
        <v>1876</v>
      </c>
      <c r="B617" s="4">
        <v>45569</v>
      </c>
      <c r="C617" s="4">
        <v>45572</v>
      </c>
      <c r="D617" t="s">
        <v>1877</v>
      </c>
      <c r="E617" t="str">
        <f>PROPER(TRIM([1]raw_orders!E617))</f>
        <v>Rahul Verma</v>
      </c>
      <c r="F617" t="str">
        <f>PROPER(TRIM([1]raw_orders!F617))</f>
        <v>Corporate</v>
      </c>
      <c r="G617" t="str">
        <f>IF('[1]Cleaned Text Field'!G617="","Unknown",'[1]Cleaned Text Field'!G617)</f>
        <v>South</v>
      </c>
      <c r="H617" t="str">
        <f>PROPER(TRIM([1]raw_orders!H617))</f>
        <v>Kerala</v>
      </c>
      <c r="I617" t="str">
        <f>PROPER(TRIM([1]raw_orders!I617))</f>
        <v>Kochi</v>
      </c>
      <c r="J617" t="str">
        <f>PROPER(TRIM([1]raw_orders!J617))</f>
        <v>Office Supplies</v>
      </c>
      <c r="K617" t="str">
        <f>PROPER(TRIM([1]raw_orders!K617))</f>
        <v>Art</v>
      </c>
      <c r="L617" t="s">
        <v>1878</v>
      </c>
      <c r="M617" t="str">
        <f>IF('[1]Cleaned Text Field'!M617="","Unknown",'[1]Cleaned Text Field'!M617)</f>
        <v>Second Class</v>
      </c>
      <c r="N617">
        <f>IF('[1]Cleaned Text Field'!N617="",0,'[1]Cleaned Text Field'!N617)</f>
        <v>2</v>
      </c>
      <c r="O617">
        <v>3144.38</v>
      </c>
      <c r="P617" s="5">
        <f>IF('[1]Cleaned Text Field'!P617="",0,'[1]Cleaned Text Field'!P617)</f>
        <v>0.1</v>
      </c>
      <c r="Q617">
        <v>5904.57</v>
      </c>
      <c r="R617">
        <v>4337.79</v>
      </c>
      <c r="S617">
        <v>1322.09</v>
      </c>
      <c r="T617" t="str">
        <f>PROPER(TRIM([1]raw_orders!T617))</f>
        <v>Paid</v>
      </c>
      <c r="U617" t="str">
        <f>PROPER(TRIM([1]raw_orders!U617))</f>
        <v>Completed</v>
      </c>
      <c r="V617" s="6">
        <f t="shared" si="72"/>
        <v>0.22390961577219001</v>
      </c>
      <c r="W617" t="str">
        <f t="shared" si="73"/>
        <v>October</v>
      </c>
      <c r="X617">
        <f t="shared" si="74"/>
        <v>2024</v>
      </c>
      <c r="Y617">
        <f t="shared" si="75"/>
        <v>3</v>
      </c>
      <c r="Z617" s="7">
        <f t="shared" si="76"/>
        <v>0.1</v>
      </c>
      <c r="AA617">
        <f t="shared" si="77"/>
        <v>5659.884</v>
      </c>
      <c r="AB617">
        <f t="shared" si="78"/>
        <v>1566.7799999999997</v>
      </c>
      <c r="AC617" t="str">
        <f t="shared" si="79"/>
        <v>Clean</v>
      </c>
    </row>
    <row r="618" spans="1:29">
      <c r="A618" t="s">
        <v>1879</v>
      </c>
      <c r="B618" s="4">
        <v>45520</v>
      </c>
      <c r="C618" s="4">
        <v>45523</v>
      </c>
      <c r="D618" t="s">
        <v>1880</v>
      </c>
      <c r="E618" t="str">
        <f>PROPER(TRIM([1]raw_orders!E618))</f>
        <v>Kabir Singh</v>
      </c>
      <c r="F618" t="str">
        <f>PROPER(TRIM([1]raw_orders!F618))</f>
        <v>Consumer</v>
      </c>
      <c r="G618" t="str">
        <f>IF('[1]Cleaned Text Field'!G618="","Unknown",'[1]Cleaned Text Field'!G618)</f>
        <v>South</v>
      </c>
      <c r="H618" t="str">
        <f>PROPER(TRIM([1]raw_orders!H618))</f>
        <v>Telangana</v>
      </c>
      <c r="I618" t="str">
        <f>PROPER(TRIM([1]raw_orders!I618))</f>
        <v>Hyderabad</v>
      </c>
      <c r="J618" t="str">
        <f>PROPER(TRIM([1]raw_orders!J618))</f>
        <v>Office Supplies</v>
      </c>
      <c r="K618" t="str">
        <f>PROPER(TRIM([1]raw_orders!K618))</f>
        <v>Paper</v>
      </c>
      <c r="L618" t="s">
        <v>1881</v>
      </c>
      <c r="M618" t="str">
        <f>IF('[1]Cleaned Text Field'!M618="","Unknown",'[1]Cleaned Text Field'!M618)</f>
        <v>Standard Class</v>
      </c>
      <c r="N618">
        <f>IF('[1]Cleaned Text Field'!N618="",0,'[1]Cleaned Text Field'!N618)</f>
        <v>6</v>
      </c>
      <c r="O618">
        <v>3925.55</v>
      </c>
      <c r="P618" s="5">
        <f>IF('[1]Cleaned Text Field'!P618="",0,'[1]Cleaned Text Field'!P618)</f>
        <v>0.2</v>
      </c>
      <c r="Q618">
        <v>18842.64</v>
      </c>
      <c r="R618">
        <v>11840.58</v>
      </c>
      <c r="S618">
        <v>7002.06</v>
      </c>
      <c r="T618" t="str">
        <f>PROPER(TRIM([1]raw_orders!T618))</f>
        <v>Paid</v>
      </c>
      <c r="U618" t="str">
        <f>PROPER(TRIM([1]raw_orders!U618))</f>
        <v>Completed</v>
      </c>
      <c r="V618" s="6">
        <f t="shared" si="72"/>
        <v>0.37160716332743188</v>
      </c>
      <c r="W618" t="str">
        <f t="shared" si="73"/>
        <v>August</v>
      </c>
      <c r="X618">
        <f t="shared" si="74"/>
        <v>2024</v>
      </c>
      <c r="Y618">
        <f t="shared" si="75"/>
        <v>3</v>
      </c>
      <c r="Z618" s="7">
        <f t="shared" si="76"/>
        <v>0.2</v>
      </c>
      <c r="AA618">
        <f t="shared" si="77"/>
        <v>18842.640000000003</v>
      </c>
      <c r="AB618">
        <f t="shared" si="78"/>
        <v>7002.0599999999995</v>
      </c>
      <c r="AC618" t="str">
        <f t="shared" si="79"/>
        <v>Clean</v>
      </c>
    </row>
    <row r="619" spans="1:29">
      <c r="A619" t="s">
        <v>1882</v>
      </c>
      <c r="B619" s="4">
        <v>45564</v>
      </c>
      <c r="C619" s="4">
        <v>45565</v>
      </c>
      <c r="D619" t="s">
        <v>1883</v>
      </c>
      <c r="E619" t="str">
        <f>PROPER(TRIM([1]raw_orders!E619))</f>
        <v>Mira Das</v>
      </c>
      <c r="F619" t="str">
        <f>PROPER(TRIM([1]raw_orders!F619))</f>
        <v>Home Office</v>
      </c>
      <c r="G619" t="str">
        <f>IF('[1]Cleaned Text Field'!G619="","Unknown",'[1]Cleaned Text Field'!G619)</f>
        <v>South</v>
      </c>
      <c r="H619" t="str">
        <f>PROPER(TRIM([1]raw_orders!H619))</f>
        <v>Telangana</v>
      </c>
      <c r="I619" t="str">
        <f>PROPER(TRIM([1]raw_orders!I619))</f>
        <v>Hyderabad</v>
      </c>
      <c r="J619" t="str">
        <f>PROPER(TRIM([1]raw_orders!J619))</f>
        <v>Technology</v>
      </c>
      <c r="K619" t="str">
        <f>PROPER(TRIM([1]raw_orders!K619))</f>
        <v>Phones</v>
      </c>
      <c r="L619" t="s">
        <v>1884</v>
      </c>
      <c r="M619" t="str">
        <f>IF('[1]Cleaned Text Field'!M619="","Unknown",'[1]Cleaned Text Field'!M619)</f>
        <v>Standard Class</v>
      </c>
      <c r="N619">
        <f>IF('[1]Cleaned Text Field'!N619="",0,'[1]Cleaned Text Field'!N619)</f>
        <v>9</v>
      </c>
      <c r="O619">
        <v>2741.91</v>
      </c>
      <c r="P619" s="5">
        <f>IF('[1]Cleaned Text Field'!P619="",0,'[1]Cleaned Text Field'!P619)</f>
        <v>0</v>
      </c>
      <c r="Q619">
        <v>24677.19</v>
      </c>
      <c r="R619">
        <v>20350.849999999999</v>
      </c>
      <c r="S619">
        <v>4326.34</v>
      </c>
      <c r="T619" t="str">
        <f>PROPER(TRIM([1]raw_orders!T619))</f>
        <v>Paid</v>
      </c>
      <c r="U619" t="str">
        <f>PROPER(TRIM([1]raw_orders!U619))</f>
        <v>Completed</v>
      </c>
      <c r="V619" s="6">
        <f t="shared" si="72"/>
        <v>0.17531736798233513</v>
      </c>
      <c r="W619" t="str">
        <f t="shared" si="73"/>
        <v>September</v>
      </c>
      <c r="X619">
        <f t="shared" si="74"/>
        <v>2024</v>
      </c>
      <c r="Y619">
        <f t="shared" si="75"/>
        <v>1</v>
      </c>
      <c r="Z619" s="7">
        <f t="shared" si="76"/>
        <v>0</v>
      </c>
      <c r="AA619">
        <f t="shared" si="77"/>
        <v>24677.19</v>
      </c>
      <c r="AB619">
        <f t="shared" si="78"/>
        <v>4326.34</v>
      </c>
      <c r="AC619" t="str">
        <f t="shared" si="79"/>
        <v>Clean</v>
      </c>
    </row>
    <row r="620" spans="1:29">
      <c r="A620" t="s">
        <v>1885</v>
      </c>
      <c r="B620" s="4">
        <v>45496</v>
      </c>
      <c r="C620" s="4">
        <v>45503</v>
      </c>
      <c r="D620" t="s">
        <v>1886</v>
      </c>
      <c r="E620" t="str">
        <f>PROPER(TRIM([1]raw_orders!E620))</f>
        <v>Kabir Singh</v>
      </c>
      <c r="F620" t="str">
        <f>PROPER(TRIM([1]raw_orders!F620))</f>
        <v>Corporate</v>
      </c>
      <c r="G620" t="str">
        <f>IF('[1]Cleaned Text Field'!G620="","Unknown",'[1]Cleaned Text Field'!G620)</f>
        <v>North</v>
      </c>
      <c r="H620" t="str">
        <f>PROPER(TRIM([1]raw_orders!H620))</f>
        <v>Rajasthan</v>
      </c>
      <c r="I620" t="str">
        <f>PROPER(TRIM([1]raw_orders!I620))</f>
        <v>Jaipur</v>
      </c>
      <c r="J620" t="str">
        <f>PROPER(TRIM([1]raw_orders!J620))</f>
        <v>Furniture</v>
      </c>
      <c r="K620" t="str">
        <f>PROPER(TRIM([1]raw_orders!K620))</f>
        <v>Tables</v>
      </c>
      <c r="L620" t="s">
        <v>1887</v>
      </c>
      <c r="M620" t="str">
        <f>IF('[1]Cleaned Text Field'!M620="","Unknown",'[1]Cleaned Text Field'!M620)</f>
        <v>Same Day</v>
      </c>
      <c r="N620">
        <f>IF('[1]Cleaned Text Field'!N620="",0,'[1]Cleaned Text Field'!N620)</f>
        <v>9</v>
      </c>
      <c r="O620">
        <v>1870.11</v>
      </c>
      <c r="P620" s="5">
        <f>IF('[1]Cleaned Text Field'!P620="",0,'[1]Cleaned Text Field'!P620)</f>
        <v>0.25</v>
      </c>
      <c r="Q620">
        <v>12623.24</v>
      </c>
      <c r="R620">
        <v>10540.8</v>
      </c>
      <c r="S620">
        <v>2082.44</v>
      </c>
      <c r="T620" t="str">
        <f>PROPER(TRIM([1]raw_orders!T620))</f>
        <v>Failed</v>
      </c>
      <c r="U620" t="str">
        <f>PROPER(TRIM([1]raw_orders!U620))</f>
        <v>Cancelled</v>
      </c>
      <c r="V620" s="6">
        <f t="shared" si="72"/>
        <v>0.16496874019665317</v>
      </c>
      <c r="W620" t="str">
        <f t="shared" si="73"/>
        <v>July</v>
      </c>
      <c r="X620">
        <f t="shared" si="74"/>
        <v>2024</v>
      </c>
      <c r="Y620">
        <f t="shared" si="75"/>
        <v>7</v>
      </c>
      <c r="Z620" s="7">
        <f t="shared" si="76"/>
        <v>0.25</v>
      </c>
      <c r="AA620">
        <f t="shared" si="77"/>
        <v>12623.242499999998</v>
      </c>
      <c r="AB620">
        <f t="shared" si="78"/>
        <v>2082.4400000000005</v>
      </c>
      <c r="AC620" t="str">
        <f t="shared" si="79"/>
        <v>Clean</v>
      </c>
    </row>
    <row r="621" spans="1:29">
      <c r="A621" t="s">
        <v>1888</v>
      </c>
      <c r="B621" s="4">
        <v>45618</v>
      </c>
      <c r="C621" s="4">
        <v>45623</v>
      </c>
      <c r="D621" t="s">
        <v>1889</v>
      </c>
      <c r="E621" t="str">
        <f>PROPER(TRIM([1]raw_orders!E621))</f>
        <v>Priya Menon</v>
      </c>
      <c r="F621" t="str">
        <f>PROPER(TRIM([1]raw_orders!F621))</f>
        <v>Corporate</v>
      </c>
      <c r="G621" t="str">
        <f>IF('[1]Cleaned Text Field'!G621="","Unknown",'[1]Cleaned Text Field'!G621)</f>
        <v>South</v>
      </c>
      <c r="H621" t="str">
        <f>PROPER(TRIM([1]raw_orders!H621))</f>
        <v>Tamil Nadu</v>
      </c>
      <c r="I621" t="str">
        <f>PROPER(TRIM([1]raw_orders!I621))</f>
        <v>Chennai</v>
      </c>
      <c r="J621" t="str">
        <f>PROPER(TRIM([1]raw_orders!J621))</f>
        <v>Office Supplies</v>
      </c>
      <c r="K621" t="str">
        <f>PROPER(TRIM([1]raw_orders!K621))</f>
        <v>Binders</v>
      </c>
      <c r="L621" t="s">
        <v>1890</v>
      </c>
      <c r="M621" t="str">
        <f>IF('[1]Cleaned Text Field'!M621="","Unknown",'[1]Cleaned Text Field'!M621)</f>
        <v>First Class</v>
      </c>
      <c r="N621">
        <f>IF('[1]Cleaned Text Field'!N621="",0,'[1]Cleaned Text Field'!N621)</f>
        <v>1</v>
      </c>
      <c r="O621">
        <v>4251.26</v>
      </c>
      <c r="P621" s="5">
        <f>IF('[1]Cleaned Text Field'!P621="",0,'[1]Cleaned Text Field'!P621)</f>
        <v>0.2</v>
      </c>
      <c r="Q621">
        <v>3401.01</v>
      </c>
      <c r="R621">
        <v>2917.54</v>
      </c>
      <c r="S621">
        <v>483.47</v>
      </c>
      <c r="T621" t="str">
        <f>PROPER(TRIM([1]raw_orders!T621))</f>
        <v>Refunded</v>
      </c>
      <c r="U621" t="str">
        <f>PROPER(TRIM([1]raw_orders!U621))</f>
        <v>Returned</v>
      </c>
      <c r="V621" s="6">
        <f t="shared" si="72"/>
        <v>0.14215483047682895</v>
      </c>
      <c r="W621" t="str">
        <f t="shared" si="73"/>
        <v>November</v>
      </c>
      <c r="X621">
        <f t="shared" si="74"/>
        <v>2024</v>
      </c>
      <c r="Y621">
        <f t="shared" si="75"/>
        <v>5</v>
      </c>
      <c r="Z621" s="7">
        <f t="shared" si="76"/>
        <v>0.2</v>
      </c>
      <c r="AA621">
        <f t="shared" si="77"/>
        <v>3401.0080000000003</v>
      </c>
      <c r="AB621">
        <f t="shared" si="78"/>
        <v>483.47000000000025</v>
      </c>
      <c r="AC621" t="str">
        <f t="shared" si="79"/>
        <v>Clean</v>
      </c>
    </row>
    <row r="622" spans="1:29">
      <c r="A622" t="s">
        <v>1891</v>
      </c>
      <c r="B622" s="4">
        <v>45522</v>
      </c>
      <c r="C622" s="4">
        <v>45525</v>
      </c>
      <c r="D622" t="s">
        <v>1892</v>
      </c>
      <c r="E622" t="str">
        <f>PROPER(TRIM([1]raw_orders!E622))</f>
        <v>Vikram Iyer</v>
      </c>
      <c r="F622" t="str">
        <f>PROPER(TRIM([1]raw_orders!F622))</f>
        <v>Consumer</v>
      </c>
      <c r="G622" t="str">
        <f>IF('[1]Cleaned Text Field'!G622="","Unknown",'[1]Cleaned Text Field'!G622)</f>
        <v>North</v>
      </c>
      <c r="H622" t="str">
        <f>PROPER(TRIM([1]raw_orders!H622))</f>
        <v>Uttar Pradesh</v>
      </c>
      <c r="I622" t="str">
        <f>PROPER(TRIM([1]raw_orders!I622))</f>
        <v>Noida</v>
      </c>
      <c r="J622" t="str">
        <f>PROPER(TRIM([1]raw_orders!J622))</f>
        <v>Technology</v>
      </c>
      <c r="K622" t="str">
        <f>PROPER(TRIM([1]raw_orders!K622))</f>
        <v>Machines</v>
      </c>
      <c r="L622" t="s">
        <v>1893</v>
      </c>
      <c r="M622" t="str">
        <f>IF('[1]Cleaned Text Field'!M622="","Unknown",'[1]Cleaned Text Field'!M622)</f>
        <v>Standard Class</v>
      </c>
      <c r="N622">
        <f>IF('[1]Cleaned Text Field'!N622="",0,'[1]Cleaned Text Field'!N622)</f>
        <v>9</v>
      </c>
      <c r="O622">
        <v>734.34</v>
      </c>
      <c r="P622" s="5">
        <f>IF('[1]Cleaned Text Field'!P622="",0,'[1]Cleaned Text Field'!P622)</f>
        <v>0</v>
      </c>
      <c r="Q622">
        <v>6609.06</v>
      </c>
      <c r="R622">
        <v>4946.78</v>
      </c>
      <c r="S622">
        <v>1662.28</v>
      </c>
      <c r="T622" t="str">
        <f>PROPER(TRIM([1]raw_orders!T622))</f>
        <v>Paid</v>
      </c>
      <c r="U622" t="str">
        <f>PROPER(TRIM([1]raw_orders!U622))</f>
        <v>Completed</v>
      </c>
      <c r="V622" s="6">
        <f t="shared" si="72"/>
        <v>0.2515153440882667</v>
      </c>
      <c r="W622" t="str">
        <f t="shared" si="73"/>
        <v>August</v>
      </c>
      <c r="X622">
        <f t="shared" si="74"/>
        <v>2024</v>
      </c>
      <c r="Y622">
        <f t="shared" si="75"/>
        <v>3</v>
      </c>
      <c r="Z622" s="7">
        <f t="shared" si="76"/>
        <v>0</v>
      </c>
      <c r="AA622">
        <f t="shared" si="77"/>
        <v>6609.06</v>
      </c>
      <c r="AB622">
        <f t="shared" si="78"/>
        <v>1662.2800000000007</v>
      </c>
      <c r="AC622" t="str">
        <f t="shared" si="79"/>
        <v>Clean</v>
      </c>
    </row>
    <row r="623" spans="1:29">
      <c r="A623" t="s">
        <v>1894</v>
      </c>
      <c r="B623" s="4">
        <v>45624</v>
      </c>
      <c r="C623" s="4">
        <v>45455</v>
      </c>
      <c r="D623" t="s">
        <v>1895</v>
      </c>
      <c r="E623" t="str">
        <f>PROPER(TRIM([1]raw_orders!E623))</f>
        <v>Aditi Sen</v>
      </c>
      <c r="F623" t="str">
        <f>PROPER(TRIM([1]raw_orders!F623))</f>
        <v>Consumer</v>
      </c>
      <c r="G623" t="str">
        <f>IF('[1]Cleaned Text Field'!G623="","Unknown",'[1]Cleaned Text Field'!G623)</f>
        <v>West</v>
      </c>
      <c r="H623" t="str">
        <f>PROPER(TRIM([1]raw_orders!H623))</f>
        <v>Maharashtra</v>
      </c>
      <c r="I623" t="str">
        <f>PROPER(TRIM([1]raw_orders!I623))</f>
        <v>Mumbai</v>
      </c>
      <c r="J623" t="str">
        <f>PROPER(TRIM([1]raw_orders!J623))</f>
        <v>Furniture</v>
      </c>
      <c r="K623" t="str">
        <f>PROPER(TRIM([1]raw_orders!K623))</f>
        <v>Chairs</v>
      </c>
      <c r="L623" t="s">
        <v>1896</v>
      </c>
      <c r="M623" t="str">
        <f>IF('[1]Cleaned Text Field'!M623="","Unknown",'[1]Cleaned Text Field'!M623)</f>
        <v>Same Day</v>
      </c>
      <c r="N623">
        <f>IF('[1]Cleaned Text Field'!N623="",0,'[1]Cleaned Text Field'!N623)</f>
        <v>5</v>
      </c>
      <c r="O623">
        <v>1092.8399999999999</v>
      </c>
      <c r="P623" s="5">
        <f>IF('[1]Cleaned Text Field'!P623="",0,'[1]Cleaned Text Field'!P623)</f>
        <v>0</v>
      </c>
      <c r="Q623">
        <v>5464.2</v>
      </c>
      <c r="R623">
        <v>3318.09</v>
      </c>
      <c r="S623">
        <v>2146.11</v>
      </c>
      <c r="T623" t="str">
        <f>PROPER(TRIM([1]raw_orders!T623))</f>
        <v>Paid</v>
      </c>
      <c r="U623" t="str">
        <f>PROPER(TRIM([1]raw_orders!U623))</f>
        <v>Completed</v>
      </c>
      <c r="V623" s="6">
        <f t="shared" si="72"/>
        <v>0.39275831777753378</v>
      </c>
      <c r="W623" t="str">
        <f t="shared" si="73"/>
        <v>November</v>
      </c>
      <c r="X623">
        <f t="shared" si="74"/>
        <v>2024</v>
      </c>
      <c r="Y623">
        <f t="shared" si="75"/>
        <v>-169</v>
      </c>
      <c r="Z623" s="7">
        <f t="shared" si="76"/>
        <v>0</v>
      </c>
      <c r="AA623">
        <f t="shared" si="77"/>
        <v>5464.2</v>
      </c>
      <c r="AB623">
        <f t="shared" si="78"/>
        <v>2146.1099999999997</v>
      </c>
      <c r="AC623" t="str">
        <f t="shared" si="79"/>
        <v>Warning</v>
      </c>
    </row>
    <row r="624" spans="1:29">
      <c r="A624" t="s">
        <v>1897</v>
      </c>
      <c r="B624" s="4">
        <v>45686</v>
      </c>
      <c r="C624" s="4">
        <v>45694</v>
      </c>
      <c r="D624" t="s">
        <v>1898</v>
      </c>
      <c r="E624" t="str">
        <f>PROPER(TRIM([1]raw_orders!E624))</f>
        <v>Vikram Iyer</v>
      </c>
      <c r="F624" t="str">
        <f>PROPER(TRIM([1]raw_orders!F624))</f>
        <v>Consumer</v>
      </c>
      <c r="G624" t="str">
        <f>IF('[1]Cleaned Text Field'!G624="","Unknown",'[1]Cleaned Text Field'!G624)</f>
        <v>East</v>
      </c>
      <c r="H624" t="str">
        <f>PROPER(TRIM([1]raw_orders!H624))</f>
        <v>Bihar</v>
      </c>
      <c r="I624" t="str">
        <f>PROPER(TRIM([1]raw_orders!I624))</f>
        <v>Patna</v>
      </c>
      <c r="J624" t="str">
        <f>PROPER(TRIM([1]raw_orders!J624))</f>
        <v>Office Supplies</v>
      </c>
      <c r="K624" t="str">
        <f>PROPER(TRIM([1]raw_orders!K624))</f>
        <v>Storage</v>
      </c>
      <c r="L624" t="s">
        <v>1899</v>
      </c>
      <c r="M624" t="str">
        <f>IF('[1]Cleaned Text Field'!M624="","Unknown",'[1]Cleaned Text Field'!M624)</f>
        <v>Standard Class</v>
      </c>
      <c r="N624">
        <f>IF('[1]Cleaned Text Field'!N624="",0,'[1]Cleaned Text Field'!N624)</f>
        <v>4</v>
      </c>
      <c r="O624">
        <v>2759.01</v>
      </c>
      <c r="P624" s="5">
        <f>IF('[1]Cleaned Text Field'!P624="",0,'[1]Cleaned Text Field'!P624)</f>
        <v>0.05</v>
      </c>
      <c r="Q624">
        <v>10484.24</v>
      </c>
      <c r="R624">
        <v>6680.15</v>
      </c>
      <c r="S624">
        <v>3804.09</v>
      </c>
      <c r="T624" t="str">
        <f>PROPER(TRIM([1]raw_orders!T624))</f>
        <v>Paid</v>
      </c>
      <c r="U624" t="str">
        <f>PROPER(TRIM([1]raw_orders!U624))</f>
        <v>Completed</v>
      </c>
      <c r="V624" s="6">
        <f t="shared" si="72"/>
        <v>0.3628388896095473</v>
      </c>
      <c r="W624" t="str">
        <f t="shared" si="73"/>
        <v>January</v>
      </c>
      <c r="X624">
        <f t="shared" si="74"/>
        <v>2025</v>
      </c>
      <c r="Y624">
        <f t="shared" si="75"/>
        <v>8</v>
      </c>
      <c r="Z624" s="7">
        <f t="shared" si="76"/>
        <v>0.05</v>
      </c>
      <c r="AA624">
        <f t="shared" si="77"/>
        <v>10484.238000000001</v>
      </c>
      <c r="AB624">
        <f t="shared" si="78"/>
        <v>3804.09</v>
      </c>
      <c r="AC624" t="str">
        <f t="shared" si="79"/>
        <v>Clean</v>
      </c>
    </row>
    <row r="625" spans="1:29">
      <c r="A625" t="s">
        <v>1900</v>
      </c>
      <c r="B625" s="4">
        <v>45512</v>
      </c>
      <c r="C625" s="4">
        <v>45518</v>
      </c>
      <c r="D625" t="s">
        <v>1901</v>
      </c>
      <c r="E625" t="str">
        <f>PROPER(TRIM([1]raw_orders!E625))</f>
        <v>Vikram Iyer</v>
      </c>
      <c r="F625" t="str">
        <f>PROPER(TRIM([1]raw_orders!F625))</f>
        <v>Home Office</v>
      </c>
      <c r="G625" t="str">
        <f>IF('[1]Cleaned Text Field'!G625="","Unknown",'[1]Cleaned Text Field'!G625)</f>
        <v>North</v>
      </c>
      <c r="H625" t="str">
        <f>PROPER(TRIM([1]raw_orders!H625))</f>
        <v>Punjab</v>
      </c>
      <c r="I625" t="str">
        <f>PROPER(TRIM([1]raw_orders!I625))</f>
        <v>Ludhiana</v>
      </c>
      <c r="J625" t="str">
        <f>PROPER(TRIM([1]raw_orders!J625))</f>
        <v>Office Supplies</v>
      </c>
      <c r="K625" t="str">
        <f>PROPER(TRIM([1]raw_orders!K625))</f>
        <v>Storage</v>
      </c>
      <c r="L625" t="s">
        <v>1902</v>
      </c>
      <c r="M625" t="str">
        <f>IF('[1]Cleaned Text Field'!M625="","Unknown",'[1]Cleaned Text Field'!M625)</f>
        <v>Second Class</v>
      </c>
      <c r="N625">
        <f>IF('[1]Cleaned Text Field'!N625="",0,'[1]Cleaned Text Field'!N625)</f>
        <v>8</v>
      </c>
      <c r="O625">
        <v>1359.19</v>
      </c>
      <c r="P625" s="5">
        <f>IF('[1]Cleaned Text Field'!P625="",0,'[1]Cleaned Text Field'!P625)</f>
        <v>0.05</v>
      </c>
      <c r="Q625">
        <v>10329.84</v>
      </c>
      <c r="R625">
        <v>7512.22</v>
      </c>
      <c r="S625">
        <v>2817.62</v>
      </c>
      <c r="T625" t="str">
        <f>PROPER(TRIM([1]raw_orders!T625))</f>
        <v>Paid</v>
      </c>
      <c r="U625" t="str">
        <f>PROPER(TRIM([1]raw_orders!U625))</f>
        <v>Completed</v>
      </c>
      <c r="V625" s="6">
        <f t="shared" si="72"/>
        <v>0.27276511543257204</v>
      </c>
      <c r="W625" t="str">
        <f t="shared" si="73"/>
        <v>August</v>
      </c>
      <c r="X625">
        <f t="shared" si="74"/>
        <v>2024</v>
      </c>
      <c r="Y625">
        <f t="shared" si="75"/>
        <v>6</v>
      </c>
      <c r="Z625" s="7">
        <f t="shared" si="76"/>
        <v>0.05</v>
      </c>
      <c r="AA625">
        <f t="shared" si="77"/>
        <v>10329.843999999999</v>
      </c>
      <c r="AB625">
        <f t="shared" si="78"/>
        <v>2817.62</v>
      </c>
      <c r="AC625" t="str">
        <f t="shared" si="79"/>
        <v>Clean</v>
      </c>
    </row>
    <row r="626" spans="1:29">
      <c r="A626" t="s">
        <v>1903</v>
      </c>
      <c r="B626" s="4">
        <v>45321</v>
      </c>
      <c r="C626" s="4">
        <v>45323</v>
      </c>
      <c r="D626" t="s">
        <v>1904</v>
      </c>
      <c r="E626" t="str">
        <f>PROPER(TRIM([1]raw_orders!E626))</f>
        <v>Neha Gupta</v>
      </c>
      <c r="F626" t="str">
        <f>PROPER(TRIM([1]raw_orders!F626))</f>
        <v>Home Office</v>
      </c>
      <c r="G626" t="str">
        <f>IF('[1]Cleaned Text Field'!G626="","Unknown",'[1]Cleaned Text Field'!G626)</f>
        <v>East</v>
      </c>
      <c r="H626" t="str">
        <f>PROPER(TRIM([1]raw_orders!H626))</f>
        <v>Assam</v>
      </c>
      <c r="I626" t="str">
        <f>PROPER(TRIM([1]raw_orders!I626))</f>
        <v>Guwahati</v>
      </c>
      <c r="J626" t="str">
        <f>PROPER(TRIM([1]raw_orders!J626))</f>
        <v>Furniture</v>
      </c>
      <c r="K626" t="str">
        <f>PROPER(TRIM([1]raw_orders!K626))</f>
        <v>Chairs</v>
      </c>
      <c r="L626" t="s">
        <v>1905</v>
      </c>
      <c r="M626" t="str">
        <f>IF('[1]Cleaned Text Field'!M626="","Unknown",'[1]Cleaned Text Field'!M626)</f>
        <v>First Class</v>
      </c>
      <c r="N626">
        <f>IF('[1]Cleaned Text Field'!N626="",0,'[1]Cleaned Text Field'!N626)</f>
        <v>2</v>
      </c>
      <c r="O626">
        <v>4451.03</v>
      </c>
      <c r="P626" s="5">
        <f>IF('[1]Cleaned Text Field'!P626="",0,'[1]Cleaned Text Field'!P626)</f>
        <v>0.05</v>
      </c>
      <c r="Q626">
        <v>8456.9599999999991</v>
      </c>
      <c r="R626">
        <v>5462.85</v>
      </c>
      <c r="S626">
        <v>2994.11</v>
      </c>
      <c r="T626" t="str">
        <f>PROPER(TRIM([1]raw_orders!T626))</f>
        <v>Paid</v>
      </c>
      <c r="U626" t="str">
        <f>PROPER(TRIM([1]raw_orders!U626))</f>
        <v>Completed</v>
      </c>
      <c r="V626" s="6">
        <f t="shared" si="72"/>
        <v>0.35404093196609659</v>
      </c>
      <c r="W626" t="str">
        <f t="shared" si="73"/>
        <v>January</v>
      </c>
      <c r="X626">
        <f t="shared" si="74"/>
        <v>2024</v>
      </c>
      <c r="Y626">
        <f t="shared" si="75"/>
        <v>2</v>
      </c>
      <c r="Z626" s="7">
        <f t="shared" si="76"/>
        <v>0.05</v>
      </c>
      <c r="AA626">
        <f t="shared" si="77"/>
        <v>8456.9569999999985</v>
      </c>
      <c r="AB626">
        <f t="shared" si="78"/>
        <v>2994.1099999999988</v>
      </c>
      <c r="AC626" t="str">
        <f t="shared" si="79"/>
        <v>Clean</v>
      </c>
    </row>
    <row r="627" spans="1:29">
      <c r="A627" t="s">
        <v>1906</v>
      </c>
      <c r="B627" s="4">
        <v>45641</v>
      </c>
      <c r="C627" s="4">
        <v>45647</v>
      </c>
      <c r="D627" t="s">
        <v>1907</v>
      </c>
      <c r="E627" t="str">
        <f>PROPER(TRIM([1]raw_orders!E627))</f>
        <v>Diya Patel</v>
      </c>
      <c r="F627" t="str">
        <f>PROPER(TRIM([1]raw_orders!F627))</f>
        <v>Corporate</v>
      </c>
      <c r="G627" t="str">
        <f>IF('[1]Cleaned Text Field'!G627="","Unknown",'[1]Cleaned Text Field'!G627)</f>
        <v>West</v>
      </c>
      <c r="H627" t="str">
        <f>PROPER(TRIM([1]raw_orders!H627))</f>
        <v>Rajasthan</v>
      </c>
      <c r="I627" t="str">
        <f>PROPER(TRIM([1]raw_orders!I627))</f>
        <v>Udaipur</v>
      </c>
      <c r="J627" t="str">
        <f>PROPER(TRIM([1]raw_orders!J627))</f>
        <v>Furniture</v>
      </c>
      <c r="K627" t="str">
        <f>PROPER(TRIM([1]raw_orders!K627))</f>
        <v>Chairs</v>
      </c>
      <c r="L627" t="s">
        <v>1908</v>
      </c>
      <c r="M627" t="str">
        <f>IF('[1]Cleaned Text Field'!M627="","Unknown",'[1]Cleaned Text Field'!M627)</f>
        <v>Same Day</v>
      </c>
      <c r="N627">
        <f>IF('[1]Cleaned Text Field'!N627="",0,'[1]Cleaned Text Field'!N627)</f>
        <v>3</v>
      </c>
      <c r="O627">
        <v>527.66999999999996</v>
      </c>
      <c r="P627" s="5">
        <f>IF('[1]Cleaned Text Field'!P627="",0,'[1]Cleaned Text Field'!P627)</f>
        <v>0.2</v>
      </c>
      <c r="Q627">
        <v>1266.4100000000001</v>
      </c>
      <c r="R627">
        <v>983.92</v>
      </c>
      <c r="S627">
        <v>282.49</v>
      </c>
      <c r="T627" t="str">
        <f>PROPER(TRIM([1]raw_orders!T627))</f>
        <v>Paid</v>
      </c>
      <c r="U627" t="str">
        <f>PROPER(TRIM([1]raw_orders!U627))</f>
        <v>Completed</v>
      </c>
      <c r="V627" s="6">
        <f t="shared" si="72"/>
        <v>0.22306362078631722</v>
      </c>
      <c r="W627" t="str">
        <f t="shared" si="73"/>
        <v>December</v>
      </c>
      <c r="X627">
        <f t="shared" si="74"/>
        <v>2024</v>
      </c>
      <c r="Y627">
        <f t="shared" si="75"/>
        <v>6</v>
      </c>
      <c r="Z627" s="7">
        <f t="shared" si="76"/>
        <v>0.2</v>
      </c>
      <c r="AA627">
        <f t="shared" si="77"/>
        <v>1266.4079999999999</v>
      </c>
      <c r="AB627">
        <f t="shared" si="78"/>
        <v>282.49000000000012</v>
      </c>
      <c r="AC627" t="str">
        <f t="shared" si="79"/>
        <v>Clean</v>
      </c>
    </row>
    <row r="628" spans="1:29">
      <c r="A628" t="s">
        <v>1909</v>
      </c>
      <c r="B628" s="4">
        <v>45753</v>
      </c>
      <c r="C628" s="4">
        <v>45815</v>
      </c>
      <c r="D628" t="s">
        <v>1910</v>
      </c>
      <c r="E628" t="str">
        <f>PROPER(TRIM([1]raw_orders!E628))</f>
        <v>Sneha Kapoor</v>
      </c>
      <c r="F628" t="str">
        <f>PROPER(TRIM([1]raw_orders!F628))</f>
        <v>Home Office</v>
      </c>
      <c r="G628" t="str">
        <f>IF('[1]Cleaned Text Field'!G628="","Unknown",'[1]Cleaned Text Field'!G628)</f>
        <v>East</v>
      </c>
      <c r="H628" t="str">
        <f>PROPER(TRIM([1]raw_orders!H628))</f>
        <v>Assam</v>
      </c>
      <c r="I628" t="str">
        <f>PROPER(TRIM([1]raw_orders!I628))</f>
        <v>Guwahati</v>
      </c>
      <c r="J628" t="str">
        <f>PROPER(TRIM([1]raw_orders!J628))</f>
        <v>Technology</v>
      </c>
      <c r="K628" t="str">
        <f>PROPER(TRIM([1]raw_orders!K628))</f>
        <v>Machines</v>
      </c>
      <c r="L628" t="s">
        <v>1911</v>
      </c>
      <c r="M628" t="str">
        <f>IF('[1]Cleaned Text Field'!M628="","Unknown",'[1]Cleaned Text Field'!M628)</f>
        <v>Standard Class</v>
      </c>
      <c r="N628">
        <f>IF('[1]Cleaned Text Field'!N628="",0,'[1]Cleaned Text Field'!N628)</f>
        <v>8</v>
      </c>
      <c r="O628">
        <v>1434.13</v>
      </c>
      <c r="P628" s="5">
        <f>IF('[1]Cleaned Text Field'!P628="",0,'[1]Cleaned Text Field'!P628)</f>
        <v>0</v>
      </c>
      <c r="Q628">
        <v>11473.04</v>
      </c>
      <c r="R628">
        <v>8931.33</v>
      </c>
      <c r="S628">
        <v>2541.71</v>
      </c>
      <c r="T628" t="str">
        <f>PROPER(TRIM([1]raw_orders!T628))</f>
        <v>Pending</v>
      </c>
      <c r="U628" t="str">
        <f>PROPER(TRIM([1]raw_orders!U628))</f>
        <v>Returned</v>
      </c>
      <c r="V628" s="6">
        <f t="shared" si="72"/>
        <v>0.22153762211236078</v>
      </c>
      <c r="W628" t="str">
        <f t="shared" si="73"/>
        <v>April</v>
      </c>
      <c r="X628">
        <f t="shared" si="74"/>
        <v>2025</v>
      </c>
      <c r="Y628">
        <f t="shared" si="75"/>
        <v>62</v>
      </c>
      <c r="Z628" s="7">
        <f t="shared" si="76"/>
        <v>0</v>
      </c>
      <c r="AA628">
        <f t="shared" si="77"/>
        <v>11473.04</v>
      </c>
      <c r="AB628">
        <f t="shared" si="78"/>
        <v>2541.7100000000009</v>
      </c>
      <c r="AC628" t="str">
        <f t="shared" si="79"/>
        <v>Clean</v>
      </c>
    </row>
    <row r="629" spans="1:29">
      <c r="A629" t="s">
        <v>1912</v>
      </c>
      <c r="B629" s="4">
        <v>45701</v>
      </c>
      <c r="C629" s="4">
        <v>45709</v>
      </c>
      <c r="D629" t="s">
        <v>1913</v>
      </c>
      <c r="E629" t="str">
        <f>PROPER(TRIM([1]raw_orders!E629))</f>
        <v>Karan Malhotra</v>
      </c>
      <c r="F629" t="str">
        <f>PROPER(TRIM([1]raw_orders!F629))</f>
        <v>Small Business</v>
      </c>
      <c r="G629" t="str">
        <f>IF('[1]Cleaned Text Field'!G629="","Unknown",'[1]Cleaned Text Field'!G629)</f>
        <v>South</v>
      </c>
      <c r="H629" t="str">
        <f>PROPER(TRIM([1]raw_orders!H629))</f>
        <v>Kerala</v>
      </c>
      <c r="I629" t="str">
        <f>PROPER(TRIM([1]raw_orders!I629))</f>
        <v>Kochi</v>
      </c>
      <c r="J629" t="str">
        <f>PROPER(TRIM([1]raw_orders!J629))</f>
        <v>Technology</v>
      </c>
      <c r="K629" t="str">
        <f>PROPER(TRIM([1]raw_orders!K629))</f>
        <v>Phones</v>
      </c>
      <c r="L629" t="s">
        <v>1914</v>
      </c>
      <c r="M629" t="str">
        <f>IF('[1]Cleaned Text Field'!M629="","Unknown",'[1]Cleaned Text Field'!M629)</f>
        <v>Second Class</v>
      </c>
      <c r="N629">
        <f>IF('[1]Cleaned Text Field'!N629="",0,'[1]Cleaned Text Field'!N629)</f>
        <v>2</v>
      </c>
      <c r="O629">
        <v>2360.02</v>
      </c>
      <c r="P629" s="5">
        <f>IF('[1]Cleaned Text Field'!P629="",0,'[1]Cleaned Text Field'!P629)</f>
        <v>0.15</v>
      </c>
      <c r="Q629">
        <v>4012.03</v>
      </c>
      <c r="R629">
        <v>3142.92</v>
      </c>
      <c r="S629">
        <v>869.11</v>
      </c>
      <c r="T629" t="str">
        <f>PROPER(TRIM([1]raw_orders!T629))</f>
        <v>Pending</v>
      </c>
      <c r="U629" t="str">
        <f>PROPER(TRIM([1]raw_orders!U629))</f>
        <v>Cancelled</v>
      </c>
      <c r="V629" s="6">
        <f t="shared" si="72"/>
        <v>0.21662599731308091</v>
      </c>
      <c r="W629" t="str">
        <f t="shared" si="73"/>
        <v>February</v>
      </c>
      <c r="X629">
        <f t="shared" si="74"/>
        <v>2025</v>
      </c>
      <c r="Y629">
        <f t="shared" si="75"/>
        <v>8</v>
      </c>
      <c r="Z629" s="7">
        <f t="shared" si="76"/>
        <v>0.15</v>
      </c>
      <c r="AA629">
        <f t="shared" si="77"/>
        <v>4012.0339999999997</v>
      </c>
      <c r="AB629">
        <f t="shared" si="78"/>
        <v>869.11000000000013</v>
      </c>
      <c r="AC629" t="str">
        <f t="shared" si="79"/>
        <v>Clean</v>
      </c>
    </row>
    <row r="630" spans="1:29">
      <c r="A630" t="s">
        <v>1915</v>
      </c>
      <c r="B630" s="4">
        <v>45935</v>
      </c>
      <c r="C630" s="4">
        <v>45942</v>
      </c>
      <c r="D630" t="s">
        <v>1916</v>
      </c>
      <c r="E630" t="str">
        <f>PROPER(TRIM([1]raw_orders!E630))</f>
        <v>Ananya Rao</v>
      </c>
      <c r="F630" t="str">
        <f>PROPER(TRIM([1]raw_orders!F630))</f>
        <v>Home Office</v>
      </c>
      <c r="G630" t="str">
        <f>IF('[1]Cleaned Text Field'!G630="","Unknown",'[1]Cleaned Text Field'!G630)</f>
        <v>East</v>
      </c>
      <c r="H630" t="str">
        <f>PROPER(TRIM([1]raw_orders!H630))</f>
        <v>Jharkhand</v>
      </c>
      <c r="I630" t="str">
        <f>PROPER(TRIM([1]raw_orders!I630))</f>
        <v>Ranchi</v>
      </c>
      <c r="J630" t="str">
        <f>PROPER(TRIM([1]raw_orders!J630))</f>
        <v>Technology</v>
      </c>
      <c r="K630" t="str">
        <f>PROPER(TRIM([1]raw_orders!K630))</f>
        <v>Accessories</v>
      </c>
      <c r="L630" t="s">
        <v>1917</v>
      </c>
      <c r="M630" t="str">
        <f>IF('[1]Cleaned Text Field'!M630="","Unknown",'[1]Cleaned Text Field'!M630)</f>
        <v>Same Day</v>
      </c>
      <c r="N630">
        <f>IF('[1]Cleaned Text Field'!N630="",0,'[1]Cleaned Text Field'!N630)</f>
        <v>7</v>
      </c>
      <c r="O630">
        <v>806.67</v>
      </c>
      <c r="P630" s="5">
        <f>IF('[1]Cleaned Text Field'!P630="",0,'[1]Cleaned Text Field'!P630)</f>
        <v>0.05</v>
      </c>
      <c r="Q630">
        <v>5364.36</v>
      </c>
      <c r="R630">
        <v>4391.29</v>
      </c>
      <c r="S630">
        <v>973.07</v>
      </c>
      <c r="T630" t="str">
        <f>PROPER(TRIM([1]raw_orders!T630))</f>
        <v>Paid</v>
      </c>
      <c r="U630" t="str">
        <f>PROPER(TRIM([1]raw_orders!U630))</f>
        <v>Completed</v>
      </c>
      <c r="V630" s="6">
        <f t="shared" si="72"/>
        <v>0.18139535750769897</v>
      </c>
      <c r="W630" t="str">
        <f t="shared" si="73"/>
        <v>October</v>
      </c>
      <c r="X630">
        <f t="shared" si="74"/>
        <v>2025</v>
      </c>
      <c r="Y630">
        <f t="shared" si="75"/>
        <v>7</v>
      </c>
      <c r="Z630" s="7">
        <f t="shared" si="76"/>
        <v>0.05</v>
      </c>
      <c r="AA630">
        <f t="shared" si="77"/>
        <v>5364.3554999999997</v>
      </c>
      <c r="AB630">
        <f t="shared" si="78"/>
        <v>973.06999999999971</v>
      </c>
      <c r="AC630" t="str">
        <f t="shared" si="79"/>
        <v>Clean</v>
      </c>
    </row>
    <row r="631" spans="1:29">
      <c r="A631" t="s">
        <v>1918</v>
      </c>
      <c r="B631" s="4">
        <v>45910</v>
      </c>
      <c r="C631" s="4">
        <v>45914</v>
      </c>
      <c r="D631" t="s">
        <v>1919</v>
      </c>
      <c r="E631" t="str">
        <f>PROPER(TRIM([1]raw_orders!E631))</f>
        <v>Arjun Bose</v>
      </c>
      <c r="F631" t="str">
        <f>PROPER(TRIM([1]raw_orders!F631))</f>
        <v>Home Office</v>
      </c>
      <c r="G631" t="str">
        <f>IF('[1]Cleaned Text Field'!G631="","Unknown",'[1]Cleaned Text Field'!G631)</f>
        <v>West</v>
      </c>
      <c r="H631" t="str">
        <f>PROPER(TRIM([1]raw_orders!H631))</f>
        <v>Gujarat</v>
      </c>
      <c r="I631" t="str">
        <f>PROPER(TRIM([1]raw_orders!I631))</f>
        <v>Ahmedabad</v>
      </c>
      <c r="J631" t="str">
        <f>PROPER(TRIM([1]raw_orders!J631))</f>
        <v>Furniture</v>
      </c>
      <c r="K631" t="str">
        <f>PROPER(TRIM([1]raw_orders!K631))</f>
        <v>Tables</v>
      </c>
      <c r="L631" t="s">
        <v>1920</v>
      </c>
      <c r="M631" t="str">
        <f>IF('[1]Cleaned Text Field'!M631="","Unknown",'[1]Cleaned Text Field'!M631)</f>
        <v>Same Day</v>
      </c>
      <c r="N631">
        <f>IF('[1]Cleaned Text Field'!N631="",0,'[1]Cleaned Text Field'!N631)</f>
        <v>3</v>
      </c>
      <c r="O631">
        <v>4198.46</v>
      </c>
      <c r="P631" s="5">
        <f>IF('[1]Cleaned Text Field'!P631="",0,'[1]Cleaned Text Field'!P631)</f>
        <v>0.15</v>
      </c>
      <c r="Q631">
        <v>10706.07</v>
      </c>
      <c r="R631">
        <v>5927.1</v>
      </c>
      <c r="S631">
        <v>4778.97</v>
      </c>
      <c r="T631" t="str">
        <f>PROPER(TRIM([1]raw_orders!T631))</f>
        <v>Paid</v>
      </c>
      <c r="U631" t="str">
        <f>PROPER(TRIM([1]raw_orders!U631))</f>
        <v>Completed</v>
      </c>
      <c r="V631" s="6">
        <f t="shared" si="72"/>
        <v>0.44637948378816883</v>
      </c>
      <c r="W631" t="str">
        <f t="shared" si="73"/>
        <v>September</v>
      </c>
      <c r="X631">
        <f t="shared" si="74"/>
        <v>2025</v>
      </c>
      <c r="Y631">
        <f t="shared" si="75"/>
        <v>4</v>
      </c>
      <c r="Z631" s="7">
        <f t="shared" si="76"/>
        <v>0.15</v>
      </c>
      <c r="AA631">
        <f t="shared" si="77"/>
        <v>10706.073</v>
      </c>
      <c r="AB631">
        <f t="shared" si="78"/>
        <v>4778.9699999999993</v>
      </c>
      <c r="AC631" t="str">
        <f t="shared" si="79"/>
        <v>Clean</v>
      </c>
    </row>
    <row r="632" spans="1:29">
      <c r="A632" t="s">
        <v>1921</v>
      </c>
      <c r="B632" s="4">
        <v>45391</v>
      </c>
      <c r="C632" s="4">
        <v>45392</v>
      </c>
      <c r="D632" t="s">
        <v>1922</v>
      </c>
      <c r="E632" t="str">
        <f>PROPER(TRIM([1]raw_orders!E632))</f>
        <v>Priya Menon</v>
      </c>
      <c r="F632" t="str">
        <f>PROPER(TRIM([1]raw_orders!F632))</f>
        <v>Corporate</v>
      </c>
      <c r="G632" t="str">
        <f>IF('[1]Cleaned Text Field'!G632="","Unknown",'[1]Cleaned Text Field'!G632)</f>
        <v>East</v>
      </c>
      <c r="H632" t="str">
        <f>PROPER(TRIM([1]raw_orders!H632))</f>
        <v>Assam</v>
      </c>
      <c r="I632" t="str">
        <f>PROPER(TRIM([1]raw_orders!I632))</f>
        <v>Guwahati</v>
      </c>
      <c r="J632" t="str">
        <f>PROPER(TRIM([1]raw_orders!J632))</f>
        <v>Office Supplies</v>
      </c>
      <c r="K632" t="str">
        <f>PROPER(TRIM([1]raw_orders!K632))</f>
        <v>Paper</v>
      </c>
      <c r="L632" t="s">
        <v>1923</v>
      </c>
      <c r="M632" t="str">
        <f>IF('[1]Cleaned Text Field'!M632="","Unknown",'[1]Cleaned Text Field'!M632)</f>
        <v>Standard Class</v>
      </c>
      <c r="N632">
        <f>IF('[1]Cleaned Text Field'!N632="",0,'[1]Cleaned Text Field'!N632)</f>
        <v>4</v>
      </c>
      <c r="O632">
        <v>3047.05</v>
      </c>
      <c r="P632" s="5">
        <f>IF('[1]Cleaned Text Field'!P632="",0,'[1]Cleaned Text Field'!P632)</f>
        <v>0.1</v>
      </c>
      <c r="Q632">
        <v>10969.38</v>
      </c>
      <c r="R632">
        <v>9254.4599999999991</v>
      </c>
      <c r="S632">
        <v>1714.92</v>
      </c>
      <c r="T632" t="str">
        <f>PROPER(TRIM([1]raw_orders!T632))</f>
        <v>Paid</v>
      </c>
      <c r="U632" t="str">
        <f>PROPER(TRIM([1]raw_orders!U632))</f>
        <v>Completed</v>
      </c>
      <c r="V632" s="6">
        <f t="shared" si="72"/>
        <v>0.15633700354988159</v>
      </c>
      <c r="W632" t="str">
        <f t="shared" si="73"/>
        <v>April</v>
      </c>
      <c r="X632">
        <f t="shared" si="74"/>
        <v>2024</v>
      </c>
      <c r="Y632">
        <f t="shared" si="75"/>
        <v>1</v>
      </c>
      <c r="Z632" s="7">
        <f t="shared" si="76"/>
        <v>0.1</v>
      </c>
      <c r="AA632">
        <f t="shared" si="77"/>
        <v>10969.380000000001</v>
      </c>
      <c r="AB632">
        <f t="shared" si="78"/>
        <v>1714.92</v>
      </c>
      <c r="AC632" t="str">
        <f t="shared" si="79"/>
        <v>Clean</v>
      </c>
    </row>
    <row r="633" spans="1:29">
      <c r="A633" t="s">
        <v>1924</v>
      </c>
      <c r="B633" s="4">
        <v>45392</v>
      </c>
      <c r="C633" s="4">
        <v>45397</v>
      </c>
      <c r="D633" t="s">
        <v>1925</v>
      </c>
      <c r="E633" t="str">
        <f>PROPER(TRIM([1]raw_orders!E633))</f>
        <v>Aarav Sharma</v>
      </c>
      <c r="F633" t="str">
        <f>PROPER(TRIM([1]raw_orders!F633))</f>
        <v>Home Office</v>
      </c>
      <c r="G633" t="str">
        <f>IF('[1]Cleaned Text Field'!G633="","Unknown",'[1]Cleaned Text Field'!G633)</f>
        <v>West</v>
      </c>
      <c r="H633" t="str">
        <f>PROPER(TRIM([1]raw_orders!H633))</f>
        <v>Rajasthan</v>
      </c>
      <c r="I633" t="str">
        <f>PROPER(TRIM([1]raw_orders!I633))</f>
        <v>Udaipur</v>
      </c>
      <c r="J633" t="str">
        <f>PROPER(TRIM([1]raw_orders!J633))</f>
        <v>Furniture</v>
      </c>
      <c r="K633" t="str">
        <f>PROPER(TRIM([1]raw_orders!K633))</f>
        <v>Chairs</v>
      </c>
      <c r="L633" t="s">
        <v>1926</v>
      </c>
      <c r="M633" t="str">
        <f>IF('[1]Cleaned Text Field'!M633="","Unknown",'[1]Cleaned Text Field'!M633)</f>
        <v>Standard Class</v>
      </c>
      <c r="N633">
        <f>IF('[1]Cleaned Text Field'!N633="",0,'[1]Cleaned Text Field'!N633)</f>
        <v>8</v>
      </c>
      <c r="O633">
        <v>4362.4799999999996</v>
      </c>
      <c r="P633" s="5">
        <f>IF('[1]Cleaned Text Field'!P633="",0,'[1]Cleaned Text Field'!P633)</f>
        <v>0.1</v>
      </c>
      <c r="Q633">
        <v>31409.86</v>
      </c>
      <c r="R633">
        <v>22523.54</v>
      </c>
      <c r="S633">
        <v>8886.32</v>
      </c>
      <c r="T633" t="str">
        <f>PROPER(TRIM([1]raw_orders!T633))</f>
        <v>Paid</v>
      </c>
      <c r="U633" t="str">
        <f>PROPER(TRIM([1]raw_orders!U633))</f>
        <v>Completed</v>
      </c>
      <c r="V633" s="6">
        <f t="shared" si="72"/>
        <v>0.28291498274745575</v>
      </c>
      <c r="W633" t="str">
        <f t="shared" si="73"/>
        <v>April</v>
      </c>
      <c r="X633">
        <f t="shared" si="74"/>
        <v>2024</v>
      </c>
      <c r="Y633">
        <f t="shared" si="75"/>
        <v>5</v>
      </c>
      <c r="Z633" s="7">
        <f t="shared" si="76"/>
        <v>0.1</v>
      </c>
      <c r="AA633">
        <f t="shared" si="77"/>
        <v>31409.855999999996</v>
      </c>
      <c r="AB633">
        <f t="shared" si="78"/>
        <v>8886.32</v>
      </c>
      <c r="AC633" t="str">
        <f t="shared" si="79"/>
        <v>Clean</v>
      </c>
    </row>
    <row r="634" spans="1:29">
      <c r="A634" t="s">
        <v>1927</v>
      </c>
      <c r="B634" s="4">
        <v>45762</v>
      </c>
      <c r="C634" s="4">
        <v>45763</v>
      </c>
      <c r="D634" t="s">
        <v>1928</v>
      </c>
      <c r="E634" t="str">
        <f>PROPER(TRIM([1]raw_orders!E634))</f>
        <v>Sneha Kapoor</v>
      </c>
      <c r="F634" t="str">
        <f>PROPER(TRIM([1]raw_orders!F634))</f>
        <v>Small Business</v>
      </c>
      <c r="G634" t="str">
        <f>IF('[1]Cleaned Text Field'!G634="","Unknown",'[1]Cleaned Text Field'!G634)</f>
        <v>South</v>
      </c>
      <c r="H634" t="str">
        <f>PROPER(TRIM([1]raw_orders!H634))</f>
        <v>Karnataka</v>
      </c>
      <c r="I634" t="str">
        <f>PROPER(TRIM([1]raw_orders!I634))</f>
        <v>Bengaluru</v>
      </c>
      <c r="J634" t="str">
        <f>PROPER(TRIM([1]raw_orders!J634))</f>
        <v>Furniture</v>
      </c>
      <c r="K634" t="str">
        <f>PROPER(TRIM([1]raw_orders!K634))</f>
        <v>Furnishings</v>
      </c>
      <c r="L634" t="s">
        <v>1929</v>
      </c>
      <c r="M634" t="str">
        <f>IF('[1]Cleaned Text Field'!M634="","Unknown",'[1]Cleaned Text Field'!M634)</f>
        <v>First Class</v>
      </c>
      <c r="N634">
        <f>IF('[1]Cleaned Text Field'!N634="",0,'[1]Cleaned Text Field'!N634)</f>
        <v>5</v>
      </c>
      <c r="O634">
        <v>2850.53</v>
      </c>
      <c r="P634" s="5">
        <f>IF('[1]Cleaned Text Field'!P634="",0,'[1]Cleaned Text Field'!P634)</f>
        <v>0</v>
      </c>
      <c r="Q634">
        <v>14252.65</v>
      </c>
      <c r="R634">
        <v>11558.31</v>
      </c>
      <c r="S634">
        <v>2694.34</v>
      </c>
      <c r="T634" t="str">
        <f>PROPER(TRIM([1]raw_orders!T634))</f>
        <v>Paid</v>
      </c>
      <c r="U634" t="str">
        <f>PROPER(TRIM([1]raw_orders!U634))</f>
        <v>Completed</v>
      </c>
      <c r="V634" s="6">
        <f t="shared" si="72"/>
        <v>0.18904133617257143</v>
      </c>
      <c r="W634" t="str">
        <f t="shared" si="73"/>
        <v>April</v>
      </c>
      <c r="X634">
        <f t="shared" si="74"/>
        <v>2025</v>
      </c>
      <c r="Y634">
        <f t="shared" si="75"/>
        <v>1</v>
      </c>
      <c r="Z634" s="7">
        <f t="shared" si="76"/>
        <v>0</v>
      </c>
      <c r="AA634">
        <f t="shared" si="77"/>
        <v>14252.650000000001</v>
      </c>
      <c r="AB634">
        <f t="shared" si="78"/>
        <v>2694.34</v>
      </c>
      <c r="AC634" t="str">
        <f t="shared" si="79"/>
        <v>Clean</v>
      </c>
    </row>
    <row r="635" spans="1:29">
      <c r="A635" t="s">
        <v>1930</v>
      </c>
      <c r="B635" s="4">
        <v>45765</v>
      </c>
      <c r="C635" s="4">
        <v>45767</v>
      </c>
      <c r="D635" t="s">
        <v>1931</v>
      </c>
      <c r="E635" t="str">
        <f>PROPER(TRIM([1]raw_orders!E635))</f>
        <v>Aarav Sharma</v>
      </c>
      <c r="F635" t="str">
        <f>PROPER(TRIM([1]raw_orders!F635))</f>
        <v>Small Business</v>
      </c>
      <c r="G635" t="str">
        <f>IF('[1]Cleaned Text Field'!G635="","Unknown",'[1]Cleaned Text Field'!G635)</f>
        <v>South</v>
      </c>
      <c r="H635" t="str">
        <f>PROPER(TRIM([1]raw_orders!H635))</f>
        <v>Tamil Nadu</v>
      </c>
      <c r="I635" t="str">
        <f>PROPER(TRIM([1]raw_orders!I635))</f>
        <v>Chennai</v>
      </c>
      <c r="J635" t="str">
        <f>PROPER(TRIM([1]raw_orders!J635))</f>
        <v>Technology</v>
      </c>
      <c r="K635" t="str">
        <f>PROPER(TRIM([1]raw_orders!K635))</f>
        <v>Accessories</v>
      </c>
      <c r="L635" t="s">
        <v>1932</v>
      </c>
      <c r="M635" t="str">
        <f>IF('[1]Cleaned Text Field'!M635="","Unknown",'[1]Cleaned Text Field'!M635)</f>
        <v>Second Class</v>
      </c>
      <c r="N635">
        <f>IF('[1]Cleaned Text Field'!N635="",0,'[1]Cleaned Text Field'!N635)</f>
        <v>1</v>
      </c>
      <c r="O635">
        <v>1626.08</v>
      </c>
      <c r="P635" s="5">
        <f>IF('[1]Cleaned Text Field'!P635="",0,'[1]Cleaned Text Field'!P635)</f>
        <v>0.15</v>
      </c>
      <c r="Q635">
        <v>1382.17</v>
      </c>
      <c r="R635">
        <v>810.03</v>
      </c>
      <c r="S635">
        <v>572.14</v>
      </c>
      <c r="T635" t="str">
        <f>PROPER(TRIM([1]raw_orders!T635))</f>
        <v>Paid</v>
      </c>
      <c r="U635" t="str">
        <f>PROPER(TRIM([1]raw_orders!U635))</f>
        <v>Completed</v>
      </c>
      <c r="V635" s="6">
        <f t="shared" si="72"/>
        <v>0.41394329206971642</v>
      </c>
      <c r="W635" t="str">
        <f t="shared" si="73"/>
        <v>April</v>
      </c>
      <c r="X635">
        <f t="shared" si="74"/>
        <v>2025</v>
      </c>
      <c r="Y635">
        <f t="shared" si="75"/>
        <v>2</v>
      </c>
      <c r="Z635" s="7">
        <f t="shared" si="76"/>
        <v>0.15</v>
      </c>
      <c r="AA635">
        <f t="shared" si="77"/>
        <v>1382.1679999999999</v>
      </c>
      <c r="AB635">
        <f t="shared" si="78"/>
        <v>572.1400000000001</v>
      </c>
      <c r="AC635" t="str">
        <f t="shared" si="79"/>
        <v>Clean</v>
      </c>
    </row>
    <row r="636" spans="1:29">
      <c r="A636" t="s">
        <v>1933</v>
      </c>
      <c r="B636" s="4">
        <v>45668</v>
      </c>
      <c r="C636" s="4">
        <v>45669</v>
      </c>
      <c r="D636" t="s">
        <v>1934</v>
      </c>
      <c r="E636" t="str">
        <f>PROPER(TRIM([1]raw_orders!E636))</f>
        <v>Aditi Sen</v>
      </c>
      <c r="F636" t="str">
        <f>PROPER(TRIM([1]raw_orders!F636))</f>
        <v>Consumer</v>
      </c>
      <c r="G636" t="str">
        <f>IF('[1]Cleaned Text Field'!G636="","Unknown",'[1]Cleaned Text Field'!G636)</f>
        <v>South</v>
      </c>
      <c r="H636" t="str">
        <f>PROPER(TRIM([1]raw_orders!H636))</f>
        <v>Telangana</v>
      </c>
      <c r="I636" t="str">
        <f>PROPER(TRIM([1]raw_orders!I636))</f>
        <v>Hyderabad</v>
      </c>
      <c r="J636" t="str">
        <f>PROPER(TRIM([1]raw_orders!J636))</f>
        <v>Furniture</v>
      </c>
      <c r="K636" t="str">
        <f>PROPER(TRIM([1]raw_orders!K636))</f>
        <v>Chairs</v>
      </c>
      <c r="L636" t="s">
        <v>1935</v>
      </c>
      <c r="M636" t="str">
        <f>IF('[1]Cleaned Text Field'!M636="","Unknown",'[1]Cleaned Text Field'!M636)</f>
        <v>Second Class</v>
      </c>
      <c r="N636">
        <f>IF('[1]Cleaned Text Field'!N636="",0,'[1]Cleaned Text Field'!N636)</f>
        <v>4</v>
      </c>
      <c r="O636">
        <v>2427.15</v>
      </c>
      <c r="P636" s="5">
        <f>IF('[1]Cleaned Text Field'!P636="",0,'[1]Cleaned Text Field'!P636)</f>
        <v>0.05</v>
      </c>
      <c r="Q636">
        <v>9223.17</v>
      </c>
      <c r="R636">
        <v>5103.7</v>
      </c>
      <c r="S636">
        <v>4119.47</v>
      </c>
      <c r="T636" t="str">
        <f>PROPER(TRIM([1]raw_orders!T636))</f>
        <v>Paid</v>
      </c>
      <c r="U636" t="str">
        <f>PROPER(TRIM([1]raw_orders!U636))</f>
        <v>Completed</v>
      </c>
      <c r="V636" s="6">
        <f t="shared" si="72"/>
        <v>0.44664361602355807</v>
      </c>
      <c r="W636" t="str">
        <f t="shared" si="73"/>
        <v>January</v>
      </c>
      <c r="X636">
        <f t="shared" si="74"/>
        <v>2025</v>
      </c>
      <c r="Y636">
        <f t="shared" si="75"/>
        <v>1</v>
      </c>
      <c r="Z636" s="7">
        <f t="shared" si="76"/>
        <v>0.05</v>
      </c>
      <c r="AA636">
        <f t="shared" si="77"/>
        <v>9223.17</v>
      </c>
      <c r="AB636">
        <f t="shared" si="78"/>
        <v>4119.47</v>
      </c>
      <c r="AC636" t="str">
        <f t="shared" si="79"/>
        <v>Clean</v>
      </c>
    </row>
    <row r="637" spans="1:29">
      <c r="A637" t="s">
        <v>1936</v>
      </c>
      <c r="B637" s="4">
        <v>45432</v>
      </c>
      <c r="C637" s="4">
        <v>45437</v>
      </c>
      <c r="D637" t="s">
        <v>1937</v>
      </c>
      <c r="E637" t="str">
        <f>PROPER(TRIM([1]raw_orders!E637))</f>
        <v>Mira Das</v>
      </c>
      <c r="F637" t="str">
        <f>PROPER(TRIM([1]raw_orders!F637))</f>
        <v>Corporate</v>
      </c>
      <c r="G637" t="str">
        <f>IF('[1]Cleaned Text Field'!G637="","Unknown",'[1]Cleaned Text Field'!G637)</f>
        <v>South</v>
      </c>
      <c r="H637" t="str">
        <f>PROPER(TRIM([1]raw_orders!H637))</f>
        <v>Andhra Pradesh</v>
      </c>
      <c r="I637" t="str">
        <f>PROPER(TRIM([1]raw_orders!I637))</f>
        <v>Vijayawada</v>
      </c>
      <c r="J637" t="str">
        <f>PROPER(TRIM([1]raw_orders!J637))</f>
        <v>Furniture</v>
      </c>
      <c r="K637" t="str">
        <f>PROPER(TRIM([1]raw_orders!K637))</f>
        <v>Chairs</v>
      </c>
      <c r="L637" t="s">
        <v>1938</v>
      </c>
      <c r="M637" t="str">
        <f>IF('[1]Cleaned Text Field'!M637="","Unknown",'[1]Cleaned Text Field'!M637)</f>
        <v>Same Day</v>
      </c>
      <c r="N637">
        <f>IF('[1]Cleaned Text Field'!N637="",0,'[1]Cleaned Text Field'!N637)</f>
        <v>7</v>
      </c>
      <c r="O637">
        <v>3122.85</v>
      </c>
      <c r="P637" s="5">
        <f>IF('[1]Cleaned Text Field'!P637="",0,'[1]Cleaned Text Field'!P637)</f>
        <v>0.25</v>
      </c>
      <c r="Q637">
        <v>16394.96</v>
      </c>
      <c r="R637">
        <v>10404.17</v>
      </c>
      <c r="S637">
        <v>5990.79</v>
      </c>
      <c r="T637" t="str">
        <f>PROPER(TRIM([1]raw_orders!T637))</f>
        <v>Paid</v>
      </c>
      <c r="U637" t="str">
        <f>PROPER(TRIM([1]raw_orders!U637))</f>
        <v>Completed</v>
      </c>
      <c r="V637" s="6">
        <f t="shared" si="72"/>
        <v>0.36540436817168204</v>
      </c>
      <c r="W637" t="str">
        <f t="shared" si="73"/>
        <v>May</v>
      </c>
      <c r="X637">
        <f t="shared" si="74"/>
        <v>2024</v>
      </c>
      <c r="Y637">
        <f t="shared" si="75"/>
        <v>5</v>
      </c>
      <c r="Z637" s="7">
        <f t="shared" si="76"/>
        <v>0.25</v>
      </c>
      <c r="AA637">
        <f t="shared" si="77"/>
        <v>16394.962500000001</v>
      </c>
      <c r="AB637">
        <f t="shared" si="78"/>
        <v>5990.7899999999991</v>
      </c>
      <c r="AC637" t="str">
        <f t="shared" si="79"/>
        <v>Clean</v>
      </c>
    </row>
    <row r="638" spans="1:29">
      <c r="A638" t="s">
        <v>1939</v>
      </c>
      <c r="B638" s="4">
        <v>45567</v>
      </c>
      <c r="C638" s="4">
        <v>45574</v>
      </c>
      <c r="D638" t="s">
        <v>1940</v>
      </c>
      <c r="E638" t="str">
        <f>PROPER(TRIM([1]raw_orders!E638))</f>
        <v>Ananya Rao</v>
      </c>
      <c r="F638" t="str">
        <f>PROPER(TRIM([1]raw_orders!F638))</f>
        <v>Consumer</v>
      </c>
      <c r="G638" t="str">
        <f>IF('[1]Cleaned Text Field'!G638="","Unknown",'[1]Cleaned Text Field'!G638)</f>
        <v>South</v>
      </c>
      <c r="H638" t="str">
        <f>PROPER(TRIM([1]raw_orders!H638))</f>
        <v>Tamil Nadu</v>
      </c>
      <c r="I638" t="str">
        <f>PROPER(TRIM([1]raw_orders!I638))</f>
        <v>Chennai</v>
      </c>
      <c r="J638" t="str">
        <f>PROPER(TRIM([1]raw_orders!J638))</f>
        <v>Office Supplies</v>
      </c>
      <c r="K638" t="str">
        <f>PROPER(TRIM([1]raw_orders!K638))</f>
        <v>Paper</v>
      </c>
      <c r="L638" t="s">
        <v>1941</v>
      </c>
      <c r="M638" t="str">
        <f>IF('[1]Cleaned Text Field'!M638="","Unknown",'[1]Cleaned Text Field'!M638)</f>
        <v>Standard Class</v>
      </c>
      <c r="N638">
        <f>IF('[1]Cleaned Text Field'!N638="",0,'[1]Cleaned Text Field'!N638)</f>
        <v>8</v>
      </c>
      <c r="O638">
        <v>1910.31</v>
      </c>
      <c r="P638" s="5">
        <f>IF('[1]Cleaned Text Field'!P638="",0,'[1]Cleaned Text Field'!P638)</f>
        <v>0.15</v>
      </c>
      <c r="Q638">
        <v>12990.11</v>
      </c>
      <c r="R638">
        <v>10200.799999999999</v>
      </c>
      <c r="S638">
        <v>2789.31</v>
      </c>
      <c r="T638" t="str">
        <f>PROPER(TRIM([1]raw_orders!T638))</f>
        <v>Paid</v>
      </c>
      <c r="U638" t="str">
        <f>PROPER(TRIM([1]raw_orders!U638))</f>
        <v>Completed</v>
      </c>
      <c r="V638" s="6">
        <f t="shared" si="72"/>
        <v>0.21472566437081747</v>
      </c>
      <c r="W638" t="str">
        <f t="shared" si="73"/>
        <v>October</v>
      </c>
      <c r="X638">
        <f t="shared" si="74"/>
        <v>2024</v>
      </c>
      <c r="Y638">
        <f t="shared" si="75"/>
        <v>7</v>
      </c>
      <c r="Z638" s="7">
        <f t="shared" si="76"/>
        <v>0.15</v>
      </c>
      <c r="AA638">
        <f t="shared" si="77"/>
        <v>12990.108</v>
      </c>
      <c r="AB638">
        <f t="shared" si="78"/>
        <v>2789.3100000000013</v>
      </c>
      <c r="AC638" t="str">
        <f t="shared" si="79"/>
        <v>Clean</v>
      </c>
    </row>
    <row r="639" spans="1:29">
      <c r="A639" t="s">
        <v>1942</v>
      </c>
      <c r="B639" s="4">
        <v>45438</v>
      </c>
      <c r="C639" s="4">
        <v>45438</v>
      </c>
      <c r="D639" t="s">
        <v>1943</v>
      </c>
      <c r="E639" t="str">
        <f>PROPER(TRIM([1]raw_orders!E639))</f>
        <v>Rahul Verma</v>
      </c>
      <c r="F639" t="str">
        <f>PROPER(TRIM([1]raw_orders!F639))</f>
        <v>Small Business</v>
      </c>
      <c r="G639" t="str">
        <f>IF('[1]Cleaned Text Field'!G639="","Unknown",'[1]Cleaned Text Field'!G639)</f>
        <v>West</v>
      </c>
      <c r="H639" t="str">
        <f>PROPER(TRIM([1]raw_orders!H639))</f>
        <v>Goa</v>
      </c>
      <c r="I639" t="str">
        <f>PROPER(TRIM([1]raw_orders!I639))</f>
        <v>Panaji</v>
      </c>
      <c r="J639" t="str">
        <f>PROPER(TRIM([1]raw_orders!J639))</f>
        <v>Technology</v>
      </c>
      <c r="K639" t="str">
        <f>PROPER(TRIM([1]raw_orders!K639))</f>
        <v>Copiers</v>
      </c>
      <c r="L639" t="s">
        <v>1944</v>
      </c>
      <c r="M639" t="str">
        <f>IF('[1]Cleaned Text Field'!M639="","Unknown",'[1]Cleaned Text Field'!M639)</f>
        <v>First Class</v>
      </c>
      <c r="N639">
        <f>IF('[1]Cleaned Text Field'!N639="",0,'[1]Cleaned Text Field'!N639)</f>
        <v>2</v>
      </c>
      <c r="O639">
        <v>3192.47</v>
      </c>
      <c r="P639" s="5">
        <f>IF('[1]Cleaned Text Field'!P639="",0,'[1]Cleaned Text Field'!P639)</f>
        <v>0.2</v>
      </c>
      <c r="Q639">
        <v>5107.95</v>
      </c>
      <c r="R639">
        <v>3133.08</v>
      </c>
      <c r="S639">
        <v>1974.87</v>
      </c>
      <c r="T639" t="str">
        <f>PROPER(TRIM([1]raw_orders!T639))</f>
        <v>Paid</v>
      </c>
      <c r="U639" t="str">
        <f>PROPER(TRIM([1]raw_orders!U639))</f>
        <v>Completed</v>
      </c>
      <c r="V639" s="6">
        <f t="shared" si="72"/>
        <v>0.38662672892256189</v>
      </c>
      <c r="W639" t="str">
        <f t="shared" si="73"/>
        <v>May</v>
      </c>
      <c r="X639">
        <f t="shared" si="74"/>
        <v>2024</v>
      </c>
      <c r="Y639">
        <f t="shared" si="75"/>
        <v>0</v>
      </c>
      <c r="Z639" s="7">
        <f t="shared" si="76"/>
        <v>0.2</v>
      </c>
      <c r="AA639">
        <f t="shared" si="77"/>
        <v>5107.9520000000002</v>
      </c>
      <c r="AB639">
        <f t="shared" si="78"/>
        <v>1974.87</v>
      </c>
      <c r="AC639" t="str">
        <f t="shared" si="79"/>
        <v>Clean</v>
      </c>
    </row>
    <row r="640" spans="1:29">
      <c r="A640" t="s">
        <v>1945</v>
      </c>
      <c r="B640" s="4">
        <v>45317</v>
      </c>
      <c r="C640" s="4">
        <v>45322</v>
      </c>
      <c r="D640" t="s">
        <v>1946</v>
      </c>
      <c r="E640" t="str">
        <f>PROPER(TRIM([1]raw_orders!E640))</f>
        <v>Karan Malhotra</v>
      </c>
      <c r="F640" t="str">
        <f>PROPER(TRIM([1]raw_orders!F640))</f>
        <v>Corporate</v>
      </c>
      <c r="G640" t="str">
        <f>IF('[1]Cleaned Text Field'!G640="","Unknown",'[1]Cleaned Text Field'!G640)</f>
        <v>South</v>
      </c>
      <c r="H640" t="str">
        <f>PROPER(TRIM([1]raw_orders!H640))</f>
        <v>Kerala</v>
      </c>
      <c r="I640" t="str">
        <f>PROPER(TRIM([1]raw_orders!I640))</f>
        <v>Kochi</v>
      </c>
      <c r="J640" t="str">
        <f>PROPER(TRIM([1]raw_orders!J640))</f>
        <v>Office Supplies</v>
      </c>
      <c r="K640" t="str">
        <f>PROPER(TRIM([1]raw_orders!K640))</f>
        <v>Storage</v>
      </c>
      <c r="L640" t="s">
        <v>1947</v>
      </c>
      <c r="M640" t="str">
        <f>IF('[1]Cleaned Text Field'!M640="","Unknown",'[1]Cleaned Text Field'!M640)</f>
        <v>Second Class</v>
      </c>
      <c r="N640">
        <f>IF('[1]Cleaned Text Field'!N640="",0,'[1]Cleaned Text Field'!N640)</f>
        <v>3</v>
      </c>
      <c r="O640">
        <v>3224.32</v>
      </c>
      <c r="P640" s="5">
        <f>IF('[1]Cleaned Text Field'!P640="",0,'[1]Cleaned Text Field'!P640)</f>
        <v>0.2</v>
      </c>
      <c r="Q640">
        <v>7738.37</v>
      </c>
      <c r="R640">
        <v>4626.8500000000004</v>
      </c>
      <c r="S640">
        <v>3111.52</v>
      </c>
      <c r="T640" t="str">
        <f>PROPER(TRIM([1]raw_orders!T640))</f>
        <v>Failed</v>
      </c>
      <c r="U640" t="str">
        <f>PROPER(TRIM([1]raw_orders!U640))</f>
        <v>Returned</v>
      </c>
      <c r="V640" s="6">
        <f t="shared" si="72"/>
        <v>0.40208984579439855</v>
      </c>
      <c r="W640" t="str">
        <f t="shared" si="73"/>
        <v>January</v>
      </c>
      <c r="X640">
        <f t="shared" si="74"/>
        <v>2024</v>
      </c>
      <c r="Y640">
        <f t="shared" si="75"/>
        <v>5</v>
      </c>
      <c r="Z640" s="7">
        <f t="shared" si="76"/>
        <v>0.2</v>
      </c>
      <c r="AA640">
        <f t="shared" si="77"/>
        <v>7738.3680000000013</v>
      </c>
      <c r="AB640">
        <f t="shared" si="78"/>
        <v>3111.5199999999995</v>
      </c>
      <c r="AC640" t="str">
        <f t="shared" si="79"/>
        <v>Clean</v>
      </c>
    </row>
    <row r="641" spans="1:29">
      <c r="A641" t="s">
        <v>1948</v>
      </c>
      <c r="B641" s="4">
        <v>45653</v>
      </c>
      <c r="C641" s="4">
        <v>45657</v>
      </c>
      <c r="D641" t="s">
        <v>1949</v>
      </c>
      <c r="E641" t="str">
        <f>PROPER(TRIM([1]raw_orders!E641))</f>
        <v>Isha Nair</v>
      </c>
      <c r="F641" t="str">
        <f>PROPER(TRIM([1]raw_orders!F641))</f>
        <v>Small Business</v>
      </c>
      <c r="G641" t="str">
        <f>IF('[1]Cleaned Text Field'!G641="","Unknown",'[1]Cleaned Text Field'!G641)</f>
        <v>East</v>
      </c>
      <c r="H641" t="str">
        <f>PROPER(TRIM([1]raw_orders!H641))</f>
        <v>Odisha</v>
      </c>
      <c r="I641" t="str">
        <f>PROPER(TRIM([1]raw_orders!I641))</f>
        <v>Bhubaneswar</v>
      </c>
      <c r="J641" t="str">
        <f>PROPER(TRIM([1]raw_orders!J641))</f>
        <v>Furniture</v>
      </c>
      <c r="K641" t="str">
        <f>PROPER(TRIM([1]raw_orders!K641))</f>
        <v>Chairs</v>
      </c>
      <c r="L641" t="s">
        <v>1950</v>
      </c>
      <c r="M641" t="str">
        <f>IF('[1]Cleaned Text Field'!M641="","Unknown",'[1]Cleaned Text Field'!M641)</f>
        <v>Second Class</v>
      </c>
      <c r="N641">
        <f>IF('[1]Cleaned Text Field'!N641="",0,'[1]Cleaned Text Field'!N641)</f>
        <v>1</v>
      </c>
      <c r="O641">
        <v>1594.7</v>
      </c>
      <c r="P641" s="5">
        <f>IF('[1]Cleaned Text Field'!P641="",0,'[1]Cleaned Text Field'!P641)</f>
        <v>0.05</v>
      </c>
      <c r="Q641">
        <v>1514.96</v>
      </c>
      <c r="R641">
        <v>1046.17</v>
      </c>
      <c r="S641">
        <v>468.79</v>
      </c>
      <c r="T641" t="str">
        <f>PROPER(TRIM([1]raw_orders!T641))</f>
        <v>Paid</v>
      </c>
      <c r="U641" t="str">
        <f>PROPER(TRIM([1]raw_orders!U641))</f>
        <v>Completed</v>
      </c>
      <c r="V641" s="6">
        <f t="shared" si="72"/>
        <v>0.30944051328087868</v>
      </c>
      <c r="W641" t="str">
        <f t="shared" si="73"/>
        <v>December</v>
      </c>
      <c r="X641">
        <f t="shared" si="74"/>
        <v>2024</v>
      </c>
      <c r="Y641">
        <f t="shared" si="75"/>
        <v>4</v>
      </c>
      <c r="Z641" s="7">
        <f t="shared" si="76"/>
        <v>0.05</v>
      </c>
      <c r="AA641">
        <f t="shared" si="77"/>
        <v>1514.9649999999999</v>
      </c>
      <c r="AB641">
        <f t="shared" si="78"/>
        <v>468.78999999999996</v>
      </c>
      <c r="AC641" t="str">
        <f t="shared" si="79"/>
        <v>Clean</v>
      </c>
    </row>
    <row r="642" spans="1:29">
      <c r="A642" t="s">
        <v>1951</v>
      </c>
      <c r="B642" s="4">
        <v>45671</v>
      </c>
      <c r="C642" s="4">
        <v>45674</v>
      </c>
      <c r="D642" t="s">
        <v>1952</v>
      </c>
      <c r="E642" t="str">
        <f>PROPER(TRIM([1]raw_orders!E642))</f>
        <v>Vikram Iyer</v>
      </c>
      <c r="F642" t="str">
        <f>PROPER(TRIM([1]raw_orders!F642))</f>
        <v>Consumer</v>
      </c>
      <c r="G642" t="str">
        <f>IF('[1]Cleaned Text Field'!G642="","Unknown",'[1]Cleaned Text Field'!G642)</f>
        <v>West</v>
      </c>
      <c r="H642" t="str">
        <f>PROPER(TRIM([1]raw_orders!H642))</f>
        <v>Goa</v>
      </c>
      <c r="I642" t="str">
        <f>PROPER(TRIM([1]raw_orders!I642))</f>
        <v>Panaji</v>
      </c>
      <c r="J642" t="str">
        <f>PROPER(TRIM([1]raw_orders!J642))</f>
        <v>Office Supplies</v>
      </c>
      <c r="K642" t="str">
        <f>PROPER(TRIM([1]raw_orders!K642))</f>
        <v>Storage</v>
      </c>
      <c r="L642" t="s">
        <v>1953</v>
      </c>
      <c r="M642" t="str">
        <f>IF('[1]Cleaned Text Field'!M642="","Unknown",'[1]Cleaned Text Field'!M642)</f>
        <v>First Class</v>
      </c>
      <c r="N642">
        <f>IF('[1]Cleaned Text Field'!N642="",0,'[1]Cleaned Text Field'!N642)</f>
        <v>1</v>
      </c>
      <c r="O642">
        <v>1584.12</v>
      </c>
      <c r="P642" s="5">
        <f>IF('[1]Cleaned Text Field'!P642="",0,'[1]Cleaned Text Field'!P642)</f>
        <v>0.2</v>
      </c>
      <c r="Q642">
        <v>1267.3</v>
      </c>
      <c r="R642">
        <v>923.53</v>
      </c>
      <c r="S642">
        <v>343.77</v>
      </c>
      <c r="T642" t="str">
        <f>PROPER(TRIM([1]raw_orders!T642))</f>
        <v>Paid</v>
      </c>
      <c r="U642" t="str">
        <f>PROPER(TRIM([1]raw_orders!U642))</f>
        <v>Completed</v>
      </c>
      <c r="V642" s="6">
        <f t="shared" si="72"/>
        <v>0.27126173755227651</v>
      </c>
      <c r="W642" t="str">
        <f t="shared" si="73"/>
        <v>January</v>
      </c>
      <c r="X642">
        <f t="shared" si="74"/>
        <v>2025</v>
      </c>
      <c r="Y642">
        <f t="shared" si="75"/>
        <v>3</v>
      </c>
      <c r="Z642" s="7">
        <f t="shared" si="76"/>
        <v>0.2</v>
      </c>
      <c r="AA642">
        <f t="shared" si="77"/>
        <v>1267.296</v>
      </c>
      <c r="AB642">
        <f t="shared" si="78"/>
        <v>343.77</v>
      </c>
      <c r="AC642" t="str">
        <f t="shared" si="79"/>
        <v>Clean</v>
      </c>
    </row>
    <row r="643" spans="1:29">
      <c r="A643" t="s">
        <v>1954</v>
      </c>
      <c r="B643" s="4">
        <v>45756</v>
      </c>
      <c r="C643" s="4">
        <v>45761</v>
      </c>
      <c r="D643" t="s">
        <v>1955</v>
      </c>
      <c r="E643" t="str">
        <f>PROPER(TRIM([1]raw_orders!E643))</f>
        <v>Karan Malhotra</v>
      </c>
      <c r="F643" t="str">
        <f>PROPER(TRIM([1]raw_orders!F643))</f>
        <v>Consumer</v>
      </c>
      <c r="G643" t="str">
        <f>IF('[1]Cleaned Text Field'!G643="","Unknown",'[1]Cleaned Text Field'!G643)</f>
        <v>North</v>
      </c>
      <c r="H643" t="str">
        <f>PROPER(TRIM([1]raw_orders!H643))</f>
        <v>Delhi</v>
      </c>
      <c r="I643" t="str">
        <f>PROPER(TRIM([1]raw_orders!I643))</f>
        <v>New Delhi</v>
      </c>
      <c r="J643" t="str">
        <f>PROPER(TRIM([1]raw_orders!J643))</f>
        <v>Furniture</v>
      </c>
      <c r="K643" t="str">
        <f>PROPER(TRIM([1]raw_orders!K643))</f>
        <v>Furnishings</v>
      </c>
      <c r="L643" t="s">
        <v>1956</v>
      </c>
      <c r="M643" t="str">
        <f>IF('[1]Cleaned Text Field'!M643="","Unknown",'[1]Cleaned Text Field'!M643)</f>
        <v>Same Day</v>
      </c>
      <c r="N643">
        <f>IF('[1]Cleaned Text Field'!N643="",0,'[1]Cleaned Text Field'!N643)</f>
        <v>2</v>
      </c>
      <c r="O643">
        <v>3202.87</v>
      </c>
      <c r="P643" s="5">
        <f>IF('[1]Cleaned Text Field'!P643="",0,'[1]Cleaned Text Field'!P643)</f>
        <v>0</v>
      </c>
      <c r="Q643">
        <v>6405.74</v>
      </c>
      <c r="R643">
        <v>3561.87</v>
      </c>
      <c r="S643">
        <v>2843.87</v>
      </c>
      <c r="T643" t="str">
        <f>PROPER(TRIM([1]raw_orders!T643))</f>
        <v>Paid</v>
      </c>
      <c r="U643" t="str">
        <f>PROPER(TRIM([1]raw_orders!U643))</f>
        <v>Completed</v>
      </c>
      <c r="V643" s="6">
        <f t="shared" ref="V643:V706" si="80">IF(Q643=0,0,S643/Q643)</f>
        <v>0.44395651400150488</v>
      </c>
      <c r="W643" t="str">
        <f t="shared" ref="W643:W706" si="81">TEXT(B643,"mmmm")</f>
        <v>April</v>
      </c>
      <c r="X643">
        <f t="shared" ref="X643:X706" si="82">YEAR(B643)</f>
        <v>2025</v>
      </c>
      <c r="Y643">
        <f t="shared" ref="Y643:Y706" si="83">C643-B643</f>
        <v>5</v>
      </c>
      <c r="Z643" s="7">
        <f t="shared" ref="Z643:Z706" si="84">P643</f>
        <v>0</v>
      </c>
      <c r="AA643">
        <f t="shared" ref="AA643:AA706" si="85">N643*O643*(1-P643)</f>
        <v>6405.74</v>
      </c>
      <c r="AB643">
        <f t="shared" ref="AB643:AB706" si="86">Q643-R643</f>
        <v>2843.87</v>
      </c>
      <c r="AC643" t="str">
        <f t="shared" ref="AC643:AC706" si="87">IF(OR(B643="",C643="",AA643&lt;=0),"Invalid",IF(Y643&lt;0,"Warning",IF(Z643&gt;100%,"Warning","Clean")))</f>
        <v>Clean</v>
      </c>
    </row>
    <row r="644" spans="1:29">
      <c r="A644" t="s">
        <v>1957</v>
      </c>
      <c r="B644" s="4">
        <v>45533</v>
      </c>
      <c r="C644" s="4">
        <v>45535</v>
      </c>
      <c r="D644" t="s">
        <v>1958</v>
      </c>
      <c r="E644" t="str">
        <f>PROPER(TRIM([1]raw_orders!E644))</f>
        <v>Isha Nair</v>
      </c>
      <c r="F644" t="str">
        <f>PROPER(TRIM([1]raw_orders!F644))</f>
        <v>Home Office</v>
      </c>
      <c r="G644" t="str">
        <f>IF('[1]Cleaned Text Field'!G644="","Unknown",'[1]Cleaned Text Field'!G644)</f>
        <v>East</v>
      </c>
      <c r="H644" t="str">
        <f>PROPER(TRIM([1]raw_orders!H644))</f>
        <v>Assam</v>
      </c>
      <c r="I644" t="str">
        <f>PROPER(TRIM([1]raw_orders!I644))</f>
        <v>Guwahati</v>
      </c>
      <c r="J644" t="str">
        <f>PROPER(TRIM([1]raw_orders!J644))</f>
        <v>Office Supplies</v>
      </c>
      <c r="K644" t="str">
        <f>PROPER(TRIM([1]raw_orders!K644))</f>
        <v>Binders</v>
      </c>
      <c r="L644" t="s">
        <v>1959</v>
      </c>
      <c r="M644" t="str">
        <f>IF('[1]Cleaned Text Field'!M644="","Unknown",'[1]Cleaned Text Field'!M644)</f>
        <v>Second Class</v>
      </c>
      <c r="N644">
        <f>IF('[1]Cleaned Text Field'!N644="",0,'[1]Cleaned Text Field'!N644)</f>
        <v>9</v>
      </c>
      <c r="O644">
        <v>1275.21</v>
      </c>
      <c r="P644" s="5">
        <f>IF('[1]Cleaned Text Field'!P644="",0,'[1]Cleaned Text Field'!P644)</f>
        <v>0.25</v>
      </c>
      <c r="Q644">
        <v>8607.67</v>
      </c>
      <c r="R644">
        <v>5337.64</v>
      </c>
      <c r="S644">
        <v>3270.03</v>
      </c>
      <c r="T644" t="str">
        <f>PROPER(TRIM([1]raw_orders!T644))</f>
        <v>Failed</v>
      </c>
      <c r="U644" t="str">
        <f>PROPER(TRIM([1]raw_orders!U644))</f>
        <v>Returned</v>
      </c>
      <c r="V644" s="6">
        <f t="shared" si="80"/>
        <v>0.37989723119032215</v>
      </c>
      <c r="W644" t="str">
        <f t="shared" si="81"/>
        <v>August</v>
      </c>
      <c r="X644">
        <f t="shared" si="82"/>
        <v>2024</v>
      </c>
      <c r="Y644">
        <f t="shared" si="83"/>
        <v>2</v>
      </c>
      <c r="Z644" s="7">
        <f t="shared" si="84"/>
        <v>0.25</v>
      </c>
      <c r="AA644">
        <f t="shared" si="85"/>
        <v>8607.6674999999996</v>
      </c>
      <c r="AB644">
        <f t="shared" si="86"/>
        <v>3270.0299999999997</v>
      </c>
      <c r="AC644" t="str">
        <f t="shared" si="87"/>
        <v>Clean</v>
      </c>
    </row>
    <row r="645" spans="1:29">
      <c r="A645" t="s">
        <v>1960</v>
      </c>
      <c r="B645" s="4">
        <v>45414</v>
      </c>
      <c r="C645" s="4">
        <v>45335</v>
      </c>
      <c r="D645" t="s">
        <v>662</v>
      </c>
      <c r="E645" t="str">
        <f>PROPER(TRIM([1]raw_orders!E645))</f>
        <v>Aarav Sharma</v>
      </c>
      <c r="F645" t="str">
        <f>PROPER(TRIM([1]raw_orders!F645))</f>
        <v>Home Office</v>
      </c>
      <c r="G645" t="str">
        <f>IF('[1]Cleaned Text Field'!G645="","Unknown",'[1]Cleaned Text Field'!G645)</f>
        <v>North</v>
      </c>
      <c r="H645" t="str">
        <f>PROPER(TRIM([1]raw_orders!H645))</f>
        <v>Uttar Pradesh</v>
      </c>
      <c r="I645" t="str">
        <f>PROPER(TRIM([1]raw_orders!I645))</f>
        <v>Noida</v>
      </c>
      <c r="J645" t="str">
        <f>PROPER(TRIM([1]raw_orders!J645))</f>
        <v>Office Supplies</v>
      </c>
      <c r="K645" t="str">
        <f>PROPER(TRIM([1]raw_orders!K645))</f>
        <v>Labels</v>
      </c>
      <c r="L645" t="s">
        <v>1961</v>
      </c>
      <c r="M645" t="str">
        <f>IF('[1]Cleaned Text Field'!M645="","Unknown",'[1]Cleaned Text Field'!M645)</f>
        <v>Standard Class</v>
      </c>
      <c r="N645">
        <f>IF('[1]Cleaned Text Field'!N645="",0,'[1]Cleaned Text Field'!N645)</f>
        <v>8</v>
      </c>
      <c r="O645">
        <v>3871.18</v>
      </c>
      <c r="P645" s="5">
        <f>IF('[1]Cleaned Text Field'!P645="",0,'[1]Cleaned Text Field'!P645)</f>
        <v>0.15</v>
      </c>
      <c r="Q645">
        <v>26324.02</v>
      </c>
      <c r="R645">
        <v>16277.96</v>
      </c>
      <c r="S645">
        <v>10046.06</v>
      </c>
      <c r="T645" t="str">
        <f>PROPER(TRIM([1]raw_orders!T645))</f>
        <v>Failed</v>
      </c>
      <c r="U645" t="str">
        <f>PROPER(TRIM([1]raw_orders!U645))</f>
        <v>Returned</v>
      </c>
      <c r="V645" s="6">
        <f t="shared" si="80"/>
        <v>0.38163092111311264</v>
      </c>
      <c r="W645" t="str">
        <f t="shared" si="81"/>
        <v>May</v>
      </c>
      <c r="X645">
        <f t="shared" si="82"/>
        <v>2024</v>
      </c>
      <c r="Y645">
        <f t="shared" si="83"/>
        <v>-79</v>
      </c>
      <c r="Z645" s="7">
        <f t="shared" si="84"/>
        <v>0.15</v>
      </c>
      <c r="AA645">
        <f t="shared" si="85"/>
        <v>26324.023999999998</v>
      </c>
      <c r="AB645">
        <f t="shared" si="86"/>
        <v>10046.060000000001</v>
      </c>
      <c r="AC645" t="str">
        <f t="shared" si="87"/>
        <v>Warning</v>
      </c>
    </row>
    <row r="646" spans="1:29">
      <c r="A646" t="s">
        <v>1962</v>
      </c>
      <c r="B646" s="4">
        <v>45757</v>
      </c>
      <c r="C646" s="4">
        <v>45764</v>
      </c>
      <c r="D646" t="s">
        <v>1963</v>
      </c>
      <c r="E646" t="str">
        <f>PROPER(TRIM([1]raw_orders!E646))</f>
        <v>Vikram Iyer</v>
      </c>
      <c r="F646" t="str">
        <f>PROPER(TRIM([1]raw_orders!F646))</f>
        <v>Consumer</v>
      </c>
      <c r="G646" t="str">
        <f>IF('[1]Cleaned Text Field'!G646="","Unknown",'[1]Cleaned Text Field'!G646)</f>
        <v>East</v>
      </c>
      <c r="H646" t="str">
        <f>PROPER(TRIM([1]raw_orders!H646))</f>
        <v>West Bengal</v>
      </c>
      <c r="I646" t="str">
        <f>PROPER(TRIM([1]raw_orders!I646))</f>
        <v>Kolkata</v>
      </c>
      <c r="J646" t="str">
        <f>PROPER(TRIM([1]raw_orders!J646))</f>
        <v>Furniture</v>
      </c>
      <c r="K646" t="str">
        <f>PROPER(TRIM([1]raw_orders!K646))</f>
        <v>Chairs</v>
      </c>
      <c r="L646" t="s">
        <v>1964</v>
      </c>
      <c r="M646" t="str">
        <f>IF('[1]Cleaned Text Field'!M646="","Unknown",'[1]Cleaned Text Field'!M646)</f>
        <v>Standard Class</v>
      </c>
      <c r="N646">
        <f>IF('[1]Cleaned Text Field'!N646="",0,'[1]Cleaned Text Field'!N646)</f>
        <v>4</v>
      </c>
      <c r="O646">
        <v>3750.02</v>
      </c>
      <c r="P646" s="5">
        <f>IF('[1]Cleaned Text Field'!P646="",0,'[1]Cleaned Text Field'!P646)</f>
        <v>0.05</v>
      </c>
      <c r="Q646">
        <v>14250.08</v>
      </c>
      <c r="R646">
        <v>10914.92</v>
      </c>
      <c r="S646">
        <v>3335.16</v>
      </c>
      <c r="T646" t="str">
        <f>PROPER(TRIM([1]raw_orders!T646))</f>
        <v>Paid</v>
      </c>
      <c r="U646" t="str">
        <f>PROPER(TRIM([1]raw_orders!U646))</f>
        <v>Completed</v>
      </c>
      <c r="V646" s="6">
        <f t="shared" si="80"/>
        <v>0.23404500185262117</v>
      </c>
      <c r="W646" t="str">
        <f t="shared" si="81"/>
        <v>April</v>
      </c>
      <c r="X646">
        <f t="shared" si="82"/>
        <v>2025</v>
      </c>
      <c r="Y646">
        <f t="shared" si="83"/>
        <v>7</v>
      </c>
      <c r="Z646" s="7">
        <f t="shared" si="84"/>
        <v>0.05</v>
      </c>
      <c r="AA646">
        <f t="shared" si="85"/>
        <v>14250.075999999999</v>
      </c>
      <c r="AB646">
        <f t="shared" si="86"/>
        <v>3335.16</v>
      </c>
      <c r="AC646" t="str">
        <f t="shared" si="87"/>
        <v>Clean</v>
      </c>
    </row>
    <row r="647" spans="1:29">
      <c r="A647" t="s">
        <v>1965</v>
      </c>
      <c r="B647" s="4">
        <v>45295</v>
      </c>
      <c r="C647" s="4">
        <v>45536</v>
      </c>
      <c r="D647" t="s">
        <v>1966</v>
      </c>
      <c r="E647" t="str">
        <f>PROPER(TRIM([1]raw_orders!E647))</f>
        <v>Kabir Singh</v>
      </c>
      <c r="F647" t="str">
        <f>PROPER(TRIM([1]raw_orders!F647))</f>
        <v>Consumer</v>
      </c>
      <c r="G647" t="str">
        <f>IF('[1]Cleaned Text Field'!G647="","Unknown",'[1]Cleaned Text Field'!G647)</f>
        <v>East</v>
      </c>
      <c r="H647" t="str">
        <f>PROPER(TRIM([1]raw_orders!H647))</f>
        <v>Bihar</v>
      </c>
      <c r="I647" t="str">
        <f>PROPER(TRIM([1]raw_orders!I647))</f>
        <v>Patna</v>
      </c>
      <c r="J647" t="str">
        <f>PROPER(TRIM([1]raw_orders!J647))</f>
        <v>Furniture</v>
      </c>
      <c r="K647" t="str">
        <f>PROPER(TRIM([1]raw_orders!K647))</f>
        <v>Chairs</v>
      </c>
      <c r="L647" t="s">
        <v>1967</v>
      </c>
      <c r="M647" t="str">
        <f>IF('[1]Cleaned Text Field'!M647="","Unknown",'[1]Cleaned Text Field'!M647)</f>
        <v>Second Class</v>
      </c>
      <c r="N647">
        <f>IF('[1]Cleaned Text Field'!N647="",0,'[1]Cleaned Text Field'!N647)</f>
        <v>6</v>
      </c>
      <c r="O647">
        <v>2423.61</v>
      </c>
      <c r="P647" s="5">
        <f>IF('[1]Cleaned Text Field'!P647="",0,'[1]Cleaned Text Field'!P647)</f>
        <v>0.1</v>
      </c>
      <c r="Q647">
        <v>13087.49</v>
      </c>
      <c r="R647">
        <v>7608.89</v>
      </c>
      <c r="S647">
        <v>5133.22</v>
      </c>
      <c r="T647" t="str">
        <f>PROPER(TRIM([1]raw_orders!T647))</f>
        <v>Paid</v>
      </c>
      <c r="U647" t="str">
        <f>PROPER(TRIM([1]raw_orders!U647))</f>
        <v>Completed</v>
      </c>
      <c r="V647" s="6">
        <f t="shared" si="80"/>
        <v>0.39222341335122324</v>
      </c>
      <c r="W647" t="str">
        <f t="shared" si="81"/>
        <v>January</v>
      </c>
      <c r="X647">
        <f t="shared" si="82"/>
        <v>2024</v>
      </c>
      <c r="Y647">
        <f t="shared" si="83"/>
        <v>241</v>
      </c>
      <c r="Z647" s="7">
        <f t="shared" si="84"/>
        <v>0.1</v>
      </c>
      <c r="AA647">
        <f t="shared" si="85"/>
        <v>13087.494000000001</v>
      </c>
      <c r="AB647">
        <f t="shared" si="86"/>
        <v>5478.5999999999995</v>
      </c>
      <c r="AC647" t="str">
        <f t="shared" si="87"/>
        <v>Clean</v>
      </c>
    </row>
    <row r="648" spans="1:29">
      <c r="A648" t="s">
        <v>1968</v>
      </c>
      <c r="B648" s="4">
        <v>45553</v>
      </c>
      <c r="C648" s="4">
        <v>45559</v>
      </c>
      <c r="D648" t="s">
        <v>1969</v>
      </c>
      <c r="E648" t="str">
        <f>PROPER(TRIM([1]raw_orders!E648))</f>
        <v>Vikram Iyer</v>
      </c>
      <c r="F648" t="str">
        <f>PROPER(TRIM([1]raw_orders!F648))</f>
        <v>Small Business</v>
      </c>
      <c r="G648" t="str">
        <f>IF('[1]Cleaned Text Field'!G648="","Unknown",'[1]Cleaned Text Field'!G648)</f>
        <v>East</v>
      </c>
      <c r="H648" t="str">
        <f>PROPER(TRIM([1]raw_orders!H648))</f>
        <v>Jharkhand</v>
      </c>
      <c r="I648" t="str">
        <f>PROPER(TRIM([1]raw_orders!I648))</f>
        <v>Ranchi</v>
      </c>
      <c r="J648" t="str">
        <f>PROPER(TRIM([1]raw_orders!J648))</f>
        <v>Technology</v>
      </c>
      <c r="K648" t="str">
        <f>PROPER(TRIM([1]raw_orders!K648))</f>
        <v>Machines</v>
      </c>
      <c r="L648" t="s">
        <v>1970</v>
      </c>
      <c r="M648" t="str">
        <f>IF('[1]Cleaned Text Field'!M648="","Unknown",'[1]Cleaned Text Field'!M648)</f>
        <v>First Class</v>
      </c>
      <c r="N648">
        <f>IF('[1]Cleaned Text Field'!N648="",0,'[1]Cleaned Text Field'!N648)</f>
        <v>3</v>
      </c>
      <c r="O648">
        <v>729.14</v>
      </c>
      <c r="P648" s="5">
        <f>IF('[1]Cleaned Text Field'!P648="",0,'[1]Cleaned Text Field'!P648)</f>
        <v>0.25</v>
      </c>
      <c r="Q648">
        <v>1640.57</v>
      </c>
      <c r="R648">
        <v>1136.98</v>
      </c>
      <c r="S648">
        <v>503.59</v>
      </c>
      <c r="T648" t="str">
        <f>PROPER(TRIM([1]raw_orders!T648))</f>
        <v>Paid</v>
      </c>
      <c r="U648" t="str">
        <f>PROPER(TRIM([1]raw_orders!U648))</f>
        <v>Completed</v>
      </c>
      <c r="V648" s="6">
        <f t="shared" si="80"/>
        <v>0.30696038571959744</v>
      </c>
      <c r="W648" t="str">
        <f t="shared" si="81"/>
        <v>September</v>
      </c>
      <c r="X648">
        <f t="shared" si="82"/>
        <v>2024</v>
      </c>
      <c r="Y648">
        <f t="shared" si="83"/>
        <v>6</v>
      </c>
      <c r="Z648" s="7">
        <f t="shared" si="84"/>
        <v>0.25</v>
      </c>
      <c r="AA648">
        <f t="shared" si="85"/>
        <v>1640.5650000000001</v>
      </c>
      <c r="AB648">
        <f t="shared" si="86"/>
        <v>503.58999999999992</v>
      </c>
      <c r="AC648" t="str">
        <f t="shared" si="87"/>
        <v>Clean</v>
      </c>
    </row>
    <row r="649" spans="1:29">
      <c r="A649" t="s">
        <v>1971</v>
      </c>
      <c r="B649" s="4">
        <v>45658</v>
      </c>
      <c r="C649" s="4">
        <v>45901</v>
      </c>
      <c r="D649" t="s">
        <v>1972</v>
      </c>
      <c r="E649" t="str">
        <f>PROPER(TRIM([1]raw_orders!E649))</f>
        <v>Rohan Mehta</v>
      </c>
      <c r="F649" t="str">
        <f>PROPER(TRIM([1]raw_orders!F649))</f>
        <v>Small Business</v>
      </c>
      <c r="G649" t="str">
        <f>IF('[1]Cleaned Text Field'!G649="","Unknown",'[1]Cleaned Text Field'!G649)</f>
        <v>North</v>
      </c>
      <c r="H649" t="str">
        <f>PROPER(TRIM([1]raw_orders!H649))</f>
        <v>Punjab</v>
      </c>
      <c r="I649" t="str">
        <f>PROPER(TRIM([1]raw_orders!I649))</f>
        <v>Ludhiana</v>
      </c>
      <c r="J649" t="str">
        <f>PROPER(TRIM([1]raw_orders!J649))</f>
        <v>Office Supplies</v>
      </c>
      <c r="K649" t="str">
        <f>PROPER(TRIM([1]raw_orders!K649))</f>
        <v>Art</v>
      </c>
      <c r="L649" t="s">
        <v>1973</v>
      </c>
      <c r="M649" t="str">
        <f>IF('[1]Cleaned Text Field'!M649="","Unknown",'[1]Cleaned Text Field'!M649)</f>
        <v>First Class</v>
      </c>
      <c r="N649">
        <f>IF('[1]Cleaned Text Field'!N649="",0,'[1]Cleaned Text Field'!N649)</f>
        <v>8</v>
      </c>
      <c r="O649">
        <v>2123.81</v>
      </c>
      <c r="P649" s="5">
        <f>IF('[1]Cleaned Text Field'!P649="",0,'[1]Cleaned Text Field'!P649)</f>
        <v>0.15</v>
      </c>
      <c r="Q649">
        <v>14441.91</v>
      </c>
      <c r="R649">
        <v>10872.89</v>
      </c>
      <c r="S649">
        <v>3569.02</v>
      </c>
      <c r="T649" t="str">
        <f>PROPER(TRIM([1]raw_orders!T649))</f>
        <v>Paid</v>
      </c>
      <c r="U649" t="str">
        <f>PROPER(TRIM([1]raw_orders!U649))</f>
        <v>Completed</v>
      </c>
      <c r="V649" s="6">
        <f t="shared" si="80"/>
        <v>0.24712936169800256</v>
      </c>
      <c r="W649" t="str">
        <f t="shared" si="81"/>
        <v>January</v>
      </c>
      <c r="X649">
        <f t="shared" si="82"/>
        <v>2025</v>
      </c>
      <c r="Y649">
        <f t="shared" si="83"/>
        <v>243</v>
      </c>
      <c r="Z649" s="7">
        <f t="shared" si="84"/>
        <v>0.15</v>
      </c>
      <c r="AA649">
        <f t="shared" si="85"/>
        <v>14441.907999999999</v>
      </c>
      <c r="AB649">
        <f t="shared" si="86"/>
        <v>3569.0200000000004</v>
      </c>
      <c r="AC649" t="str">
        <f t="shared" si="87"/>
        <v>Clean</v>
      </c>
    </row>
    <row r="650" spans="1:29">
      <c r="A650" t="s">
        <v>1974</v>
      </c>
      <c r="B650" s="4">
        <v>45403</v>
      </c>
      <c r="C650" s="4">
        <v>45406</v>
      </c>
      <c r="D650" t="s">
        <v>1975</v>
      </c>
      <c r="E650" t="str">
        <f>PROPER(TRIM([1]raw_orders!E650))</f>
        <v>Neha Gupta</v>
      </c>
      <c r="F650" t="str">
        <f>PROPER(TRIM([1]raw_orders!F650))</f>
        <v>Small Business</v>
      </c>
      <c r="G650" t="str">
        <f>IF('[1]Cleaned Text Field'!G650="","Unknown",'[1]Cleaned Text Field'!G650)</f>
        <v>South</v>
      </c>
      <c r="H650" t="str">
        <f>PROPER(TRIM([1]raw_orders!H650))</f>
        <v>Andhra Pradesh</v>
      </c>
      <c r="I650" t="str">
        <f>PROPER(TRIM([1]raw_orders!I650))</f>
        <v>Vijayawada</v>
      </c>
      <c r="J650" t="str">
        <f>PROPER(TRIM([1]raw_orders!J650))</f>
        <v>Office Supplies</v>
      </c>
      <c r="K650" t="str">
        <f>PROPER(TRIM([1]raw_orders!K650))</f>
        <v>Art</v>
      </c>
      <c r="L650" t="s">
        <v>1976</v>
      </c>
      <c r="M650" t="str">
        <f>IF('[1]Cleaned Text Field'!M650="","Unknown",'[1]Cleaned Text Field'!M650)</f>
        <v>Same Day</v>
      </c>
      <c r="N650">
        <f>IF('[1]Cleaned Text Field'!N650="",0,'[1]Cleaned Text Field'!N650)</f>
        <v>9</v>
      </c>
      <c r="O650">
        <v>703.59</v>
      </c>
      <c r="P650" s="5">
        <f>IF('[1]Cleaned Text Field'!P650="",0,'[1]Cleaned Text Field'!P650)</f>
        <v>0.2</v>
      </c>
      <c r="Q650">
        <v>5065.8500000000004</v>
      </c>
      <c r="R650">
        <v>3517.23</v>
      </c>
      <c r="S650">
        <v>1548.62</v>
      </c>
      <c r="T650" t="str">
        <f>PROPER(TRIM([1]raw_orders!T650))</f>
        <v>Failed</v>
      </c>
      <c r="U650" t="str">
        <f>PROPER(TRIM([1]raw_orders!U650))</f>
        <v>Returned</v>
      </c>
      <c r="V650" s="6">
        <f t="shared" si="80"/>
        <v>0.30569795789452903</v>
      </c>
      <c r="W650" t="str">
        <f t="shared" si="81"/>
        <v>April</v>
      </c>
      <c r="X650">
        <f t="shared" si="82"/>
        <v>2024</v>
      </c>
      <c r="Y650">
        <f t="shared" si="83"/>
        <v>3</v>
      </c>
      <c r="Z650" s="7">
        <f t="shared" si="84"/>
        <v>0.2</v>
      </c>
      <c r="AA650">
        <f t="shared" si="85"/>
        <v>5065.8480000000009</v>
      </c>
      <c r="AB650">
        <f t="shared" si="86"/>
        <v>1548.6200000000003</v>
      </c>
      <c r="AC650" t="str">
        <f t="shared" si="87"/>
        <v>Clean</v>
      </c>
    </row>
    <row r="651" spans="1:29">
      <c r="A651" t="s">
        <v>1977</v>
      </c>
      <c r="B651" s="4">
        <v>45880</v>
      </c>
      <c r="C651" s="4">
        <v>45888</v>
      </c>
      <c r="D651" t="s">
        <v>1978</v>
      </c>
      <c r="E651" t="str">
        <f>PROPER(TRIM([1]raw_orders!E651))</f>
        <v>Kabir Singh</v>
      </c>
      <c r="F651" t="str">
        <f>PROPER(TRIM([1]raw_orders!F651))</f>
        <v>Small Business</v>
      </c>
      <c r="G651" t="str">
        <f>IF('[1]Cleaned Text Field'!G651="","Unknown",'[1]Cleaned Text Field'!G651)</f>
        <v>South</v>
      </c>
      <c r="H651" t="str">
        <f>PROPER(TRIM([1]raw_orders!H651))</f>
        <v>Kerala</v>
      </c>
      <c r="I651" t="str">
        <f>PROPER(TRIM([1]raw_orders!I651))</f>
        <v>Kochi</v>
      </c>
      <c r="J651" t="str">
        <f>PROPER(TRIM([1]raw_orders!J651))</f>
        <v>Technology</v>
      </c>
      <c r="K651" t="str">
        <f>PROPER(TRIM([1]raw_orders!K651))</f>
        <v>Accessories</v>
      </c>
      <c r="L651" t="s">
        <v>1979</v>
      </c>
      <c r="M651" t="str">
        <f>IF('[1]Cleaned Text Field'!M651="","Unknown",'[1]Cleaned Text Field'!M651)</f>
        <v>Standard Class</v>
      </c>
      <c r="N651">
        <f>IF('[1]Cleaned Text Field'!N651="",0,'[1]Cleaned Text Field'!N651)</f>
        <v>4</v>
      </c>
      <c r="O651">
        <v>2258.96</v>
      </c>
      <c r="P651" s="5">
        <f>IF('[1]Cleaned Text Field'!P651="",0,'[1]Cleaned Text Field'!P651)</f>
        <v>0.25</v>
      </c>
      <c r="Q651">
        <v>6776.88</v>
      </c>
      <c r="R651">
        <v>3836.24</v>
      </c>
      <c r="S651">
        <v>2940.64</v>
      </c>
      <c r="T651" t="str">
        <f>PROPER(TRIM([1]raw_orders!T651))</f>
        <v>Paid</v>
      </c>
      <c r="U651" t="str">
        <f>PROPER(TRIM([1]raw_orders!U651))</f>
        <v>Completed</v>
      </c>
      <c r="V651" s="6">
        <f t="shared" si="80"/>
        <v>0.43392239496641521</v>
      </c>
      <c r="W651" t="str">
        <f t="shared" si="81"/>
        <v>August</v>
      </c>
      <c r="X651">
        <f t="shared" si="82"/>
        <v>2025</v>
      </c>
      <c r="Y651">
        <f t="shared" si="83"/>
        <v>8</v>
      </c>
      <c r="Z651" s="7">
        <f t="shared" si="84"/>
        <v>0.25</v>
      </c>
      <c r="AA651">
        <f t="shared" si="85"/>
        <v>6776.88</v>
      </c>
      <c r="AB651">
        <f t="shared" si="86"/>
        <v>2940.6400000000003</v>
      </c>
      <c r="AC651" t="str">
        <f t="shared" si="87"/>
        <v>Clean</v>
      </c>
    </row>
    <row r="652" spans="1:29">
      <c r="A652" t="s">
        <v>1980</v>
      </c>
      <c r="B652" s="4">
        <v>45395</v>
      </c>
      <c r="C652" s="4">
        <v>45403</v>
      </c>
      <c r="D652" t="s">
        <v>321</v>
      </c>
      <c r="E652" t="str">
        <f>PROPER(TRIM([1]raw_orders!E652))</f>
        <v>Aarav Sharma</v>
      </c>
      <c r="F652" t="str">
        <f>PROPER(TRIM([1]raw_orders!F652))</f>
        <v>Home Office</v>
      </c>
      <c r="G652" t="str">
        <f>IF('[1]Cleaned Text Field'!G652="","Unknown",'[1]Cleaned Text Field'!G652)</f>
        <v>East</v>
      </c>
      <c r="H652" t="str">
        <f>PROPER(TRIM([1]raw_orders!H652))</f>
        <v>Bihar</v>
      </c>
      <c r="I652" t="str">
        <f>PROPER(TRIM([1]raw_orders!I652))</f>
        <v>Patna</v>
      </c>
      <c r="J652" t="str">
        <f>PROPER(TRIM([1]raw_orders!J652))</f>
        <v>Technology</v>
      </c>
      <c r="K652" t="str">
        <f>PROPER(TRIM([1]raw_orders!K652))</f>
        <v>Accessories</v>
      </c>
      <c r="L652" t="s">
        <v>1981</v>
      </c>
      <c r="M652" t="str">
        <f>IF('[1]Cleaned Text Field'!M652="","Unknown",'[1]Cleaned Text Field'!M652)</f>
        <v>Same Day</v>
      </c>
      <c r="N652">
        <f>IF('[1]Cleaned Text Field'!N652="",0,'[1]Cleaned Text Field'!N652)</f>
        <v>7</v>
      </c>
      <c r="O652">
        <v>2648.76</v>
      </c>
      <c r="P652" s="5">
        <f>IF('[1]Cleaned Text Field'!P652="",0,'[1]Cleaned Text Field'!P652)</f>
        <v>0.15</v>
      </c>
      <c r="Q652">
        <v>15760.12</v>
      </c>
      <c r="R652">
        <v>9931.5300000000007</v>
      </c>
      <c r="S652">
        <v>5828.59</v>
      </c>
      <c r="T652" t="str">
        <f>PROPER(TRIM([1]raw_orders!T652))</f>
        <v>Failed</v>
      </c>
      <c r="U652" t="str">
        <f>PROPER(TRIM([1]raw_orders!U652))</f>
        <v>Returned</v>
      </c>
      <c r="V652" s="6">
        <f t="shared" si="80"/>
        <v>0.3698315748864856</v>
      </c>
      <c r="W652" t="str">
        <f t="shared" si="81"/>
        <v>April</v>
      </c>
      <c r="X652">
        <f t="shared" si="82"/>
        <v>2024</v>
      </c>
      <c r="Y652">
        <f t="shared" si="83"/>
        <v>8</v>
      </c>
      <c r="Z652" s="7">
        <f t="shared" si="84"/>
        <v>0.15</v>
      </c>
      <c r="AA652">
        <f t="shared" si="85"/>
        <v>15760.121999999999</v>
      </c>
      <c r="AB652">
        <f t="shared" si="86"/>
        <v>5828.59</v>
      </c>
      <c r="AC652" t="str">
        <f t="shared" si="87"/>
        <v>Clean</v>
      </c>
    </row>
    <row r="653" spans="1:29">
      <c r="A653" t="s">
        <v>1982</v>
      </c>
      <c r="B653" s="4">
        <v>45875</v>
      </c>
      <c r="C653" s="4">
        <v>45908</v>
      </c>
      <c r="D653" t="s">
        <v>1983</v>
      </c>
      <c r="E653" t="str">
        <f>PROPER(TRIM([1]raw_orders!E653))</f>
        <v>Mira Das</v>
      </c>
      <c r="F653" t="str">
        <f>PROPER(TRIM([1]raw_orders!F653))</f>
        <v>Small Business</v>
      </c>
      <c r="G653" t="str">
        <f>IF('[1]Cleaned Text Field'!G653="","Unknown",'[1]Cleaned Text Field'!G653)</f>
        <v>South</v>
      </c>
      <c r="H653" t="str">
        <f>PROPER(TRIM([1]raw_orders!H653))</f>
        <v>Andhra Pradesh</v>
      </c>
      <c r="I653" t="str">
        <f>PROPER(TRIM([1]raw_orders!I653))</f>
        <v>Vijayawada</v>
      </c>
      <c r="J653" t="str">
        <f>PROPER(TRIM([1]raw_orders!J653))</f>
        <v>Office Supplies</v>
      </c>
      <c r="K653" t="str">
        <f>PROPER(TRIM([1]raw_orders!K653))</f>
        <v>Paper</v>
      </c>
      <c r="L653" t="s">
        <v>1984</v>
      </c>
      <c r="M653" t="str">
        <f>IF('[1]Cleaned Text Field'!M653="","Unknown",'[1]Cleaned Text Field'!M653)</f>
        <v>Second Class</v>
      </c>
      <c r="N653">
        <f>IF('[1]Cleaned Text Field'!N653="",0,'[1]Cleaned Text Field'!N653)</f>
        <v>3</v>
      </c>
      <c r="O653">
        <v>598.54999999999995</v>
      </c>
      <c r="P653" s="5">
        <f>IF('[1]Cleaned Text Field'!P653="",0,'[1]Cleaned Text Field'!P653)</f>
        <v>0</v>
      </c>
      <c r="Q653">
        <v>1795.65</v>
      </c>
      <c r="R653">
        <v>996.72</v>
      </c>
      <c r="S653">
        <v>798.93</v>
      </c>
      <c r="T653" t="str">
        <f>PROPER(TRIM([1]raw_orders!T653))</f>
        <v>Paid</v>
      </c>
      <c r="U653" t="str">
        <f>PROPER(TRIM([1]raw_orders!U653))</f>
        <v>Completed</v>
      </c>
      <c r="V653" s="6">
        <f t="shared" si="80"/>
        <v>0.44492523598696848</v>
      </c>
      <c r="W653" t="str">
        <f t="shared" si="81"/>
        <v>August</v>
      </c>
      <c r="X653">
        <f t="shared" si="82"/>
        <v>2025</v>
      </c>
      <c r="Y653">
        <f t="shared" si="83"/>
        <v>33</v>
      </c>
      <c r="Z653" s="7">
        <f t="shared" si="84"/>
        <v>0</v>
      </c>
      <c r="AA653">
        <f t="shared" si="85"/>
        <v>1795.6499999999999</v>
      </c>
      <c r="AB653">
        <f t="shared" si="86"/>
        <v>798.93000000000006</v>
      </c>
      <c r="AC653" t="str">
        <f t="shared" si="87"/>
        <v>Clean</v>
      </c>
    </row>
    <row r="654" spans="1:29">
      <c r="A654" t="s">
        <v>1985</v>
      </c>
      <c r="B654" s="4">
        <v>45733</v>
      </c>
      <c r="C654" s="4">
        <v>45737</v>
      </c>
      <c r="D654" t="s">
        <v>1629</v>
      </c>
      <c r="E654" t="str">
        <f>PROPER(TRIM([1]raw_orders!E654))</f>
        <v>Sneha Kapoor</v>
      </c>
      <c r="F654" t="str">
        <f>PROPER(TRIM([1]raw_orders!F654))</f>
        <v>Consumer</v>
      </c>
      <c r="G654" t="str">
        <f>IF('[1]Cleaned Text Field'!G654="","Unknown",'[1]Cleaned Text Field'!G654)</f>
        <v>North</v>
      </c>
      <c r="H654" t="str">
        <f>PROPER(TRIM([1]raw_orders!H654))</f>
        <v>Uttar Pradesh</v>
      </c>
      <c r="I654" t="str">
        <f>PROPER(TRIM([1]raw_orders!I654))</f>
        <v>Noida</v>
      </c>
      <c r="J654" t="str">
        <f>PROPER(TRIM([1]raw_orders!J654))</f>
        <v>Office Supplies</v>
      </c>
      <c r="K654" t="str">
        <f>PROPER(TRIM([1]raw_orders!K654))</f>
        <v>Binders</v>
      </c>
      <c r="L654" t="s">
        <v>1986</v>
      </c>
      <c r="M654" t="str">
        <f>IF('[1]Cleaned Text Field'!M654="","Unknown",'[1]Cleaned Text Field'!M654)</f>
        <v>Standard Class</v>
      </c>
      <c r="N654">
        <f>IF('[1]Cleaned Text Field'!N654="",0,'[1]Cleaned Text Field'!N654)</f>
        <v>5</v>
      </c>
      <c r="O654">
        <v>4320.59</v>
      </c>
      <c r="P654" s="5">
        <f>IF('[1]Cleaned Text Field'!P654="",0,'[1]Cleaned Text Field'!P654)</f>
        <v>0.15</v>
      </c>
      <c r="Q654">
        <v>18362.509999999998</v>
      </c>
      <c r="R654">
        <v>11133.97</v>
      </c>
      <c r="S654">
        <v>7228.54</v>
      </c>
      <c r="T654" t="str">
        <f>PROPER(TRIM([1]raw_orders!T654))</f>
        <v>Paid</v>
      </c>
      <c r="U654" t="str">
        <f>PROPER(TRIM([1]raw_orders!U654))</f>
        <v>Completed</v>
      </c>
      <c r="V654" s="6">
        <f t="shared" si="80"/>
        <v>0.39365751196323384</v>
      </c>
      <c r="W654" t="str">
        <f t="shared" si="81"/>
        <v>March</v>
      </c>
      <c r="X654">
        <f t="shared" si="82"/>
        <v>2025</v>
      </c>
      <c r="Y654">
        <f t="shared" si="83"/>
        <v>4</v>
      </c>
      <c r="Z654" s="7">
        <f t="shared" si="84"/>
        <v>0.15</v>
      </c>
      <c r="AA654">
        <f t="shared" si="85"/>
        <v>18362.5075</v>
      </c>
      <c r="AB654">
        <f t="shared" si="86"/>
        <v>7228.5399999999991</v>
      </c>
      <c r="AC654" t="str">
        <f t="shared" si="87"/>
        <v>Clean</v>
      </c>
    </row>
    <row r="655" spans="1:29">
      <c r="A655" t="s">
        <v>1987</v>
      </c>
      <c r="B655" s="4">
        <v>45751</v>
      </c>
      <c r="C655" s="4">
        <v>45754</v>
      </c>
      <c r="D655" t="s">
        <v>1988</v>
      </c>
      <c r="E655" t="str">
        <f>PROPER(TRIM([1]raw_orders!E655))</f>
        <v>Priya Menon</v>
      </c>
      <c r="F655" t="str">
        <f>PROPER(TRIM([1]raw_orders!F655))</f>
        <v>Small Business</v>
      </c>
      <c r="G655" t="str">
        <f>IF('[1]Cleaned Text Field'!G655="","Unknown",'[1]Cleaned Text Field'!G655)</f>
        <v>South</v>
      </c>
      <c r="H655" t="str">
        <f>PROPER(TRIM([1]raw_orders!H655))</f>
        <v>Tamil Nadu</v>
      </c>
      <c r="I655" t="str">
        <f>PROPER(TRIM([1]raw_orders!I655))</f>
        <v>Chennai</v>
      </c>
      <c r="J655" t="str">
        <f>PROPER(TRIM([1]raw_orders!J655))</f>
        <v>Technology</v>
      </c>
      <c r="K655" t="str">
        <f>PROPER(TRIM([1]raw_orders!K655))</f>
        <v>Copiers</v>
      </c>
      <c r="L655" t="s">
        <v>1989</v>
      </c>
      <c r="M655" t="str">
        <f>IF('[1]Cleaned Text Field'!M655="","Unknown",'[1]Cleaned Text Field'!M655)</f>
        <v>Second Class</v>
      </c>
      <c r="N655">
        <f>IF('[1]Cleaned Text Field'!N655="",0,'[1]Cleaned Text Field'!N655)</f>
        <v>7</v>
      </c>
      <c r="O655">
        <v>4457.93</v>
      </c>
      <c r="P655" s="5">
        <f>IF('[1]Cleaned Text Field'!P655="",0,'[1]Cleaned Text Field'!P655)</f>
        <v>0.15</v>
      </c>
      <c r="Q655">
        <v>26524.68</v>
      </c>
      <c r="R655">
        <v>20574.3</v>
      </c>
      <c r="S655">
        <v>5950.38</v>
      </c>
      <c r="T655" t="str">
        <f>PROPER(TRIM([1]raw_orders!T655))</f>
        <v>Paid</v>
      </c>
      <c r="U655" t="str">
        <f>PROPER(TRIM([1]raw_orders!U655))</f>
        <v>Completed</v>
      </c>
      <c r="V655" s="6">
        <f t="shared" si="80"/>
        <v>0.22433371486479761</v>
      </c>
      <c r="W655" t="str">
        <f t="shared" si="81"/>
        <v>April</v>
      </c>
      <c r="X655">
        <f t="shared" si="82"/>
        <v>2025</v>
      </c>
      <c r="Y655">
        <f t="shared" si="83"/>
        <v>3</v>
      </c>
      <c r="Z655" s="7">
        <f t="shared" si="84"/>
        <v>0.15</v>
      </c>
      <c r="AA655">
        <f t="shared" si="85"/>
        <v>26524.683500000003</v>
      </c>
      <c r="AB655">
        <f t="shared" si="86"/>
        <v>5950.380000000001</v>
      </c>
      <c r="AC655" t="str">
        <f t="shared" si="87"/>
        <v>Clean</v>
      </c>
    </row>
    <row r="656" spans="1:29">
      <c r="A656" t="s">
        <v>1990</v>
      </c>
      <c r="B656" s="4">
        <v>45942</v>
      </c>
      <c r="C656" s="4">
        <v>45946</v>
      </c>
      <c r="D656" t="s">
        <v>868</v>
      </c>
      <c r="E656" t="str">
        <f>PROPER(TRIM([1]raw_orders!E656))</f>
        <v>Diya Patel</v>
      </c>
      <c r="F656" t="str">
        <f>PROPER(TRIM([1]raw_orders!F656))</f>
        <v>Corporate</v>
      </c>
      <c r="G656" t="str">
        <f>IF('[1]Cleaned Text Field'!G656="","Unknown",'[1]Cleaned Text Field'!G656)</f>
        <v>East</v>
      </c>
      <c r="H656" t="str">
        <f>PROPER(TRIM([1]raw_orders!H656))</f>
        <v>Bihar</v>
      </c>
      <c r="I656" t="str">
        <f>PROPER(TRIM([1]raw_orders!I656))</f>
        <v>Patna</v>
      </c>
      <c r="J656" t="str">
        <f>PROPER(TRIM([1]raw_orders!J656))</f>
        <v>Technology</v>
      </c>
      <c r="K656" t="str">
        <f>PROPER(TRIM([1]raw_orders!K656))</f>
        <v>Machines</v>
      </c>
      <c r="L656" t="s">
        <v>1991</v>
      </c>
      <c r="M656" t="str">
        <f>IF('[1]Cleaned Text Field'!M656="","Unknown",'[1]Cleaned Text Field'!M656)</f>
        <v>Same Day</v>
      </c>
      <c r="N656">
        <f>IF('[1]Cleaned Text Field'!N656="",0,'[1]Cleaned Text Field'!N656)</f>
        <v>1</v>
      </c>
      <c r="O656">
        <v>2570.06</v>
      </c>
      <c r="P656" s="5">
        <f>IF('[1]Cleaned Text Field'!P656="",0,'[1]Cleaned Text Field'!P656)</f>
        <v>0.2</v>
      </c>
      <c r="Q656">
        <v>2056.0500000000002</v>
      </c>
      <c r="R656">
        <v>1662.39</v>
      </c>
      <c r="S656">
        <v>393.66</v>
      </c>
      <c r="T656" t="str">
        <f>PROPER(TRIM([1]raw_orders!T656))</f>
        <v>Paid</v>
      </c>
      <c r="U656" t="str">
        <f>PROPER(TRIM([1]raw_orders!U656))</f>
        <v>Completed</v>
      </c>
      <c r="V656" s="6">
        <f t="shared" si="80"/>
        <v>0.19146421536441233</v>
      </c>
      <c r="W656" t="str">
        <f t="shared" si="81"/>
        <v>October</v>
      </c>
      <c r="X656">
        <f t="shared" si="82"/>
        <v>2025</v>
      </c>
      <c r="Y656">
        <f t="shared" si="83"/>
        <v>4</v>
      </c>
      <c r="Z656" s="7">
        <f t="shared" si="84"/>
        <v>0.2</v>
      </c>
      <c r="AA656">
        <f t="shared" si="85"/>
        <v>2056.0480000000002</v>
      </c>
      <c r="AB656">
        <f t="shared" si="86"/>
        <v>393.66000000000008</v>
      </c>
      <c r="AC656" t="str">
        <f t="shared" si="87"/>
        <v>Clean</v>
      </c>
    </row>
    <row r="657" spans="1:29">
      <c r="A657" t="s">
        <v>1992</v>
      </c>
      <c r="B657" s="4">
        <v>45895</v>
      </c>
      <c r="C657" s="4">
        <v>45895</v>
      </c>
      <c r="D657" t="s">
        <v>1993</v>
      </c>
      <c r="E657" t="str">
        <f>PROPER(TRIM([1]raw_orders!E657))</f>
        <v>Neha Gupta</v>
      </c>
      <c r="F657" t="str">
        <f>PROPER(TRIM([1]raw_orders!F657))</f>
        <v>Home Office</v>
      </c>
      <c r="G657" t="str">
        <f>IF('[1]Cleaned Text Field'!G657="","Unknown",'[1]Cleaned Text Field'!G657)</f>
        <v>East</v>
      </c>
      <c r="H657" t="str">
        <f>PROPER(TRIM([1]raw_orders!H657))</f>
        <v>West Bengal</v>
      </c>
      <c r="I657" t="str">
        <f>PROPER(TRIM([1]raw_orders!I657))</f>
        <v>Kolkata</v>
      </c>
      <c r="J657" t="str">
        <f>PROPER(TRIM([1]raw_orders!J657))</f>
        <v>Furniture</v>
      </c>
      <c r="K657" t="str">
        <f>PROPER(TRIM([1]raw_orders!K657))</f>
        <v>Furnishings</v>
      </c>
      <c r="L657" t="s">
        <v>1994</v>
      </c>
      <c r="M657" t="str">
        <f>IF('[1]Cleaned Text Field'!M657="","Unknown",'[1]Cleaned Text Field'!M657)</f>
        <v>Standard Class</v>
      </c>
      <c r="N657">
        <f>IF('[1]Cleaned Text Field'!N657="",0,'[1]Cleaned Text Field'!N657)</f>
        <v>4</v>
      </c>
      <c r="O657">
        <v>2151.8200000000002</v>
      </c>
      <c r="P657" s="5">
        <f>IF('[1]Cleaned Text Field'!P657="",0,'[1]Cleaned Text Field'!P657)</f>
        <v>0</v>
      </c>
      <c r="Q657">
        <v>8607.2800000000007</v>
      </c>
      <c r="R657">
        <v>5124.01</v>
      </c>
      <c r="S657">
        <v>3483.27</v>
      </c>
      <c r="T657" t="str">
        <f>PROPER(TRIM([1]raw_orders!T657))</f>
        <v>Paid</v>
      </c>
      <c r="U657" t="str">
        <f>PROPER(TRIM([1]raw_orders!U657))</f>
        <v>Completed</v>
      </c>
      <c r="V657" s="6">
        <f t="shared" si="80"/>
        <v>0.40468882155570629</v>
      </c>
      <c r="W657" t="str">
        <f t="shared" si="81"/>
        <v>August</v>
      </c>
      <c r="X657">
        <f t="shared" si="82"/>
        <v>2025</v>
      </c>
      <c r="Y657">
        <f t="shared" si="83"/>
        <v>0</v>
      </c>
      <c r="Z657" s="7">
        <f t="shared" si="84"/>
        <v>0</v>
      </c>
      <c r="AA657">
        <f t="shared" si="85"/>
        <v>8607.2800000000007</v>
      </c>
      <c r="AB657">
        <f t="shared" si="86"/>
        <v>3483.2700000000004</v>
      </c>
      <c r="AC657" t="str">
        <f t="shared" si="87"/>
        <v>Clean</v>
      </c>
    </row>
    <row r="658" spans="1:29">
      <c r="A658" t="s">
        <v>1995</v>
      </c>
      <c r="B658" s="4">
        <v>45478</v>
      </c>
      <c r="C658" s="4">
        <v>45426</v>
      </c>
      <c r="D658" t="s">
        <v>1996</v>
      </c>
      <c r="E658" t="str">
        <f>PROPER(TRIM([1]raw_orders!E658))</f>
        <v>Neha Gupta</v>
      </c>
      <c r="F658" t="str">
        <f>PROPER(TRIM([1]raw_orders!F658))</f>
        <v>Small Business</v>
      </c>
      <c r="G658" t="str">
        <f>IF('[1]Cleaned Text Field'!G658="","Unknown",'[1]Cleaned Text Field'!G658)</f>
        <v>North</v>
      </c>
      <c r="H658" t="str">
        <f>PROPER(TRIM([1]raw_orders!H658))</f>
        <v>Haryana</v>
      </c>
      <c r="I658" t="str">
        <f>PROPER(TRIM([1]raw_orders!I658))</f>
        <v>Gurugram</v>
      </c>
      <c r="J658" t="str">
        <f>PROPER(TRIM([1]raw_orders!J658))</f>
        <v>Technology</v>
      </c>
      <c r="K658" t="str">
        <f>PROPER(TRIM([1]raw_orders!K658))</f>
        <v>Machines</v>
      </c>
      <c r="L658" t="s">
        <v>1997</v>
      </c>
      <c r="M658" t="str">
        <f>IF('[1]Cleaned Text Field'!M658="","Unknown",'[1]Cleaned Text Field'!M658)</f>
        <v>Same Day</v>
      </c>
      <c r="N658">
        <f>IF('[1]Cleaned Text Field'!N658="",0,'[1]Cleaned Text Field'!N658)</f>
        <v>4</v>
      </c>
      <c r="O658">
        <v>2751.1</v>
      </c>
      <c r="P658" s="5">
        <f>IF('[1]Cleaned Text Field'!P658="",0,'[1]Cleaned Text Field'!P658)</f>
        <v>-0.05</v>
      </c>
      <c r="Q658">
        <v>9903.9599999999991</v>
      </c>
      <c r="R658">
        <v>7696.28</v>
      </c>
      <c r="S658">
        <v>2207.6799999999998</v>
      </c>
      <c r="T658" t="str">
        <f>PROPER(TRIM([1]raw_orders!T658))</f>
        <v>Paid</v>
      </c>
      <c r="U658" t="str">
        <f>PROPER(TRIM([1]raw_orders!U658))</f>
        <v>Completed</v>
      </c>
      <c r="V658" s="6">
        <f t="shared" si="80"/>
        <v>0.22290881627147122</v>
      </c>
      <c r="W658" t="str">
        <f t="shared" si="81"/>
        <v>July</v>
      </c>
      <c r="X658">
        <f t="shared" si="82"/>
        <v>2024</v>
      </c>
      <c r="Y658">
        <f t="shared" si="83"/>
        <v>-52</v>
      </c>
      <c r="Z658" s="7">
        <f t="shared" si="84"/>
        <v>-0.05</v>
      </c>
      <c r="AA658">
        <f t="shared" si="85"/>
        <v>11554.62</v>
      </c>
      <c r="AB658">
        <f t="shared" si="86"/>
        <v>2207.6799999999994</v>
      </c>
      <c r="AC658" t="str">
        <f t="shared" si="87"/>
        <v>Warning</v>
      </c>
    </row>
    <row r="659" spans="1:29">
      <c r="A659" t="s">
        <v>1998</v>
      </c>
      <c r="B659" s="4">
        <v>45876</v>
      </c>
      <c r="C659" s="4">
        <v>45879</v>
      </c>
      <c r="D659" t="s">
        <v>1999</v>
      </c>
      <c r="E659" t="str">
        <f>PROPER(TRIM([1]raw_orders!E659))</f>
        <v>Aditi Sen</v>
      </c>
      <c r="F659" t="str">
        <f>PROPER(TRIM([1]raw_orders!F659))</f>
        <v>Home Office</v>
      </c>
      <c r="G659" t="str">
        <f>IF('[1]Cleaned Text Field'!G659="","Unknown",'[1]Cleaned Text Field'!G659)</f>
        <v>East</v>
      </c>
      <c r="H659" t="str">
        <f>PROPER(TRIM([1]raw_orders!H659))</f>
        <v>Bihar</v>
      </c>
      <c r="I659" t="str">
        <f>PROPER(TRIM([1]raw_orders!I659))</f>
        <v>Patna</v>
      </c>
      <c r="J659" t="str">
        <f>PROPER(TRIM([1]raw_orders!J659))</f>
        <v>Office Supplies</v>
      </c>
      <c r="K659" t="str">
        <f>PROPER(TRIM([1]raw_orders!K659))</f>
        <v>Storage</v>
      </c>
      <c r="L659" t="s">
        <v>2000</v>
      </c>
      <c r="M659" t="str">
        <f>IF('[1]Cleaned Text Field'!M659="","Unknown",'[1]Cleaned Text Field'!M659)</f>
        <v>Second Class</v>
      </c>
      <c r="N659">
        <f>IF('[1]Cleaned Text Field'!N659="",0,'[1]Cleaned Text Field'!N659)</f>
        <v>1</v>
      </c>
      <c r="O659">
        <v>2541.25</v>
      </c>
      <c r="P659" s="5">
        <f>IF('[1]Cleaned Text Field'!P659="",0,'[1]Cleaned Text Field'!P659)</f>
        <v>0.2</v>
      </c>
      <c r="Q659">
        <v>2033</v>
      </c>
      <c r="R659">
        <v>1291.4100000000001</v>
      </c>
      <c r="S659">
        <v>741.59</v>
      </c>
      <c r="T659" t="str">
        <f>PROPER(TRIM([1]raw_orders!T659))</f>
        <v>Paid</v>
      </c>
      <c r="U659" t="str">
        <f>PROPER(TRIM([1]raw_orders!U659))</f>
        <v>Completed</v>
      </c>
      <c r="V659" s="6">
        <f t="shared" si="80"/>
        <v>0.36477619281849483</v>
      </c>
      <c r="W659" t="str">
        <f t="shared" si="81"/>
        <v>August</v>
      </c>
      <c r="X659">
        <f t="shared" si="82"/>
        <v>2025</v>
      </c>
      <c r="Y659">
        <f t="shared" si="83"/>
        <v>3</v>
      </c>
      <c r="Z659" s="7">
        <f t="shared" si="84"/>
        <v>0.2</v>
      </c>
      <c r="AA659">
        <f t="shared" si="85"/>
        <v>2033</v>
      </c>
      <c r="AB659">
        <f t="shared" si="86"/>
        <v>741.58999999999992</v>
      </c>
      <c r="AC659" t="str">
        <f t="shared" si="87"/>
        <v>Clean</v>
      </c>
    </row>
    <row r="660" spans="1:29">
      <c r="A660" t="s">
        <v>2001</v>
      </c>
      <c r="B660" s="4">
        <v>45817</v>
      </c>
      <c r="C660" s="4">
        <v>45820</v>
      </c>
      <c r="D660" t="s">
        <v>2002</v>
      </c>
      <c r="E660" t="str">
        <f>PROPER(TRIM([1]raw_orders!E660))</f>
        <v>Sneha Kapoor</v>
      </c>
      <c r="F660" t="str">
        <f>PROPER(TRIM([1]raw_orders!F660))</f>
        <v>Consumer</v>
      </c>
      <c r="G660" t="str">
        <f>IF('[1]Cleaned Text Field'!G660="","Unknown",'[1]Cleaned Text Field'!G660)</f>
        <v>Unknown</v>
      </c>
      <c r="H660" t="str">
        <f>PROPER(TRIM([1]raw_orders!H660))</f>
        <v>Bihar</v>
      </c>
      <c r="I660" t="str">
        <f>PROPER(TRIM([1]raw_orders!I660))</f>
        <v>Patna</v>
      </c>
      <c r="J660" t="str">
        <f>PROPER(TRIM([1]raw_orders!J660))</f>
        <v>Office Supplies</v>
      </c>
      <c r="K660" t="str">
        <f>PROPER(TRIM([1]raw_orders!K660))</f>
        <v>Art</v>
      </c>
      <c r="L660" t="s">
        <v>2003</v>
      </c>
      <c r="M660" t="str">
        <f>IF('[1]Cleaned Text Field'!M660="","Unknown",'[1]Cleaned Text Field'!M660)</f>
        <v>First Class</v>
      </c>
      <c r="N660">
        <f>IF('[1]Cleaned Text Field'!N660="",0,'[1]Cleaned Text Field'!N660)</f>
        <v>7</v>
      </c>
      <c r="O660">
        <v>2852.42</v>
      </c>
      <c r="P660" s="5">
        <f>IF('[1]Cleaned Text Field'!P660="",0,'[1]Cleaned Text Field'!P660)</f>
        <v>0</v>
      </c>
      <c r="Q660">
        <v>19966.939999999999</v>
      </c>
      <c r="R660">
        <v>12690.83</v>
      </c>
      <c r="S660">
        <v>7276.11</v>
      </c>
      <c r="T660" t="str">
        <f>PROPER(TRIM([1]raw_orders!T660))</f>
        <v>Refunded</v>
      </c>
      <c r="U660" t="str">
        <f>PROPER(TRIM([1]raw_orders!U660))</f>
        <v>Cancelled</v>
      </c>
      <c r="V660" s="6">
        <f t="shared" si="80"/>
        <v>0.36440786620283327</v>
      </c>
      <c r="W660" t="str">
        <f t="shared" si="81"/>
        <v>June</v>
      </c>
      <c r="X660">
        <f t="shared" si="82"/>
        <v>2025</v>
      </c>
      <c r="Y660">
        <f t="shared" si="83"/>
        <v>3</v>
      </c>
      <c r="Z660" s="7">
        <f t="shared" si="84"/>
        <v>0</v>
      </c>
      <c r="AA660">
        <f t="shared" si="85"/>
        <v>19966.940000000002</v>
      </c>
      <c r="AB660">
        <f t="shared" si="86"/>
        <v>7276.1099999999988</v>
      </c>
      <c r="AC660" t="str">
        <f t="shared" si="87"/>
        <v>Clean</v>
      </c>
    </row>
    <row r="661" spans="1:29">
      <c r="A661" t="s">
        <v>2004</v>
      </c>
      <c r="B661" s="4">
        <v>45678</v>
      </c>
      <c r="C661" s="4">
        <v>45679</v>
      </c>
      <c r="D661" t="s">
        <v>2005</v>
      </c>
      <c r="E661" t="str">
        <f>PROPER(TRIM([1]raw_orders!E661))</f>
        <v>Diya Patel</v>
      </c>
      <c r="F661" t="str">
        <f>PROPER(TRIM([1]raw_orders!F661))</f>
        <v>Corporate</v>
      </c>
      <c r="G661" t="str">
        <f>IF('[1]Cleaned Text Field'!G661="","Unknown",'[1]Cleaned Text Field'!G661)</f>
        <v>South</v>
      </c>
      <c r="H661" t="str">
        <f>PROPER(TRIM([1]raw_orders!H661))</f>
        <v>Karnataka</v>
      </c>
      <c r="I661" t="str">
        <f>PROPER(TRIM([1]raw_orders!I661))</f>
        <v>Bengaluru</v>
      </c>
      <c r="J661" t="str">
        <f>PROPER(TRIM([1]raw_orders!J661))</f>
        <v>Technology</v>
      </c>
      <c r="K661" t="str">
        <f>PROPER(TRIM([1]raw_orders!K661))</f>
        <v>Phones</v>
      </c>
      <c r="L661" t="s">
        <v>2006</v>
      </c>
      <c r="M661" t="str">
        <f>IF('[1]Cleaned Text Field'!M661="","Unknown",'[1]Cleaned Text Field'!M661)</f>
        <v>Second Class</v>
      </c>
      <c r="N661">
        <f>IF('[1]Cleaned Text Field'!N661="",0,'[1]Cleaned Text Field'!N661)</f>
        <v>2</v>
      </c>
      <c r="O661">
        <v>444.31</v>
      </c>
      <c r="P661" s="5">
        <f>IF('[1]Cleaned Text Field'!P661="",0,'[1]Cleaned Text Field'!P661)</f>
        <v>0.2</v>
      </c>
      <c r="Q661">
        <v>710.9</v>
      </c>
      <c r="R661">
        <v>513.88</v>
      </c>
      <c r="S661">
        <v>197.02</v>
      </c>
      <c r="T661" t="str">
        <f>PROPER(TRIM([1]raw_orders!T661))</f>
        <v>Refunded</v>
      </c>
      <c r="U661" t="str">
        <f>PROPER(TRIM([1]raw_orders!U661))</f>
        <v>Cancelled</v>
      </c>
      <c r="V661" s="6">
        <f t="shared" si="80"/>
        <v>0.27714165142776764</v>
      </c>
      <c r="W661" t="str">
        <f t="shared" si="81"/>
        <v>January</v>
      </c>
      <c r="X661">
        <f t="shared" si="82"/>
        <v>2025</v>
      </c>
      <c r="Y661">
        <f t="shared" si="83"/>
        <v>1</v>
      </c>
      <c r="Z661" s="7">
        <f t="shared" si="84"/>
        <v>0.2</v>
      </c>
      <c r="AA661">
        <f t="shared" si="85"/>
        <v>710.89600000000007</v>
      </c>
      <c r="AB661">
        <f t="shared" si="86"/>
        <v>197.01999999999998</v>
      </c>
      <c r="AC661" t="str">
        <f t="shared" si="87"/>
        <v>Clean</v>
      </c>
    </row>
    <row r="662" spans="1:29">
      <c r="A662" t="s">
        <v>2007</v>
      </c>
      <c r="B662" s="4">
        <v>45853</v>
      </c>
      <c r="C662" s="4">
        <v>45853</v>
      </c>
      <c r="D662" t="s">
        <v>2008</v>
      </c>
      <c r="E662" t="str">
        <f>PROPER(TRIM([1]raw_orders!E662))</f>
        <v>Arjun Bose</v>
      </c>
      <c r="F662" t="str">
        <f>PROPER(TRIM([1]raw_orders!F662))</f>
        <v>Small Business</v>
      </c>
      <c r="G662" t="str">
        <f>IF('[1]Cleaned Text Field'!G662="","Unknown",'[1]Cleaned Text Field'!G662)</f>
        <v>East</v>
      </c>
      <c r="H662" t="str">
        <f>PROPER(TRIM([1]raw_orders!H662))</f>
        <v>Jharkhand</v>
      </c>
      <c r="I662" t="str">
        <f>PROPER(TRIM([1]raw_orders!I662))</f>
        <v>Ranchi</v>
      </c>
      <c r="J662" t="str">
        <f>PROPER(TRIM([1]raw_orders!J662))</f>
        <v>Technology</v>
      </c>
      <c r="K662" t="str">
        <f>PROPER(TRIM([1]raw_orders!K662))</f>
        <v>Phones</v>
      </c>
      <c r="L662" t="s">
        <v>2009</v>
      </c>
      <c r="M662" t="str">
        <f>IF('[1]Cleaned Text Field'!M662="","Unknown",'[1]Cleaned Text Field'!M662)</f>
        <v>Same Day</v>
      </c>
      <c r="N662">
        <f>IF('[1]Cleaned Text Field'!N662="",0,'[1]Cleaned Text Field'!N662)</f>
        <v>4</v>
      </c>
      <c r="O662">
        <v>4442.91</v>
      </c>
      <c r="P662" s="5">
        <f>IF('[1]Cleaned Text Field'!P662="",0,'[1]Cleaned Text Field'!P662)</f>
        <v>0.1</v>
      </c>
      <c r="Q662">
        <v>15994.48</v>
      </c>
      <c r="R662">
        <v>9224.2800000000007</v>
      </c>
      <c r="S662">
        <v>6770.2</v>
      </c>
      <c r="T662" t="str">
        <f>PROPER(TRIM([1]raw_orders!T662))</f>
        <v>Paid</v>
      </c>
      <c r="U662" t="str">
        <f>PROPER(TRIM([1]raw_orders!U662))</f>
        <v>Completed</v>
      </c>
      <c r="V662" s="6">
        <f t="shared" si="80"/>
        <v>0.42328353281882247</v>
      </c>
      <c r="W662" t="str">
        <f t="shared" si="81"/>
        <v>July</v>
      </c>
      <c r="X662">
        <f t="shared" si="82"/>
        <v>2025</v>
      </c>
      <c r="Y662">
        <f t="shared" si="83"/>
        <v>0</v>
      </c>
      <c r="Z662" s="7">
        <f t="shared" si="84"/>
        <v>0.1</v>
      </c>
      <c r="AA662">
        <f t="shared" si="85"/>
        <v>15994.476000000001</v>
      </c>
      <c r="AB662">
        <f t="shared" si="86"/>
        <v>6770.1999999999989</v>
      </c>
      <c r="AC662" t="str">
        <f t="shared" si="87"/>
        <v>Clean</v>
      </c>
    </row>
    <row r="663" spans="1:29">
      <c r="A663" t="s">
        <v>2010</v>
      </c>
      <c r="B663" s="4">
        <v>45429</v>
      </c>
      <c r="C663" s="4">
        <v>45434</v>
      </c>
      <c r="D663" t="s">
        <v>2011</v>
      </c>
      <c r="E663" t="str">
        <f>PROPER(TRIM([1]raw_orders!E663))</f>
        <v>Sneha Kapoor</v>
      </c>
      <c r="F663" t="str">
        <f>PROPER(TRIM([1]raw_orders!F663))</f>
        <v>Consumer</v>
      </c>
      <c r="G663" t="str">
        <f>IF('[1]Cleaned Text Field'!G663="","Unknown",'[1]Cleaned Text Field'!G663)</f>
        <v>South</v>
      </c>
      <c r="H663" t="str">
        <f>PROPER(TRIM([1]raw_orders!H663))</f>
        <v>Andhra Pradesh</v>
      </c>
      <c r="I663" t="str">
        <f>PROPER(TRIM([1]raw_orders!I663))</f>
        <v>Vijayawada</v>
      </c>
      <c r="J663" t="str">
        <f>PROPER(TRIM([1]raw_orders!J663))</f>
        <v>Technology</v>
      </c>
      <c r="K663" t="str">
        <f>PROPER(TRIM([1]raw_orders!K663))</f>
        <v>Machines</v>
      </c>
      <c r="L663" t="s">
        <v>2012</v>
      </c>
      <c r="M663" t="str">
        <f>IF('[1]Cleaned Text Field'!M663="","Unknown",'[1]Cleaned Text Field'!M663)</f>
        <v>Second Class</v>
      </c>
      <c r="N663">
        <f>IF('[1]Cleaned Text Field'!N663="",0,'[1]Cleaned Text Field'!N663)</f>
        <v>7</v>
      </c>
      <c r="O663">
        <v>232.5</v>
      </c>
      <c r="P663" s="5">
        <f>IF('[1]Cleaned Text Field'!P663="",0,'[1]Cleaned Text Field'!P663)</f>
        <v>0</v>
      </c>
      <c r="Q663">
        <v>1627.5</v>
      </c>
      <c r="R663">
        <v>939.9</v>
      </c>
      <c r="S663">
        <v>687.6</v>
      </c>
      <c r="T663" t="str">
        <f>PROPER(TRIM([1]raw_orders!T663))</f>
        <v>Paid</v>
      </c>
      <c r="U663" t="str">
        <f>PROPER(TRIM([1]raw_orders!U663))</f>
        <v>Completed</v>
      </c>
      <c r="V663" s="6">
        <f t="shared" si="80"/>
        <v>0.4224884792626728</v>
      </c>
      <c r="W663" t="str">
        <f t="shared" si="81"/>
        <v>May</v>
      </c>
      <c r="X663">
        <f t="shared" si="82"/>
        <v>2024</v>
      </c>
      <c r="Y663">
        <f t="shared" si="83"/>
        <v>5</v>
      </c>
      <c r="Z663" s="7">
        <f t="shared" si="84"/>
        <v>0</v>
      </c>
      <c r="AA663">
        <f t="shared" si="85"/>
        <v>1627.5</v>
      </c>
      <c r="AB663">
        <f t="shared" si="86"/>
        <v>687.6</v>
      </c>
      <c r="AC663" t="str">
        <f t="shared" si="87"/>
        <v>Clean</v>
      </c>
    </row>
    <row r="664" spans="1:29">
      <c r="A664" t="s">
        <v>2013</v>
      </c>
      <c r="B664" s="4">
        <v>45305</v>
      </c>
      <c r="C664" s="4">
        <v>45309</v>
      </c>
      <c r="D664" t="s">
        <v>2014</v>
      </c>
      <c r="E664" t="str">
        <f>PROPER(TRIM([1]raw_orders!E664))</f>
        <v>Mira Das</v>
      </c>
      <c r="F664" t="str">
        <f>PROPER(TRIM([1]raw_orders!F664))</f>
        <v>Home Office</v>
      </c>
      <c r="G664" t="str">
        <f>IF('[1]Cleaned Text Field'!G664="","Unknown",'[1]Cleaned Text Field'!G664)</f>
        <v>West</v>
      </c>
      <c r="H664" t="str">
        <f>PROPER(TRIM([1]raw_orders!H664))</f>
        <v>Rajasthan</v>
      </c>
      <c r="I664" t="str">
        <f>PROPER(TRIM([1]raw_orders!I664))</f>
        <v>Udaipur</v>
      </c>
      <c r="J664" t="str">
        <f>PROPER(TRIM([1]raw_orders!J664))</f>
        <v>Technology</v>
      </c>
      <c r="K664" t="str">
        <f>PROPER(TRIM([1]raw_orders!K664))</f>
        <v>Machines</v>
      </c>
      <c r="L664" t="s">
        <v>2015</v>
      </c>
      <c r="M664" t="str">
        <f>IF('[1]Cleaned Text Field'!M664="","Unknown",'[1]Cleaned Text Field'!M664)</f>
        <v>Same Day</v>
      </c>
      <c r="N664">
        <f>IF('[1]Cleaned Text Field'!N664="",0,'[1]Cleaned Text Field'!N664)</f>
        <v>6</v>
      </c>
      <c r="O664">
        <v>1784.8</v>
      </c>
      <c r="P664" s="5">
        <f>IF('[1]Cleaned Text Field'!P664="",0,'[1]Cleaned Text Field'!P664)</f>
        <v>0.1</v>
      </c>
      <c r="Q664">
        <v>9637.92</v>
      </c>
      <c r="R664">
        <v>7329.29</v>
      </c>
      <c r="S664">
        <v>2308.63</v>
      </c>
      <c r="T664" t="str">
        <f>PROPER(TRIM([1]raw_orders!T664))</f>
        <v>Paid</v>
      </c>
      <c r="U664" t="str">
        <f>PROPER(TRIM([1]raw_orders!U664))</f>
        <v>Completed</v>
      </c>
      <c r="V664" s="6">
        <f t="shared" si="80"/>
        <v>0.2395361239769577</v>
      </c>
      <c r="W664" t="str">
        <f t="shared" si="81"/>
        <v>January</v>
      </c>
      <c r="X664">
        <f t="shared" si="82"/>
        <v>2024</v>
      </c>
      <c r="Y664">
        <f t="shared" si="83"/>
        <v>4</v>
      </c>
      <c r="Z664" s="7">
        <f t="shared" si="84"/>
        <v>0.1</v>
      </c>
      <c r="AA664">
        <f t="shared" si="85"/>
        <v>9637.92</v>
      </c>
      <c r="AB664">
        <f t="shared" si="86"/>
        <v>2308.63</v>
      </c>
      <c r="AC664" t="str">
        <f t="shared" si="87"/>
        <v>Clean</v>
      </c>
    </row>
    <row r="665" spans="1:29">
      <c r="A665" t="s">
        <v>2016</v>
      </c>
      <c r="B665" s="4">
        <v>45414</v>
      </c>
      <c r="C665" s="4">
        <v>45420</v>
      </c>
      <c r="D665" t="s">
        <v>2017</v>
      </c>
      <c r="E665" t="str">
        <f>PROPER(TRIM([1]raw_orders!E665))</f>
        <v>Rahul Verma</v>
      </c>
      <c r="F665" t="str">
        <f>PROPER(TRIM([1]raw_orders!F665))</f>
        <v>Home Office</v>
      </c>
      <c r="G665" t="str">
        <f>IF('[1]Cleaned Text Field'!G665="","Unknown",'[1]Cleaned Text Field'!G665)</f>
        <v>East</v>
      </c>
      <c r="H665" t="str">
        <f>PROPER(TRIM([1]raw_orders!H665))</f>
        <v>Jharkhand</v>
      </c>
      <c r="I665" t="str">
        <f>PROPER(TRIM([1]raw_orders!I665))</f>
        <v>Ranchi</v>
      </c>
      <c r="J665" t="str">
        <f>PROPER(TRIM([1]raw_orders!J665))</f>
        <v>Technology</v>
      </c>
      <c r="K665" t="str">
        <f>PROPER(TRIM([1]raw_orders!K665))</f>
        <v>Copiers</v>
      </c>
      <c r="L665" t="s">
        <v>2018</v>
      </c>
      <c r="M665" t="str">
        <f>IF('[1]Cleaned Text Field'!M665="","Unknown",'[1]Cleaned Text Field'!M665)</f>
        <v>Second Class</v>
      </c>
      <c r="N665">
        <f>IF('[1]Cleaned Text Field'!N665="",0,'[1]Cleaned Text Field'!N665)</f>
        <v>2</v>
      </c>
      <c r="O665">
        <v>3185.01</v>
      </c>
      <c r="P665" s="5">
        <f>IF('[1]Cleaned Text Field'!P665="",0,'[1]Cleaned Text Field'!P665)</f>
        <v>-0.24</v>
      </c>
      <c r="Q665">
        <v>4777.5200000000004</v>
      </c>
      <c r="R665">
        <v>3152.98</v>
      </c>
      <c r="S665">
        <v>1624.54</v>
      </c>
      <c r="T665" t="str">
        <f>PROPER(TRIM([1]raw_orders!T665))</f>
        <v>Paid</v>
      </c>
      <c r="U665" t="str">
        <f>PROPER(TRIM([1]raw_orders!U665))</f>
        <v>Completed</v>
      </c>
      <c r="V665" s="6">
        <f t="shared" si="80"/>
        <v>0.34003834625496071</v>
      </c>
      <c r="W665" t="str">
        <f t="shared" si="81"/>
        <v>May</v>
      </c>
      <c r="X665">
        <f t="shared" si="82"/>
        <v>2024</v>
      </c>
      <c r="Y665">
        <f t="shared" si="83"/>
        <v>6</v>
      </c>
      <c r="Z665" s="7">
        <f t="shared" si="84"/>
        <v>-0.24</v>
      </c>
      <c r="AA665">
        <f t="shared" si="85"/>
        <v>7898.8248000000003</v>
      </c>
      <c r="AB665">
        <f t="shared" si="86"/>
        <v>1624.5400000000004</v>
      </c>
      <c r="AC665" t="str">
        <f t="shared" si="87"/>
        <v>Clean</v>
      </c>
    </row>
    <row r="666" spans="1:29">
      <c r="A666" t="s">
        <v>2019</v>
      </c>
      <c r="B666" s="4">
        <v>45633</v>
      </c>
      <c r="C666" s="4">
        <v>45636</v>
      </c>
      <c r="D666" t="s">
        <v>2020</v>
      </c>
      <c r="E666" t="str">
        <f>PROPER(TRIM([1]raw_orders!E666))</f>
        <v>Mira Das</v>
      </c>
      <c r="F666" t="str">
        <f>PROPER(TRIM([1]raw_orders!F666))</f>
        <v>Home Office</v>
      </c>
      <c r="G666" t="str">
        <f>IF('[1]Cleaned Text Field'!G666="","Unknown",'[1]Cleaned Text Field'!G666)</f>
        <v>South</v>
      </c>
      <c r="H666" t="str">
        <f>PROPER(TRIM([1]raw_orders!H666))</f>
        <v>Telangana</v>
      </c>
      <c r="I666" t="str">
        <f>PROPER(TRIM([1]raw_orders!I666))</f>
        <v>Hyderabad</v>
      </c>
      <c r="J666" t="str">
        <f>PROPER(TRIM([1]raw_orders!J666))</f>
        <v>Technology</v>
      </c>
      <c r="K666" t="str">
        <f>PROPER(TRIM([1]raw_orders!K666))</f>
        <v>Accessories</v>
      </c>
      <c r="L666" t="s">
        <v>2021</v>
      </c>
      <c r="M666" t="str">
        <f>IF('[1]Cleaned Text Field'!M666="","Unknown",'[1]Cleaned Text Field'!M666)</f>
        <v>Standard Class</v>
      </c>
      <c r="N666">
        <f>IF('[1]Cleaned Text Field'!N666="",0,'[1]Cleaned Text Field'!N666)</f>
        <v>1</v>
      </c>
      <c r="O666">
        <v>1908.83</v>
      </c>
      <c r="P666" s="5">
        <f>IF('[1]Cleaned Text Field'!P666="",0,'[1]Cleaned Text Field'!P666)</f>
        <v>0.2</v>
      </c>
      <c r="Q666">
        <v>1527.06</v>
      </c>
      <c r="R666">
        <v>1055.8900000000001</v>
      </c>
      <c r="S666">
        <v>471.17</v>
      </c>
      <c r="T666" t="str">
        <f>PROPER(TRIM([1]raw_orders!T666))</f>
        <v>Paid</v>
      </c>
      <c r="U666" t="str">
        <f>PROPER(TRIM([1]raw_orders!U666))</f>
        <v>Completed</v>
      </c>
      <c r="V666" s="6">
        <f t="shared" si="80"/>
        <v>0.30854714287585294</v>
      </c>
      <c r="W666" t="str">
        <f t="shared" si="81"/>
        <v>December</v>
      </c>
      <c r="X666">
        <f t="shared" si="82"/>
        <v>2024</v>
      </c>
      <c r="Y666">
        <f t="shared" si="83"/>
        <v>3</v>
      </c>
      <c r="Z666" s="7">
        <f t="shared" si="84"/>
        <v>0.2</v>
      </c>
      <c r="AA666">
        <f t="shared" si="85"/>
        <v>1527.0640000000001</v>
      </c>
      <c r="AB666">
        <f t="shared" si="86"/>
        <v>471.16999999999985</v>
      </c>
      <c r="AC666" t="str">
        <f t="shared" si="87"/>
        <v>Clean</v>
      </c>
    </row>
    <row r="667" spans="1:29">
      <c r="A667" t="s">
        <v>2022</v>
      </c>
      <c r="B667" s="4">
        <v>45670</v>
      </c>
      <c r="C667" s="4">
        <v>45670</v>
      </c>
      <c r="D667" t="s">
        <v>2023</v>
      </c>
      <c r="E667" t="str">
        <f>PROPER(TRIM([1]raw_orders!E667))</f>
        <v>Rahul Verma</v>
      </c>
      <c r="F667" t="str">
        <f>PROPER(TRIM([1]raw_orders!F667))</f>
        <v>Home Office</v>
      </c>
      <c r="G667" t="str">
        <f>IF('[1]Cleaned Text Field'!G667="","Unknown",'[1]Cleaned Text Field'!G667)</f>
        <v>West</v>
      </c>
      <c r="H667" t="str">
        <f>PROPER(TRIM([1]raw_orders!H667))</f>
        <v>Gujarat</v>
      </c>
      <c r="I667" t="str">
        <f>PROPER(TRIM([1]raw_orders!I667))</f>
        <v>Ahmedabad</v>
      </c>
      <c r="J667" t="str">
        <f>PROPER(TRIM([1]raw_orders!J667))</f>
        <v>Office Supplies</v>
      </c>
      <c r="K667" t="str">
        <f>PROPER(TRIM([1]raw_orders!K667))</f>
        <v>Art</v>
      </c>
      <c r="L667" t="s">
        <v>2024</v>
      </c>
      <c r="M667" t="str">
        <f>IF('[1]Cleaned Text Field'!M667="","Unknown",'[1]Cleaned Text Field'!M667)</f>
        <v>Standard Class</v>
      </c>
      <c r="N667">
        <f>IF('[1]Cleaned Text Field'!N667="",0,'[1]Cleaned Text Field'!N667)</f>
        <v>3</v>
      </c>
      <c r="O667">
        <v>2110.52</v>
      </c>
      <c r="P667" s="5">
        <f>IF('[1]Cleaned Text Field'!P667="",0,'[1]Cleaned Text Field'!P667)</f>
        <v>0.1</v>
      </c>
      <c r="Q667">
        <v>5698.4</v>
      </c>
      <c r="R667">
        <v>3640.89</v>
      </c>
      <c r="S667">
        <v>2057.5100000000002</v>
      </c>
      <c r="T667" t="str">
        <f>PROPER(TRIM([1]raw_orders!T667))</f>
        <v>Failed</v>
      </c>
      <c r="U667" t="str">
        <f>PROPER(TRIM([1]raw_orders!U667))</f>
        <v>Cancelled</v>
      </c>
      <c r="V667" s="6">
        <f t="shared" si="80"/>
        <v>0.36106801909307884</v>
      </c>
      <c r="W667" t="str">
        <f t="shared" si="81"/>
        <v>January</v>
      </c>
      <c r="X667">
        <f t="shared" si="82"/>
        <v>2025</v>
      </c>
      <c r="Y667">
        <f t="shared" si="83"/>
        <v>0</v>
      </c>
      <c r="Z667" s="7">
        <f t="shared" si="84"/>
        <v>0.1</v>
      </c>
      <c r="AA667">
        <f t="shared" si="85"/>
        <v>5698.4039999999995</v>
      </c>
      <c r="AB667">
        <f t="shared" si="86"/>
        <v>2057.5099999999998</v>
      </c>
      <c r="AC667" t="str">
        <f t="shared" si="87"/>
        <v>Clean</v>
      </c>
    </row>
    <row r="668" spans="1:29">
      <c r="A668" t="s">
        <v>2025</v>
      </c>
      <c r="B668" s="4">
        <v>45464</v>
      </c>
      <c r="C668" s="4">
        <v>45469</v>
      </c>
      <c r="D668" t="s">
        <v>2026</v>
      </c>
      <c r="E668" t="str">
        <f>PROPER(TRIM([1]raw_orders!E668))</f>
        <v>Rohan Mehta</v>
      </c>
      <c r="F668" t="str">
        <f>PROPER(TRIM([1]raw_orders!F668))</f>
        <v>Small Business</v>
      </c>
      <c r="G668" t="str">
        <f>IF('[1]Cleaned Text Field'!G668="","Unknown",'[1]Cleaned Text Field'!G668)</f>
        <v>North</v>
      </c>
      <c r="H668" t="str">
        <f>PROPER(TRIM([1]raw_orders!H668))</f>
        <v>Punjab</v>
      </c>
      <c r="I668" t="str">
        <f>PROPER(TRIM([1]raw_orders!I668))</f>
        <v>Ludhiana</v>
      </c>
      <c r="J668" t="str">
        <f>PROPER(TRIM([1]raw_orders!J668))</f>
        <v>Technology</v>
      </c>
      <c r="K668" t="str">
        <f>PROPER(TRIM([1]raw_orders!K668))</f>
        <v>Copiers</v>
      </c>
      <c r="L668" t="s">
        <v>2027</v>
      </c>
      <c r="M668" t="str">
        <f>IF('[1]Cleaned Text Field'!M668="","Unknown",'[1]Cleaned Text Field'!M668)</f>
        <v>Same Day</v>
      </c>
      <c r="N668">
        <f>IF('[1]Cleaned Text Field'!N668="",0,'[1]Cleaned Text Field'!N668)</f>
        <v>1</v>
      </c>
      <c r="O668">
        <v>279.83</v>
      </c>
      <c r="P668" s="5">
        <f>IF('[1]Cleaned Text Field'!P668="",0,'[1]Cleaned Text Field'!P668)</f>
        <v>0.05</v>
      </c>
      <c r="Q668">
        <v>265.83999999999997</v>
      </c>
      <c r="R668">
        <v>223.49</v>
      </c>
      <c r="S668">
        <v>42.35</v>
      </c>
      <c r="T668" t="str">
        <f>PROPER(TRIM([1]raw_orders!T668))</f>
        <v>Paid</v>
      </c>
      <c r="U668" t="str">
        <f>PROPER(TRIM([1]raw_orders!U668))</f>
        <v>Completed</v>
      </c>
      <c r="V668" s="6">
        <f t="shared" si="80"/>
        <v>0.15930634968402049</v>
      </c>
      <c r="W668" t="str">
        <f t="shared" si="81"/>
        <v>June</v>
      </c>
      <c r="X668">
        <f t="shared" si="82"/>
        <v>2024</v>
      </c>
      <c r="Y668">
        <f t="shared" si="83"/>
        <v>5</v>
      </c>
      <c r="Z668" s="7">
        <f t="shared" si="84"/>
        <v>0.05</v>
      </c>
      <c r="AA668">
        <f t="shared" si="85"/>
        <v>265.83849999999995</v>
      </c>
      <c r="AB668">
        <f t="shared" si="86"/>
        <v>42.349999999999966</v>
      </c>
      <c r="AC668" t="str">
        <f t="shared" si="87"/>
        <v>Clean</v>
      </c>
    </row>
    <row r="669" spans="1:29">
      <c r="A669" t="s">
        <v>2028</v>
      </c>
      <c r="B669" s="4">
        <v>45797</v>
      </c>
      <c r="C669" s="4">
        <v>45804</v>
      </c>
      <c r="D669" t="s">
        <v>2029</v>
      </c>
      <c r="E669" t="str">
        <f>PROPER(TRIM([1]raw_orders!E669))</f>
        <v>Diya Patel</v>
      </c>
      <c r="F669" t="str">
        <f>PROPER(TRIM([1]raw_orders!F669))</f>
        <v>Small Business</v>
      </c>
      <c r="G669" t="str">
        <f>IF('[1]Cleaned Text Field'!G669="","Unknown",'[1]Cleaned Text Field'!G669)</f>
        <v>East</v>
      </c>
      <c r="H669" t="str">
        <f>PROPER(TRIM([1]raw_orders!H669))</f>
        <v>Bihar</v>
      </c>
      <c r="I669" t="str">
        <f>PROPER(TRIM([1]raw_orders!I669))</f>
        <v>Patna</v>
      </c>
      <c r="J669" t="str">
        <f>PROPER(TRIM([1]raw_orders!J669))</f>
        <v>Technology</v>
      </c>
      <c r="K669" t="str">
        <f>PROPER(TRIM([1]raw_orders!K669))</f>
        <v>Machines</v>
      </c>
      <c r="L669" t="s">
        <v>2030</v>
      </c>
      <c r="M669" t="str">
        <f>IF('[1]Cleaned Text Field'!M669="","Unknown",'[1]Cleaned Text Field'!M669)</f>
        <v>Standard Class</v>
      </c>
      <c r="N669">
        <f>IF('[1]Cleaned Text Field'!N669="",0,'[1]Cleaned Text Field'!N669)</f>
        <v>1</v>
      </c>
      <c r="O669">
        <v>3959.14</v>
      </c>
      <c r="P669" s="5">
        <f>IF('[1]Cleaned Text Field'!P669="",0,'[1]Cleaned Text Field'!P669)</f>
        <v>0</v>
      </c>
      <c r="Q669">
        <v>3959.14</v>
      </c>
      <c r="R669">
        <v>3239.53</v>
      </c>
      <c r="S669">
        <v>719.61</v>
      </c>
      <c r="T669" t="str">
        <f>PROPER(TRIM([1]raw_orders!T669))</f>
        <v>Pending</v>
      </c>
      <c r="U669" t="str">
        <f>PROPER(TRIM([1]raw_orders!U669))</f>
        <v>Returned</v>
      </c>
      <c r="V669" s="6">
        <f t="shared" si="80"/>
        <v>0.18175916992074037</v>
      </c>
      <c r="W669" t="str">
        <f t="shared" si="81"/>
        <v>May</v>
      </c>
      <c r="X669">
        <f t="shared" si="82"/>
        <v>2025</v>
      </c>
      <c r="Y669">
        <f t="shared" si="83"/>
        <v>7</v>
      </c>
      <c r="Z669" s="7">
        <f t="shared" si="84"/>
        <v>0</v>
      </c>
      <c r="AA669">
        <f t="shared" si="85"/>
        <v>3959.14</v>
      </c>
      <c r="AB669">
        <f t="shared" si="86"/>
        <v>719.60999999999967</v>
      </c>
      <c r="AC669" t="str">
        <f t="shared" si="87"/>
        <v>Clean</v>
      </c>
    </row>
    <row r="670" spans="1:29">
      <c r="A670" t="s">
        <v>2031</v>
      </c>
      <c r="B670" s="4">
        <v>45617</v>
      </c>
      <c r="C670" s="4">
        <v>45619</v>
      </c>
      <c r="D670" t="s">
        <v>2032</v>
      </c>
      <c r="E670" t="str">
        <f>PROPER(TRIM([1]raw_orders!E670))</f>
        <v>Mira Das</v>
      </c>
      <c r="F670" t="str">
        <f>PROPER(TRIM([1]raw_orders!F670))</f>
        <v>Corporate</v>
      </c>
      <c r="G670" t="str">
        <f>IF('[1]Cleaned Text Field'!G670="","Unknown",'[1]Cleaned Text Field'!G670)</f>
        <v>West</v>
      </c>
      <c r="H670" t="str">
        <f>PROPER(TRIM([1]raw_orders!H670))</f>
        <v>Gujarat</v>
      </c>
      <c r="I670" t="str">
        <f>PROPER(TRIM([1]raw_orders!I670))</f>
        <v>Ahmedabad</v>
      </c>
      <c r="J670" t="str">
        <f>PROPER(TRIM([1]raw_orders!J670))</f>
        <v>Office Supplies</v>
      </c>
      <c r="K670" t="str">
        <f>PROPER(TRIM([1]raw_orders!K670))</f>
        <v>Paper</v>
      </c>
      <c r="L670" t="s">
        <v>2033</v>
      </c>
      <c r="M670" t="str">
        <f>IF('[1]Cleaned Text Field'!M670="","Unknown",'[1]Cleaned Text Field'!M670)</f>
        <v>Second Class</v>
      </c>
      <c r="N670">
        <f>IF('[1]Cleaned Text Field'!N670="",0,'[1]Cleaned Text Field'!N670)</f>
        <v>5</v>
      </c>
      <c r="O670">
        <v>600.46</v>
      </c>
      <c r="P670" s="5">
        <f>IF('[1]Cleaned Text Field'!P670="",0,'[1]Cleaned Text Field'!P670)</f>
        <v>0.2</v>
      </c>
      <c r="Q670">
        <v>2401.84</v>
      </c>
      <c r="R670">
        <v>1873.11</v>
      </c>
      <c r="S670">
        <v>528.73</v>
      </c>
      <c r="T670" t="str">
        <f>PROPER(TRIM([1]raw_orders!T670))</f>
        <v>Paid</v>
      </c>
      <c r="U670" t="str">
        <f>PROPER(TRIM([1]raw_orders!U670))</f>
        <v>Completed</v>
      </c>
      <c r="V670" s="6">
        <f t="shared" si="80"/>
        <v>0.22013539619624953</v>
      </c>
      <c r="W670" t="str">
        <f t="shared" si="81"/>
        <v>November</v>
      </c>
      <c r="X670">
        <f t="shared" si="82"/>
        <v>2024</v>
      </c>
      <c r="Y670">
        <f t="shared" si="83"/>
        <v>2</v>
      </c>
      <c r="Z670" s="7">
        <f t="shared" si="84"/>
        <v>0.2</v>
      </c>
      <c r="AA670">
        <f t="shared" si="85"/>
        <v>2401.84</v>
      </c>
      <c r="AB670">
        <f t="shared" si="86"/>
        <v>528.73000000000025</v>
      </c>
      <c r="AC670" t="str">
        <f t="shared" si="87"/>
        <v>Clean</v>
      </c>
    </row>
    <row r="671" spans="1:29">
      <c r="A671" t="s">
        <v>2034</v>
      </c>
      <c r="B671" s="4">
        <v>45375</v>
      </c>
      <c r="C671" s="4">
        <v>45383</v>
      </c>
      <c r="D671" t="s">
        <v>2035</v>
      </c>
      <c r="E671" t="str">
        <f>PROPER(TRIM([1]raw_orders!E671))</f>
        <v>Ananya Rao</v>
      </c>
      <c r="F671" t="str">
        <f>PROPER(TRIM([1]raw_orders!F671))</f>
        <v>Home Office</v>
      </c>
      <c r="G671" t="str">
        <f>IF('[1]Cleaned Text Field'!G671="","Unknown",'[1]Cleaned Text Field'!G671)</f>
        <v>West</v>
      </c>
      <c r="H671" t="str">
        <f>PROPER(TRIM([1]raw_orders!H671))</f>
        <v>Maharashtra</v>
      </c>
      <c r="I671" t="str">
        <f>PROPER(TRIM([1]raw_orders!I671))</f>
        <v>Mumbai</v>
      </c>
      <c r="J671" t="str">
        <f>PROPER(TRIM([1]raw_orders!J671))</f>
        <v>Furniture</v>
      </c>
      <c r="K671" t="str">
        <f>PROPER(TRIM([1]raw_orders!K671))</f>
        <v>Tables</v>
      </c>
      <c r="L671" t="s">
        <v>2036</v>
      </c>
      <c r="M671" t="str">
        <f>IF('[1]Cleaned Text Field'!M671="","Unknown",'[1]Cleaned Text Field'!M671)</f>
        <v>Second Class</v>
      </c>
      <c r="N671">
        <f>IF('[1]Cleaned Text Field'!N671="",0,'[1]Cleaned Text Field'!N671)</f>
        <v>4</v>
      </c>
      <c r="O671">
        <v>1700.72</v>
      </c>
      <c r="P671" s="5">
        <f>IF('[1]Cleaned Text Field'!P671="",0,'[1]Cleaned Text Field'!P671)</f>
        <v>0.25</v>
      </c>
      <c r="Q671">
        <v>5102.16</v>
      </c>
      <c r="R671">
        <v>3226.45</v>
      </c>
      <c r="S671">
        <v>1875.71</v>
      </c>
      <c r="T671" t="str">
        <f>PROPER(TRIM([1]raw_orders!T671))</f>
        <v>Paid</v>
      </c>
      <c r="U671" t="str">
        <f>PROPER(TRIM([1]raw_orders!U671))</f>
        <v>Completed</v>
      </c>
      <c r="V671" s="6">
        <f t="shared" si="80"/>
        <v>0.36763057214983458</v>
      </c>
      <c r="W671" t="str">
        <f t="shared" si="81"/>
        <v>March</v>
      </c>
      <c r="X671">
        <f t="shared" si="82"/>
        <v>2024</v>
      </c>
      <c r="Y671">
        <f t="shared" si="83"/>
        <v>8</v>
      </c>
      <c r="Z671" s="7">
        <f t="shared" si="84"/>
        <v>0.25</v>
      </c>
      <c r="AA671">
        <f t="shared" si="85"/>
        <v>5102.16</v>
      </c>
      <c r="AB671">
        <f t="shared" si="86"/>
        <v>1875.71</v>
      </c>
      <c r="AC671" t="str">
        <f t="shared" si="87"/>
        <v>Clean</v>
      </c>
    </row>
    <row r="672" spans="1:29">
      <c r="A672" t="s">
        <v>2037</v>
      </c>
      <c r="B672" s="4">
        <v>45690</v>
      </c>
      <c r="C672" s="4">
        <v>45694</v>
      </c>
      <c r="D672" t="s">
        <v>1539</v>
      </c>
      <c r="E672" t="str">
        <f>PROPER(TRIM([1]raw_orders!E672))</f>
        <v>Sneha Kapoor</v>
      </c>
      <c r="F672" t="str">
        <f>PROPER(TRIM([1]raw_orders!F672))</f>
        <v>Corporate</v>
      </c>
      <c r="G672" t="str">
        <f>IF('[1]Cleaned Text Field'!G672="","Unknown",'[1]Cleaned Text Field'!G672)</f>
        <v>North</v>
      </c>
      <c r="H672" t="str">
        <f>PROPER(TRIM([1]raw_orders!H672))</f>
        <v>Uttar Pradesh</v>
      </c>
      <c r="I672" t="str">
        <f>PROPER(TRIM([1]raw_orders!I672))</f>
        <v>Noida</v>
      </c>
      <c r="J672" t="str">
        <f>PROPER(TRIM([1]raw_orders!J672))</f>
        <v>Furniture</v>
      </c>
      <c r="K672" t="str">
        <f>PROPER(TRIM([1]raw_orders!K672))</f>
        <v>Tables</v>
      </c>
      <c r="L672" t="s">
        <v>2038</v>
      </c>
      <c r="M672" t="str">
        <f>IF('[1]Cleaned Text Field'!M672="","Unknown",'[1]Cleaned Text Field'!M672)</f>
        <v>Standard Class</v>
      </c>
      <c r="N672">
        <f>IF('[1]Cleaned Text Field'!N672="",0,'[1]Cleaned Text Field'!N672)</f>
        <v>8</v>
      </c>
      <c r="O672">
        <v>857.86</v>
      </c>
      <c r="P672" s="5">
        <f>IF('[1]Cleaned Text Field'!P672="",0,'[1]Cleaned Text Field'!P672)</f>
        <v>0.1</v>
      </c>
      <c r="Q672">
        <v>6176.59</v>
      </c>
      <c r="R672">
        <v>3560.96</v>
      </c>
      <c r="S672">
        <v>2615.63</v>
      </c>
      <c r="T672" t="str">
        <f>PROPER(TRIM([1]raw_orders!T672))</f>
        <v>Paid</v>
      </c>
      <c r="U672" t="str">
        <f>PROPER(TRIM([1]raw_orders!U672))</f>
        <v>Completed</v>
      </c>
      <c r="V672" s="6">
        <f t="shared" si="80"/>
        <v>0.42347476520215849</v>
      </c>
      <c r="W672" t="str">
        <f t="shared" si="81"/>
        <v>February</v>
      </c>
      <c r="X672">
        <f t="shared" si="82"/>
        <v>2025</v>
      </c>
      <c r="Y672">
        <f t="shared" si="83"/>
        <v>4</v>
      </c>
      <c r="Z672" s="7">
        <f t="shared" si="84"/>
        <v>0.1</v>
      </c>
      <c r="AA672">
        <f t="shared" si="85"/>
        <v>6176.5920000000006</v>
      </c>
      <c r="AB672">
        <f t="shared" si="86"/>
        <v>2615.63</v>
      </c>
      <c r="AC672" t="str">
        <f t="shared" si="87"/>
        <v>Clean</v>
      </c>
    </row>
    <row r="673" spans="1:29">
      <c r="A673" t="s">
        <v>2039</v>
      </c>
      <c r="B673" s="4">
        <v>45373</v>
      </c>
      <c r="C673" s="4">
        <v>45378</v>
      </c>
      <c r="D673" t="s">
        <v>2040</v>
      </c>
      <c r="E673" t="str">
        <f>PROPER(TRIM([1]raw_orders!E673))</f>
        <v>Aditi Sen</v>
      </c>
      <c r="F673" t="str">
        <f>PROPER(TRIM([1]raw_orders!F673))</f>
        <v>Home Office</v>
      </c>
      <c r="G673" t="str">
        <f>IF('[1]Cleaned Text Field'!G673="","Unknown",'[1]Cleaned Text Field'!G673)</f>
        <v>West</v>
      </c>
      <c r="H673" t="str">
        <f>PROPER(TRIM([1]raw_orders!H673))</f>
        <v>Goa</v>
      </c>
      <c r="I673" t="str">
        <f>PROPER(TRIM([1]raw_orders!I673))</f>
        <v>Panaji</v>
      </c>
      <c r="J673" t="str">
        <f>PROPER(TRIM([1]raw_orders!J673))</f>
        <v>Technology</v>
      </c>
      <c r="K673" t="str">
        <f>PROPER(TRIM([1]raw_orders!K673))</f>
        <v>Copiers</v>
      </c>
      <c r="L673" t="s">
        <v>2041</v>
      </c>
      <c r="M673" t="str">
        <f>IF('[1]Cleaned Text Field'!M673="","Unknown",'[1]Cleaned Text Field'!M673)</f>
        <v>Second Class</v>
      </c>
      <c r="N673">
        <f>IF('[1]Cleaned Text Field'!N673="",0,'[1]Cleaned Text Field'!N673)</f>
        <v>9</v>
      </c>
      <c r="O673">
        <v>3649.51</v>
      </c>
      <c r="P673" s="5">
        <f>IF('[1]Cleaned Text Field'!P673="",0,'[1]Cleaned Text Field'!P673)</f>
        <v>0.05</v>
      </c>
      <c r="Q673">
        <v>31203.31</v>
      </c>
      <c r="R673">
        <v>17738.13</v>
      </c>
      <c r="S673">
        <v>13465.18</v>
      </c>
      <c r="T673" t="str">
        <f>PROPER(TRIM([1]raw_orders!T673))</f>
        <v>Paid</v>
      </c>
      <c r="U673" t="str">
        <f>PROPER(TRIM([1]raw_orders!U673))</f>
        <v>Completed</v>
      </c>
      <c r="V673" s="6">
        <f t="shared" si="80"/>
        <v>0.43153050109107016</v>
      </c>
      <c r="W673" t="str">
        <f t="shared" si="81"/>
        <v>March</v>
      </c>
      <c r="X673">
        <f t="shared" si="82"/>
        <v>2024</v>
      </c>
      <c r="Y673">
        <f t="shared" si="83"/>
        <v>5</v>
      </c>
      <c r="Z673" s="7">
        <f t="shared" si="84"/>
        <v>0.05</v>
      </c>
      <c r="AA673">
        <f t="shared" si="85"/>
        <v>31203.310500000003</v>
      </c>
      <c r="AB673">
        <f t="shared" si="86"/>
        <v>13465.18</v>
      </c>
      <c r="AC673" t="str">
        <f t="shared" si="87"/>
        <v>Clean</v>
      </c>
    </row>
    <row r="674" spans="1:29">
      <c r="A674" t="s">
        <v>2042</v>
      </c>
      <c r="B674" s="4">
        <v>45539</v>
      </c>
      <c r="C674" s="4">
        <v>45540</v>
      </c>
      <c r="D674" t="s">
        <v>2043</v>
      </c>
      <c r="E674" t="str">
        <f>PROPER(TRIM([1]raw_orders!E674))</f>
        <v>Aditi Sen</v>
      </c>
      <c r="F674" t="str">
        <f>PROPER(TRIM([1]raw_orders!F674))</f>
        <v>Corporate</v>
      </c>
      <c r="G674" t="str">
        <f>IF('[1]Cleaned Text Field'!G674="","Unknown",'[1]Cleaned Text Field'!G674)</f>
        <v>West</v>
      </c>
      <c r="H674" t="str">
        <f>PROPER(TRIM([1]raw_orders!H674))</f>
        <v>Madhya Pradesh</v>
      </c>
      <c r="I674" t="str">
        <f>PROPER(TRIM([1]raw_orders!I674))</f>
        <v>Indore</v>
      </c>
      <c r="J674" t="str">
        <f>PROPER(TRIM([1]raw_orders!J674))</f>
        <v>Furniture</v>
      </c>
      <c r="K674" t="str">
        <f>PROPER(TRIM([1]raw_orders!K674))</f>
        <v>Chairs</v>
      </c>
      <c r="L674" t="s">
        <v>2044</v>
      </c>
      <c r="M674" t="str">
        <f>IF('[1]Cleaned Text Field'!M674="","Unknown",'[1]Cleaned Text Field'!M674)</f>
        <v>Standard Class</v>
      </c>
      <c r="N674">
        <f>IF('[1]Cleaned Text Field'!N674="",0,'[1]Cleaned Text Field'!N674)</f>
        <v>5</v>
      </c>
      <c r="O674">
        <v>2528.5300000000002</v>
      </c>
      <c r="P674" s="5">
        <f>IF('[1]Cleaned Text Field'!P674="",0,'[1]Cleaned Text Field'!P674)</f>
        <v>0.05</v>
      </c>
      <c r="Q674">
        <v>12010.52</v>
      </c>
      <c r="R674">
        <v>7864.61</v>
      </c>
      <c r="S674">
        <v>4145.91</v>
      </c>
      <c r="T674" t="str">
        <f>PROPER(TRIM([1]raw_orders!T674))</f>
        <v>Paid</v>
      </c>
      <c r="U674" t="str">
        <f>PROPER(TRIM([1]raw_orders!U674))</f>
        <v>Returned</v>
      </c>
      <c r="V674" s="6">
        <f t="shared" si="80"/>
        <v>0.34518988353543389</v>
      </c>
      <c r="W674" t="str">
        <f t="shared" si="81"/>
        <v>September</v>
      </c>
      <c r="X674">
        <f t="shared" si="82"/>
        <v>2024</v>
      </c>
      <c r="Y674">
        <f t="shared" si="83"/>
        <v>1</v>
      </c>
      <c r="Z674" s="7">
        <f t="shared" si="84"/>
        <v>0.05</v>
      </c>
      <c r="AA674">
        <f t="shared" si="85"/>
        <v>12010.5175</v>
      </c>
      <c r="AB674">
        <f t="shared" si="86"/>
        <v>4145.9100000000008</v>
      </c>
      <c r="AC674" t="str">
        <f t="shared" si="87"/>
        <v>Clean</v>
      </c>
    </row>
    <row r="675" spans="1:29">
      <c r="A675" t="s">
        <v>2045</v>
      </c>
      <c r="B675" s="4">
        <v>45701</v>
      </c>
      <c r="C675" s="4">
        <v>45704</v>
      </c>
      <c r="D675" t="s">
        <v>2046</v>
      </c>
      <c r="E675" t="str">
        <f>PROPER(TRIM([1]raw_orders!E675))</f>
        <v>Arjun Bose</v>
      </c>
      <c r="F675" t="str">
        <f>PROPER(TRIM([1]raw_orders!F675))</f>
        <v>Small Business</v>
      </c>
      <c r="G675" t="str">
        <f>IF('[1]Cleaned Text Field'!G675="","Unknown",'[1]Cleaned Text Field'!G675)</f>
        <v>West</v>
      </c>
      <c r="H675" t="str">
        <f>PROPER(TRIM([1]raw_orders!H675))</f>
        <v>Rajasthan</v>
      </c>
      <c r="I675" t="str">
        <f>PROPER(TRIM([1]raw_orders!I675))</f>
        <v>Udaipur</v>
      </c>
      <c r="J675" t="str">
        <f>PROPER(TRIM([1]raw_orders!J675))</f>
        <v>Furniture</v>
      </c>
      <c r="K675" t="str">
        <f>PROPER(TRIM([1]raw_orders!K675))</f>
        <v>Bookcases</v>
      </c>
      <c r="L675" t="s">
        <v>2047</v>
      </c>
      <c r="M675" t="str">
        <f>IF('[1]Cleaned Text Field'!M675="","Unknown",'[1]Cleaned Text Field'!M675)</f>
        <v>Second Class</v>
      </c>
      <c r="N675">
        <f>IF('[1]Cleaned Text Field'!N675="",0,'[1]Cleaned Text Field'!N675)</f>
        <v>4</v>
      </c>
      <c r="O675">
        <v>4072.9</v>
      </c>
      <c r="P675" s="5">
        <f>IF('[1]Cleaned Text Field'!P675="",0,'[1]Cleaned Text Field'!P675)</f>
        <v>0.15</v>
      </c>
      <c r="Q675">
        <v>13847.86</v>
      </c>
      <c r="R675">
        <v>8471.7800000000007</v>
      </c>
      <c r="S675">
        <v>5376.08</v>
      </c>
      <c r="T675" t="str">
        <f>PROPER(TRIM([1]raw_orders!T675))</f>
        <v>Paid</v>
      </c>
      <c r="U675" t="str">
        <f>PROPER(TRIM([1]raw_orders!U675))</f>
        <v>Completed</v>
      </c>
      <c r="V675" s="6">
        <f t="shared" si="80"/>
        <v>0.38822460654570451</v>
      </c>
      <c r="W675" t="str">
        <f t="shared" si="81"/>
        <v>February</v>
      </c>
      <c r="X675">
        <f t="shared" si="82"/>
        <v>2025</v>
      </c>
      <c r="Y675">
        <f t="shared" si="83"/>
        <v>3</v>
      </c>
      <c r="Z675" s="7">
        <f t="shared" si="84"/>
        <v>0.15</v>
      </c>
      <c r="AA675">
        <f t="shared" si="85"/>
        <v>13847.86</v>
      </c>
      <c r="AB675">
        <f t="shared" si="86"/>
        <v>5376.08</v>
      </c>
      <c r="AC675" t="str">
        <f t="shared" si="87"/>
        <v>Clean</v>
      </c>
    </row>
    <row r="676" spans="1:29">
      <c r="A676" t="s">
        <v>2048</v>
      </c>
      <c r="B676" s="4">
        <v>45430</v>
      </c>
      <c r="C676" s="4">
        <v>45433</v>
      </c>
      <c r="D676" t="s">
        <v>2049</v>
      </c>
      <c r="E676" t="str">
        <f>PROPER(TRIM([1]raw_orders!E676))</f>
        <v>Vikram Iyer</v>
      </c>
      <c r="F676" t="str">
        <f>PROPER(TRIM([1]raw_orders!F676))</f>
        <v>Corporate</v>
      </c>
      <c r="G676" t="str">
        <f>IF('[1]Cleaned Text Field'!G676="","Unknown",'[1]Cleaned Text Field'!G676)</f>
        <v>East</v>
      </c>
      <c r="H676" t="str">
        <f>PROPER(TRIM([1]raw_orders!H676))</f>
        <v>Jharkhand</v>
      </c>
      <c r="I676" t="str">
        <f>PROPER(TRIM([1]raw_orders!I676))</f>
        <v>Ranchi</v>
      </c>
      <c r="J676" t="str">
        <f>PROPER(TRIM([1]raw_orders!J676))</f>
        <v>Technology</v>
      </c>
      <c r="K676" t="str">
        <f>PROPER(TRIM([1]raw_orders!K676))</f>
        <v>Accessories</v>
      </c>
      <c r="L676" t="s">
        <v>2050</v>
      </c>
      <c r="M676" t="str">
        <f>IF('[1]Cleaned Text Field'!M676="","Unknown",'[1]Cleaned Text Field'!M676)</f>
        <v>Second Class</v>
      </c>
      <c r="N676">
        <f>IF('[1]Cleaned Text Field'!N676="",0,'[1]Cleaned Text Field'!N676)</f>
        <v>1</v>
      </c>
      <c r="O676">
        <v>1033.71</v>
      </c>
      <c r="P676" s="5">
        <f>IF('[1]Cleaned Text Field'!P676="",0,'[1]Cleaned Text Field'!P676)</f>
        <v>0</v>
      </c>
      <c r="Q676">
        <v>1033.71</v>
      </c>
      <c r="R676">
        <v>630.82000000000005</v>
      </c>
      <c r="S676">
        <v>402.89</v>
      </c>
      <c r="T676" t="str">
        <f>PROPER(TRIM([1]raw_orders!T676))</f>
        <v>Pending</v>
      </c>
      <c r="U676" t="str">
        <f>PROPER(TRIM([1]raw_orders!U676))</f>
        <v>Returned</v>
      </c>
      <c r="V676" s="6">
        <f t="shared" si="80"/>
        <v>0.38975147768716562</v>
      </c>
      <c r="W676" t="str">
        <f t="shared" si="81"/>
        <v>May</v>
      </c>
      <c r="X676">
        <f t="shared" si="82"/>
        <v>2024</v>
      </c>
      <c r="Y676">
        <f t="shared" si="83"/>
        <v>3</v>
      </c>
      <c r="Z676" s="7">
        <f t="shared" si="84"/>
        <v>0</v>
      </c>
      <c r="AA676">
        <f t="shared" si="85"/>
        <v>1033.71</v>
      </c>
      <c r="AB676">
        <f t="shared" si="86"/>
        <v>402.89</v>
      </c>
      <c r="AC676" t="str">
        <f t="shared" si="87"/>
        <v>Clean</v>
      </c>
    </row>
    <row r="677" spans="1:29">
      <c r="A677" t="s">
        <v>2051</v>
      </c>
      <c r="B677" s="4">
        <v>45844</v>
      </c>
      <c r="C677" s="4">
        <v>45818</v>
      </c>
      <c r="D677" t="s">
        <v>1952</v>
      </c>
      <c r="E677" t="str">
        <f>PROPER(TRIM([1]raw_orders!E677))</f>
        <v>Aarav Sharma</v>
      </c>
      <c r="F677" t="str">
        <f>PROPER(TRIM([1]raw_orders!F677))</f>
        <v>Consumer</v>
      </c>
      <c r="G677" t="str">
        <f>IF('[1]Cleaned Text Field'!G677="","Unknown",'[1]Cleaned Text Field'!G677)</f>
        <v>North</v>
      </c>
      <c r="H677" t="str">
        <f>PROPER(TRIM([1]raw_orders!H677))</f>
        <v>Rajasthan</v>
      </c>
      <c r="I677" t="str">
        <f>PROPER(TRIM([1]raw_orders!I677))</f>
        <v>Jaipur</v>
      </c>
      <c r="J677" t="str">
        <f>PROPER(TRIM([1]raw_orders!J677))</f>
        <v>Furniture</v>
      </c>
      <c r="K677" t="str">
        <f>PROPER(TRIM([1]raw_orders!K677))</f>
        <v>Furnishings</v>
      </c>
      <c r="L677" t="s">
        <v>2052</v>
      </c>
      <c r="M677" t="str">
        <f>IF('[1]Cleaned Text Field'!M677="","Unknown",'[1]Cleaned Text Field'!M677)</f>
        <v>Same Day</v>
      </c>
      <c r="N677">
        <f>IF('[1]Cleaned Text Field'!N677="",0,'[1]Cleaned Text Field'!N677)</f>
        <v>3</v>
      </c>
      <c r="O677">
        <v>963.26</v>
      </c>
      <c r="P677" s="5">
        <f>IF('[1]Cleaned Text Field'!P677="",0,'[1]Cleaned Text Field'!P677)</f>
        <v>0</v>
      </c>
      <c r="Q677">
        <v>2889.78</v>
      </c>
      <c r="R677">
        <v>1811.23</v>
      </c>
      <c r="S677">
        <v>1078.55</v>
      </c>
      <c r="T677" t="str">
        <f>PROPER(TRIM([1]raw_orders!T677))</f>
        <v>Paid</v>
      </c>
      <c r="U677" t="str">
        <f>PROPER(TRIM([1]raw_orders!U677))</f>
        <v>Completed</v>
      </c>
      <c r="V677" s="6">
        <f t="shared" si="80"/>
        <v>0.37322910394562903</v>
      </c>
      <c r="W677" t="str">
        <f t="shared" si="81"/>
        <v>July</v>
      </c>
      <c r="X677">
        <f t="shared" si="82"/>
        <v>2025</v>
      </c>
      <c r="Y677">
        <f t="shared" si="83"/>
        <v>-26</v>
      </c>
      <c r="Z677" s="7">
        <f t="shared" si="84"/>
        <v>0</v>
      </c>
      <c r="AA677">
        <f t="shared" si="85"/>
        <v>2889.7799999999997</v>
      </c>
      <c r="AB677">
        <f t="shared" si="86"/>
        <v>1078.5500000000002</v>
      </c>
      <c r="AC677" t="str">
        <f t="shared" si="87"/>
        <v>Warning</v>
      </c>
    </row>
    <row r="678" spans="1:29">
      <c r="A678" t="s">
        <v>2053</v>
      </c>
      <c r="B678" s="4">
        <v>45911</v>
      </c>
      <c r="C678" s="4">
        <v>45918</v>
      </c>
      <c r="D678" t="s">
        <v>2054</v>
      </c>
      <c r="E678" t="str">
        <f>PROPER(TRIM([1]raw_orders!E678))</f>
        <v>Rahul Verma</v>
      </c>
      <c r="F678" t="str">
        <f>PROPER(TRIM([1]raw_orders!F678))</f>
        <v>Small Business</v>
      </c>
      <c r="G678" t="str">
        <f>IF('[1]Cleaned Text Field'!G678="","Unknown",'[1]Cleaned Text Field'!G678)</f>
        <v>North</v>
      </c>
      <c r="H678" t="str">
        <f>PROPER(TRIM([1]raw_orders!H678))</f>
        <v>Delhi</v>
      </c>
      <c r="I678" t="str">
        <f>PROPER(TRIM([1]raw_orders!I678))</f>
        <v>New Delhi</v>
      </c>
      <c r="J678" t="str">
        <f>PROPER(TRIM([1]raw_orders!J678))</f>
        <v>Technology</v>
      </c>
      <c r="K678" t="str">
        <f>PROPER(TRIM([1]raw_orders!K678))</f>
        <v>Phones</v>
      </c>
      <c r="L678" t="s">
        <v>2055</v>
      </c>
      <c r="M678" t="str">
        <f>IF('[1]Cleaned Text Field'!M678="","Unknown",'[1]Cleaned Text Field'!M678)</f>
        <v>Same Day</v>
      </c>
      <c r="N678">
        <f>IF('[1]Cleaned Text Field'!N678="",0,'[1]Cleaned Text Field'!N678)</f>
        <v>7</v>
      </c>
      <c r="O678">
        <v>3411.21</v>
      </c>
      <c r="P678" s="5">
        <f>IF('[1]Cleaned Text Field'!P678="",0,'[1]Cleaned Text Field'!P678)</f>
        <v>0.15</v>
      </c>
      <c r="Q678">
        <v>20296.7</v>
      </c>
      <c r="R678">
        <v>14920.87</v>
      </c>
      <c r="S678">
        <v>5375.83</v>
      </c>
      <c r="T678" t="str">
        <f>PROPER(TRIM([1]raw_orders!T678))</f>
        <v>Paid</v>
      </c>
      <c r="U678" t="str">
        <f>PROPER(TRIM([1]raw_orders!U678))</f>
        <v>Completed</v>
      </c>
      <c r="V678" s="6">
        <f t="shared" si="80"/>
        <v>0.26486226825050374</v>
      </c>
      <c r="W678" t="str">
        <f t="shared" si="81"/>
        <v>September</v>
      </c>
      <c r="X678">
        <f t="shared" si="82"/>
        <v>2025</v>
      </c>
      <c r="Y678">
        <f t="shared" si="83"/>
        <v>7</v>
      </c>
      <c r="Z678" s="7">
        <f t="shared" si="84"/>
        <v>0.15</v>
      </c>
      <c r="AA678">
        <f t="shared" si="85"/>
        <v>20296.699499999999</v>
      </c>
      <c r="AB678">
        <f t="shared" si="86"/>
        <v>5375.83</v>
      </c>
      <c r="AC678" t="str">
        <f t="shared" si="87"/>
        <v>Clean</v>
      </c>
    </row>
    <row r="679" spans="1:29">
      <c r="A679" t="s">
        <v>2056</v>
      </c>
      <c r="B679" s="4">
        <v>45465</v>
      </c>
      <c r="C679" s="4">
        <v>45470</v>
      </c>
      <c r="D679" t="s">
        <v>54</v>
      </c>
      <c r="E679" t="str">
        <f>PROPER(TRIM([1]raw_orders!E679))</f>
        <v>Isha Nair</v>
      </c>
      <c r="F679" t="str">
        <f>PROPER(TRIM([1]raw_orders!F679))</f>
        <v>Home Office</v>
      </c>
      <c r="G679" t="str">
        <f>IF('[1]Cleaned Text Field'!G679="","Unknown",'[1]Cleaned Text Field'!G679)</f>
        <v>South</v>
      </c>
      <c r="H679" t="str">
        <f>PROPER(TRIM([1]raw_orders!H679))</f>
        <v>Karnataka</v>
      </c>
      <c r="I679" t="str">
        <f>PROPER(TRIM([1]raw_orders!I679))</f>
        <v>Bengaluru</v>
      </c>
      <c r="J679" t="str">
        <f>PROPER(TRIM([1]raw_orders!J679))</f>
        <v>Furniture</v>
      </c>
      <c r="K679" t="str">
        <f>PROPER(TRIM([1]raw_orders!K679))</f>
        <v>Chairs</v>
      </c>
      <c r="L679" t="s">
        <v>2057</v>
      </c>
      <c r="M679" t="str">
        <f>IF('[1]Cleaned Text Field'!M679="","Unknown",'[1]Cleaned Text Field'!M679)</f>
        <v>Same Day</v>
      </c>
      <c r="N679">
        <f>IF('[1]Cleaned Text Field'!N679="",0,'[1]Cleaned Text Field'!N679)</f>
        <v>7</v>
      </c>
      <c r="O679">
        <v>2623.48</v>
      </c>
      <c r="P679" s="5">
        <f>IF('[1]Cleaned Text Field'!P679="",0,'[1]Cleaned Text Field'!P679)</f>
        <v>0</v>
      </c>
      <c r="Q679">
        <v>18364.36</v>
      </c>
      <c r="R679">
        <v>15445.81</v>
      </c>
      <c r="S679">
        <v>2918.55</v>
      </c>
      <c r="T679" t="str">
        <f>PROPER(TRIM([1]raw_orders!T679))</f>
        <v>Paid</v>
      </c>
      <c r="U679" t="str">
        <f>PROPER(TRIM([1]raw_orders!U679))</f>
        <v>Completed</v>
      </c>
      <c r="V679" s="6">
        <f t="shared" si="80"/>
        <v>0.15892467801763852</v>
      </c>
      <c r="W679" t="str">
        <f t="shared" si="81"/>
        <v>June</v>
      </c>
      <c r="X679">
        <f t="shared" si="82"/>
        <v>2024</v>
      </c>
      <c r="Y679">
        <f t="shared" si="83"/>
        <v>5</v>
      </c>
      <c r="Z679" s="7">
        <f t="shared" si="84"/>
        <v>0</v>
      </c>
      <c r="AA679">
        <f t="shared" si="85"/>
        <v>18364.36</v>
      </c>
      <c r="AB679">
        <f t="shared" si="86"/>
        <v>2918.5500000000011</v>
      </c>
      <c r="AC679" t="str">
        <f t="shared" si="87"/>
        <v>Clean</v>
      </c>
    </row>
    <row r="680" spans="1:29">
      <c r="A680" t="s">
        <v>2058</v>
      </c>
      <c r="B680" s="4">
        <v>45620</v>
      </c>
      <c r="C680" s="4">
        <v>45627</v>
      </c>
      <c r="D680" t="s">
        <v>2059</v>
      </c>
      <c r="E680" t="str">
        <f>PROPER(TRIM([1]raw_orders!E680))</f>
        <v>Kabir Singh</v>
      </c>
      <c r="F680" t="str">
        <f>PROPER(TRIM([1]raw_orders!F680))</f>
        <v>Corporate</v>
      </c>
      <c r="G680" t="str">
        <f>IF('[1]Cleaned Text Field'!G680="","Unknown",'[1]Cleaned Text Field'!G680)</f>
        <v>South</v>
      </c>
      <c r="H680" t="str">
        <f>PROPER(TRIM([1]raw_orders!H680))</f>
        <v>Karnataka</v>
      </c>
      <c r="I680" t="str">
        <f>PROPER(TRIM([1]raw_orders!I680))</f>
        <v>Bengaluru</v>
      </c>
      <c r="J680" t="str">
        <f>PROPER(TRIM([1]raw_orders!J680))</f>
        <v>Furniture</v>
      </c>
      <c r="K680" t="str">
        <f>PROPER(TRIM([1]raw_orders!K680))</f>
        <v>Tables</v>
      </c>
      <c r="L680" t="s">
        <v>2060</v>
      </c>
      <c r="M680" t="str">
        <f>IF('[1]Cleaned Text Field'!M680="","Unknown",'[1]Cleaned Text Field'!M680)</f>
        <v>Second Class</v>
      </c>
      <c r="N680">
        <f>IF('[1]Cleaned Text Field'!N680="",0,'[1]Cleaned Text Field'!N680)</f>
        <v>9</v>
      </c>
      <c r="O680">
        <v>2763.61</v>
      </c>
      <c r="P680" s="5">
        <f>IF('[1]Cleaned Text Field'!P680="",0,'[1]Cleaned Text Field'!P680)</f>
        <v>0.15</v>
      </c>
      <c r="Q680">
        <v>21141.62</v>
      </c>
      <c r="R680">
        <v>11676.33</v>
      </c>
      <c r="S680">
        <v>9465.2900000000009</v>
      </c>
      <c r="T680" t="str">
        <f>PROPER(TRIM([1]raw_orders!T680))</f>
        <v>Paid</v>
      </c>
      <c r="U680" t="str">
        <f>PROPER(TRIM([1]raw_orders!U680))</f>
        <v>Completed</v>
      </c>
      <c r="V680" s="6">
        <f t="shared" si="80"/>
        <v>0.44770883215193547</v>
      </c>
      <c r="W680" t="str">
        <f t="shared" si="81"/>
        <v>November</v>
      </c>
      <c r="X680">
        <f t="shared" si="82"/>
        <v>2024</v>
      </c>
      <c r="Y680">
        <f t="shared" si="83"/>
        <v>7</v>
      </c>
      <c r="Z680" s="7">
        <f t="shared" si="84"/>
        <v>0.15</v>
      </c>
      <c r="AA680">
        <f t="shared" si="85"/>
        <v>21141.6165</v>
      </c>
      <c r="AB680">
        <f t="shared" si="86"/>
        <v>9465.2899999999991</v>
      </c>
      <c r="AC680" t="str">
        <f t="shared" si="87"/>
        <v>Clean</v>
      </c>
    </row>
    <row r="681" spans="1:29">
      <c r="A681" t="s">
        <v>2061</v>
      </c>
      <c r="B681" s="4">
        <v>45885</v>
      </c>
      <c r="C681" s="4">
        <v>45892</v>
      </c>
      <c r="D681" t="s">
        <v>2062</v>
      </c>
      <c r="E681" t="str">
        <f>PROPER(TRIM([1]raw_orders!E681))</f>
        <v>Rohan Mehta</v>
      </c>
      <c r="F681" t="str">
        <f>PROPER(TRIM([1]raw_orders!F681))</f>
        <v>Corporate</v>
      </c>
      <c r="G681" t="str">
        <f>IF('[1]Cleaned Text Field'!G681="","Unknown",'[1]Cleaned Text Field'!G681)</f>
        <v>North</v>
      </c>
      <c r="H681" t="str">
        <f>PROPER(TRIM([1]raw_orders!H681))</f>
        <v>Punjab</v>
      </c>
      <c r="I681" t="str">
        <f>PROPER(TRIM([1]raw_orders!I681))</f>
        <v>Ludhiana</v>
      </c>
      <c r="J681" t="str">
        <f>PROPER(TRIM([1]raw_orders!J681))</f>
        <v>Technology</v>
      </c>
      <c r="K681" t="str">
        <f>PROPER(TRIM([1]raw_orders!K681))</f>
        <v>Copiers</v>
      </c>
      <c r="L681" t="s">
        <v>2063</v>
      </c>
      <c r="M681" t="str">
        <f>IF('[1]Cleaned Text Field'!M681="","Unknown",'[1]Cleaned Text Field'!M681)</f>
        <v>Same Day</v>
      </c>
      <c r="N681">
        <f>IF('[1]Cleaned Text Field'!N681="",0,'[1]Cleaned Text Field'!N681)</f>
        <v>4</v>
      </c>
      <c r="O681">
        <v>1410.57</v>
      </c>
      <c r="P681" s="5" t="str">
        <f>IF('[1]Cleaned Text Field'!P681="",0,'[1]Cleaned Text Field'!P681)</f>
        <v>70%</v>
      </c>
      <c r="Q681">
        <v>5360.17</v>
      </c>
      <c r="R681">
        <v>3881.51</v>
      </c>
      <c r="S681">
        <v>1478.66</v>
      </c>
      <c r="T681" t="str">
        <f>PROPER(TRIM([1]raw_orders!T681))</f>
        <v>Refunded</v>
      </c>
      <c r="U681" t="str">
        <f>PROPER(TRIM([1]raw_orders!U681))</f>
        <v>Cancelled</v>
      </c>
      <c r="V681" s="6">
        <f t="shared" si="80"/>
        <v>0.27586065367329771</v>
      </c>
      <c r="W681" t="str">
        <f t="shared" si="81"/>
        <v>August</v>
      </c>
      <c r="X681">
        <f t="shared" si="82"/>
        <v>2025</v>
      </c>
      <c r="Y681">
        <f t="shared" si="83"/>
        <v>7</v>
      </c>
      <c r="Z681" s="7">
        <f>VALUE(SUBSTITUTE(P681,"%",""))/100</f>
        <v>0.7</v>
      </c>
      <c r="AA681">
        <f t="shared" si="85"/>
        <v>1692.6840000000002</v>
      </c>
      <c r="AB681">
        <f t="shared" si="86"/>
        <v>1478.6599999999999</v>
      </c>
      <c r="AC681" t="str">
        <f t="shared" si="87"/>
        <v>Clean</v>
      </c>
    </row>
    <row r="682" spans="1:29">
      <c r="A682" t="s">
        <v>2064</v>
      </c>
      <c r="B682" s="4">
        <v>45441</v>
      </c>
      <c r="C682" s="4">
        <v>45448</v>
      </c>
      <c r="D682" t="s">
        <v>2065</v>
      </c>
      <c r="E682" t="str">
        <f>PROPER(TRIM([1]raw_orders!E682))</f>
        <v>Kabir Singh</v>
      </c>
      <c r="F682" t="str">
        <f>PROPER(TRIM([1]raw_orders!F682))</f>
        <v>Corporate</v>
      </c>
      <c r="G682" t="str">
        <f>IF('[1]Cleaned Text Field'!G682="","Unknown",'[1]Cleaned Text Field'!G682)</f>
        <v>South</v>
      </c>
      <c r="H682" t="str">
        <f>PROPER(TRIM([1]raw_orders!H682))</f>
        <v>Tamil Nadu</v>
      </c>
      <c r="I682" t="str">
        <f>PROPER(TRIM([1]raw_orders!I682))</f>
        <v>Chennai</v>
      </c>
      <c r="J682" t="str">
        <f>PROPER(TRIM([1]raw_orders!J682))</f>
        <v>Technology</v>
      </c>
      <c r="K682" t="str">
        <f>PROPER(TRIM([1]raw_orders!K682))</f>
        <v>Accessories</v>
      </c>
      <c r="L682" t="s">
        <v>2066</v>
      </c>
      <c r="M682" t="str">
        <f>IF('[1]Cleaned Text Field'!M682="","Unknown",'[1]Cleaned Text Field'!M682)</f>
        <v>First Class</v>
      </c>
      <c r="N682">
        <f>IF('[1]Cleaned Text Field'!N682="",0,'[1]Cleaned Text Field'!N682)</f>
        <v>4</v>
      </c>
      <c r="O682">
        <v>3700.24</v>
      </c>
      <c r="P682" s="5">
        <f>IF('[1]Cleaned Text Field'!P682="",0,'[1]Cleaned Text Field'!P682)</f>
        <v>0</v>
      </c>
      <c r="Q682">
        <v>14800.96</v>
      </c>
      <c r="R682">
        <v>12048.39</v>
      </c>
      <c r="S682">
        <v>2752.57</v>
      </c>
      <c r="T682" t="str">
        <f>PROPER(TRIM([1]raw_orders!T682))</f>
        <v>Paid</v>
      </c>
      <c r="U682" t="str">
        <f>PROPER(TRIM([1]raw_orders!U682))</f>
        <v>Completed</v>
      </c>
      <c r="V682" s="6">
        <f t="shared" si="80"/>
        <v>0.18597239638509935</v>
      </c>
      <c r="W682" t="str">
        <f t="shared" si="81"/>
        <v>May</v>
      </c>
      <c r="X682">
        <f t="shared" si="82"/>
        <v>2024</v>
      </c>
      <c r="Y682">
        <f t="shared" si="83"/>
        <v>7</v>
      </c>
      <c r="Z682" s="7">
        <f t="shared" si="84"/>
        <v>0</v>
      </c>
      <c r="AA682">
        <f t="shared" si="85"/>
        <v>14800.96</v>
      </c>
      <c r="AB682">
        <f t="shared" si="86"/>
        <v>2752.5699999999997</v>
      </c>
      <c r="AC682" t="str">
        <f t="shared" si="87"/>
        <v>Clean</v>
      </c>
    </row>
    <row r="683" spans="1:29">
      <c r="A683" t="s">
        <v>2067</v>
      </c>
      <c r="B683" s="4">
        <v>45477</v>
      </c>
      <c r="C683" s="4">
        <v>45483</v>
      </c>
      <c r="D683" t="s">
        <v>2068</v>
      </c>
      <c r="E683" t="str">
        <f>PROPER(TRIM([1]raw_orders!E683))</f>
        <v>Vikram Iyer</v>
      </c>
      <c r="F683" t="str">
        <f>PROPER(TRIM([1]raw_orders!F683))</f>
        <v>Corporate</v>
      </c>
      <c r="G683" t="str">
        <f>IF('[1]Cleaned Text Field'!G683="","Unknown",'[1]Cleaned Text Field'!G683)</f>
        <v>North</v>
      </c>
      <c r="H683" t="str">
        <f>PROPER(TRIM([1]raw_orders!H683))</f>
        <v>Delhi</v>
      </c>
      <c r="I683" t="str">
        <f>PROPER(TRIM([1]raw_orders!I683))</f>
        <v>New Delhi</v>
      </c>
      <c r="J683" t="str">
        <f>PROPER(TRIM([1]raw_orders!J683))</f>
        <v>Furniture</v>
      </c>
      <c r="K683" t="str">
        <f>PROPER(TRIM([1]raw_orders!K683))</f>
        <v>Tables</v>
      </c>
      <c r="L683" t="s">
        <v>2069</v>
      </c>
      <c r="M683" t="str">
        <f>IF('[1]Cleaned Text Field'!M683="","Unknown",'[1]Cleaned Text Field'!M683)</f>
        <v>Second Class</v>
      </c>
      <c r="N683">
        <f>IF('[1]Cleaned Text Field'!N683="",0,'[1]Cleaned Text Field'!N683)</f>
        <v>5</v>
      </c>
      <c r="O683">
        <v>1200.27</v>
      </c>
      <c r="P683" s="5">
        <f>IF('[1]Cleaned Text Field'!P683="",0,'[1]Cleaned Text Field'!P683)</f>
        <v>0</v>
      </c>
      <c r="Q683">
        <v>6001.35</v>
      </c>
      <c r="R683">
        <v>4182.99</v>
      </c>
      <c r="S683">
        <v>1818.36</v>
      </c>
      <c r="T683" t="str">
        <f>PROPER(TRIM([1]raw_orders!T683))</f>
        <v>Paid</v>
      </c>
      <c r="U683" t="str">
        <f>PROPER(TRIM([1]raw_orders!U683))</f>
        <v>Cancelled</v>
      </c>
      <c r="V683" s="6">
        <f t="shared" si="80"/>
        <v>0.3029918268389612</v>
      </c>
      <c r="W683" t="str">
        <f t="shared" si="81"/>
        <v>July</v>
      </c>
      <c r="X683">
        <f t="shared" si="82"/>
        <v>2024</v>
      </c>
      <c r="Y683">
        <f t="shared" si="83"/>
        <v>6</v>
      </c>
      <c r="Z683" s="7">
        <f t="shared" si="84"/>
        <v>0</v>
      </c>
      <c r="AA683">
        <f t="shared" si="85"/>
        <v>6001.35</v>
      </c>
      <c r="AB683">
        <f t="shared" si="86"/>
        <v>1818.3600000000006</v>
      </c>
      <c r="AC683" t="str">
        <f t="shared" si="87"/>
        <v>Clean</v>
      </c>
    </row>
    <row r="684" spans="1:29">
      <c r="A684" t="s">
        <v>2070</v>
      </c>
      <c r="B684" s="4">
        <v>45693</v>
      </c>
      <c r="C684" s="4">
        <v>45779</v>
      </c>
      <c r="D684" t="s">
        <v>2071</v>
      </c>
      <c r="E684" t="str">
        <f>PROPER(TRIM([1]raw_orders!E684))</f>
        <v>Ananya Rao</v>
      </c>
      <c r="F684" t="str">
        <f>PROPER(TRIM([1]raw_orders!F684))</f>
        <v>Corporate</v>
      </c>
      <c r="G684" t="str">
        <f>IF('[1]Cleaned Text Field'!G684="","Unknown",'[1]Cleaned Text Field'!G684)</f>
        <v>North</v>
      </c>
      <c r="H684" t="str">
        <f>PROPER(TRIM([1]raw_orders!H684))</f>
        <v>Haryana</v>
      </c>
      <c r="I684" t="str">
        <f>PROPER(TRIM([1]raw_orders!I684))</f>
        <v>Gurugram</v>
      </c>
      <c r="J684" t="str">
        <f>PROPER(TRIM([1]raw_orders!J684))</f>
        <v>Office Supplies</v>
      </c>
      <c r="K684" t="str">
        <f>PROPER(TRIM([1]raw_orders!K684))</f>
        <v>Storage</v>
      </c>
      <c r="L684" t="s">
        <v>2072</v>
      </c>
      <c r="M684" t="str">
        <f>IF('[1]Cleaned Text Field'!M684="","Unknown",'[1]Cleaned Text Field'!M684)</f>
        <v>Same Day</v>
      </c>
      <c r="N684">
        <f>IF('[1]Cleaned Text Field'!N684="",0,'[1]Cleaned Text Field'!N684)</f>
        <v>3</v>
      </c>
      <c r="O684">
        <v>2590.7800000000002</v>
      </c>
      <c r="P684" s="5">
        <f>IF('[1]Cleaned Text Field'!P684="",0,'[1]Cleaned Text Field'!P684)</f>
        <v>0</v>
      </c>
      <c r="Q684">
        <v>7383.72</v>
      </c>
      <c r="R684">
        <v>4113.66</v>
      </c>
      <c r="S684">
        <v>3270.06</v>
      </c>
      <c r="T684" t="str">
        <f>PROPER(TRIM([1]raw_orders!T684))</f>
        <v>Paid</v>
      </c>
      <c r="U684" t="str">
        <f>PROPER(TRIM([1]raw_orders!U684))</f>
        <v>Completed</v>
      </c>
      <c r="V684" s="6">
        <f t="shared" si="80"/>
        <v>0.44287432351172579</v>
      </c>
      <c r="W684" t="str">
        <f t="shared" si="81"/>
        <v>February</v>
      </c>
      <c r="X684">
        <f t="shared" si="82"/>
        <v>2025</v>
      </c>
      <c r="Y684">
        <f t="shared" si="83"/>
        <v>86</v>
      </c>
      <c r="Z684" s="7">
        <f t="shared" si="84"/>
        <v>0</v>
      </c>
      <c r="AA684">
        <f t="shared" si="85"/>
        <v>7772.34</v>
      </c>
      <c r="AB684">
        <f t="shared" si="86"/>
        <v>3270.0600000000004</v>
      </c>
      <c r="AC684" t="str">
        <f t="shared" si="87"/>
        <v>Clean</v>
      </c>
    </row>
    <row r="685" spans="1:29">
      <c r="A685" t="s">
        <v>2073</v>
      </c>
      <c r="B685" s="4">
        <v>45858</v>
      </c>
      <c r="C685" s="4">
        <v>45862</v>
      </c>
      <c r="D685" t="s">
        <v>2074</v>
      </c>
      <c r="E685" t="str">
        <f>PROPER(TRIM([1]raw_orders!E685))</f>
        <v>Arjun Bose</v>
      </c>
      <c r="F685" t="str">
        <f>PROPER(TRIM([1]raw_orders!F685))</f>
        <v>Small Business</v>
      </c>
      <c r="G685" t="str">
        <f>IF('[1]Cleaned Text Field'!G685="","Unknown",'[1]Cleaned Text Field'!G685)</f>
        <v>South</v>
      </c>
      <c r="H685" t="str">
        <f>PROPER(TRIM([1]raw_orders!H685))</f>
        <v>Telangana</v>
      </c>
      <c r="I685" t="str">
        <f>PROPER(TRIM([1]raw_orders!I685))</f>
        <v>Hyderabad</v>
      </c>
      <c r="J685" t="str">
        <f>PROPER(TRIM([1]raw_orders!J685))</f>
        <v>Furniture</v>
      </c>
      <c r="K685" t="str">
        <f>PROPER(TRIM([1]raw_orders!K685))</f>
        <v>Furnishings</v>
      </c>
      <c r="L685" t="s">
        <v>2075</v>
      </c>
      <c r="M685" t="str">
        <f>IF('[1]Cleaned Text Field'!M685="","Unknown",'[1]Cleaned Text Field'!M685)</f>
        <v>Second Class</v>
      </c>
      <c r="N685">
        <f>IF('[1]Cleaned Text Field'!N685="",0,'[1]Cleaned Text Field'!N685)</f>
        <v>6</v>
      </c>
      <c r="O685">
        <v>1646.45</v>
      </c>
      <c r="P685" s="5">
        <f>IF('[1]Cleaned Text Field'!P685="",0,'[1]Cleaned Text Field'!P685)</f>
        <v>0.2</v>
      </c>
      <c r="Q685">
        <v>7902.96</v>
      </c>
      <c r="R685">
        <v>5512.03</v>
      </c>
      <c r="S685">
        <v>2390.9299999999998</v>
      </c>
      <c r="T685" t="str">
        <f>PROPER(TRIM([1]raw_orders!T685))</f>
        <v>Refunded</v>
      </c>
      <c r="U685" t="str">
        <f>PROPER(TRIM([1]raw_orders!U685))</f>
        <v>Cancelled</v>
      </c>
      <c r="V685" s="6">
        <f t="shared" si="80"/>
        <v>0.30253601182341805</v>
      </c>
      <c r="W685" t="str">
        <f t="shared" si="81"/>
        <v>July</v>
      </c>
      <c r="X685">
        <f t="shared" si="82"/>
        <v>2025</v>
      </c>
      <c r="Y685">
        <f t="shared" si="83"/>
        <v>4</v>
      </c>
      <c r="Z685" s="7">
        <f t="shared" si="84"/>
        <v>0.2</v>
      </c>
      <c r="AA685">
        <f t="shared" si="85"/>
        <v>7902.9600000000009</v>
      </c>
      <c r="AB685">
        <f t="shared" si="86"/>
        <v>2390.9300000000003</v>
      </c>
      <c r="AC685" t="str">
        <f t="shared" si="87"/>
        <v>Clean</v>
      </c>
    </row>
    <row r="686" spans="1:29">
      <c r="A686" t="s">
        <v>2076</v>
      </c>
      <c r="B686" s="4">
        <v>45859</v>
      </c>
      <c r="C686" s="4">
        <v>45859</v>
      </c>
      <c r="D686" t="s">
        <v>2077</v>
      </c>
      <c r="E686" t="str">
        <f>PROPER(TRIM([1]raw_orders!E686))</f>
        <v>Isha Nair</v>
      </c>
      <c r="F686" t="str">
        <f>PROPER(TRIM([1]raw_orders!F686))</f>
        <v>Home Office</v>
      </c>
      <c r="G686" t="str">
        <f>IF('[1]Cleaned Text Field'!G686="","Unknown",'[1]Cleaned Text Field'!G686)</f>
        <v>South</v>
      </c>
      <c r="H686" t="str">
        <f>PROPER(TRIM([1]raw_orders!H686))</f>
        <v>Tamil Nadu</v>
      </c>
      <c r="I686" t="str">
        <f>PROPER(TRIM([1]raw_orders!I686))</f>
        <v>Chennai</v>
      </c>
      <c r="J686" t="str">
        <f>PROPER(TRIM([1]raw_orders!J686))</f>
        <v>Furniture</v>
      </c>
      <c r="K686" t="str">
        <f>PROPER(TRIM([1]raw_orders!K686))</f>
        <v>Bookcases</v>
      </c>
      <c r="L686" t="s">
        <v>2078</v>
      </c>
      <c r="M686" t="str">
        <f>IF('[1]Cleaned Text Field'!M686="","Unknown",'[1]Cleaned Text Field'!M686)</f>
        <v>First Class</v>
      </c>
      <c r="N686">
        <f>IF('[1]Cleaned Text Field'!N686="",0,'[1]Cleaned Text Field'!N686)</f>
        <v>7</v>
      </c>
      <c r="O686">
        <v>4396.6499999999996</v>
      </c>
      <c r="P686" s="5">
        <f>IF('[1]Cleaned Text Field'!P686="",0,'[1]Cleaned Text Field'!P686)</f>
        <v>0.2</v>
      </c>
      <c r="Q686">
        <v>24621.24</v>
      </c>
      <c r="R686">
        <v>17155.48</v>
      </c>
      <c r="S686">
        <v>7465.76</v>
      </c>
      <c r="T686" t="str">
        <f>PROPER(TRIM([1]raw_orders!T686))</f>
        <v>Refunded</v>
      </c>
      <c r="U686" t="str">
        <f>PROPER(TRIM([1]raw_orders!U686))</f>
        <v>Cancelled</v>
      </c>
      <c r="V686" s="6">
        <f t="shared" si="80"/>
        <v>0.3032243705028666</v>
      </c>
      <c r="W686" t="str">
        <f t="shared" si="81"/>
        <v>July</v>
      </c>
      <c r="X686">
        <f t="shared" si="82"/>
        <v>2025</v>
      </c>
      <c r="Y686">
        <f t="shared" si="83"/>
        <v>0</v>
      </c>
      <c r="Z686" s="7">
        <f t="shared" si="84"/>
        <v>0.2</v>
      </c>
      <c r="AA686">
        <f t="shared" si="85"/>
        <v>24621.239999999998</v>
      </c>
      <c r="AB686">
        <f t="shared" si="86"/>
        <v>7465.760000000002</v>
      </c>
      <c r="AC686" t="str">
        <f t="shared" si="87"/>
        <v>Clean</v>
      </c>
    </row>
    <row r="687" spans="1:29">
      <c r="A687" t="s">
        <v>2079</v>
      </c>
      <c r="B687" s="4">
        <v>45931</v>
      </c>
      <c r="C687" s="4">
        <v>45933</v>
      </c>
      <c r="D687" t="s">
        <v>1745</v>
      </c>
      <c r="E687" t="str">
        <f>PROPER(TRIM([1]raw_orders!E687))</f>
        <v>Neha Gupta</v>
      </c>
      <c r="F687" t="str">
        <f>PROPER(TRIM([1]raw_orders!F687))</f>
        <v>Corporate</v>
      </c>
      <c r="G687" t="str">
        <f>IF('[1]Cleaned Text Field'!G687="","Unknown",'[1]Cleaned Text Field'!G687)</f>
        <v>West</v>
      </c>
      <c r="H687" t="str">
        <f>PROPER(TRIM([1]raw_orders!H687))</f>
        <v>Goa</v>
      </c>
      <c r="I687" t="str">
        <f>PROPER(TRIM([1]raw_orders!I687))</f>
        <v>Panaji</v>
      </c>
      <c r="J687" t="str">
        <f>PROPER(TRIM([1]raw_orders!J687))</f>
        <v>Office Supplies</v>
      </c>
      <c r="K687" t="str">
        <f>PROPER(TRIM([1]raw_orders!K687))</f>
        <v>Art</v>
      </c>
      <c r="L687" t="s">
        <v>2080</v>
      </c>
      <c r="M687" t="str">
        <f>IF('[1]Cleaned Text Field'!M687="","Unknown",'[1]Cleaned Text Field'!M687)</f>
        <v>Standard Class</v>
      </c>
      <c r="N687">
        <f>IF('[1]Cleaned Text Field'!N687="",0,'[1]Cleaned Text Field'!N687)</f>
        <v>9</v>
      </c>
      <c r="O687">
        <v>818.15</v>
      </c>
      <c r="P687" s="5">
        <f>IF('[1]Cleaned Text Field'!P687="",0,'[1]Cleaned Text Field'!P687)</f>
        <v>0.55000000000000004</v>
      </c>
      <c r="Q687">
        <v>6627.01</v>
      </c>
      <c r="R687">
        <v>5606.79</v>
      </c>
      <c r="S687">
        <v>1020.22</v>
      </c>
      <c r="T687" t="str">
        <f>PROPER(TRIM([1]raw_orders!T687))</f>
        <v>Failed</v>
      </c>
      <c r="U687" t="str">
        <f>PROPER(TRIM([1]raw_orders!U687))</f>
        <v>Cancelled</v>
      </c>
      <c r="V687" s="6">
        <f t="shared" si="80"/>
        <v>0.15394876422398637</v>
      </c>
      <c r="W687" t="str">
        <f t="shared" si="81"/>
        <v>October</v>
      </c>
      <c r="X687">
        <f t="shared" si="82"/>
        <v>2025</v>
      </c>
      <c r="Y687">
        <f t="shared" si="83"/>
        <v>2</v>
      </c>
      <c r="Z687" s="7">
        <f t="shared" si="84"/>
        <v>0.55000000000000004</v>
      </c>
      <c r="AA687">
        <f t="shared" si="85"/>
        <v>3313.5074999999993</v>
      </c>
      <c r="AB687">
        <f t="shared" si="86"/>
        <v>1020.2200000000003</v>
      </c>
      <c r="AC687" t="str">
        <f t="shared" si="87"/>
        <v>Clean</v>
      </c>
    </row>
    <row r="688" spans="1:29">
      <c r="A688" t="s">
        <v>2081</v>
      </c>
      <c r="B688" s="4">
        <v>45376</v>
      </c>
      <c r="C688" s="4">
        <v>45384</v>
      </c>
      <c r="D688" t="s">
        <v>2082</v>
      </c>
      <c r="E688" t="str">
        <f>PROPER(TRIM([1]raw_orders!E688))</f>
        <v>Sneha Kapoor</v>
      </c>
      <c r="F688" t="str">
        <f>PROPER(TRIM([1]raw_orders!F688))</f>
        <v>Home Office</v>
      </c>
      <c r="G688" t="str">
        <f>IF('[1]Cleaned Text Field'!G688="","Unknown",'[1]Cleaned Text Field'!G688)</f>
        <v>South</v>
      </c>
      <c r="H688" t="str">
        <f>PROPER(TRIM([1]raw_orders!H688))</f>
        <v>Tamil Nadu</v>
      </c>
      <c r="I688" t="str">
        <f>PROPER(TRIM([1]raw_orders!I688))</f>
        <v>Chennai</v>
      </c>
      <c r="J688" t="str">
        <f>PROPER(TRIM([1]raw_orders!J688))</f>
        <v>Technology</v>
      </c>
      <c r="K688" t="str">
        <f>PROPER(TRIM([1]raw_orders!K688))</f>
        <v>Copiers</v>
      </c>
      <c r="L688" t="s">
        <v>2083</v>
      </c>
      <c r="M688" t="str">
        <f>IF('[1]Cleaned Text Field'!M688="","Unknown",'[1]Cleaned Text Field'!M688)</f>
        <v>Standard Class</v>
      </c>
      <c r="N688">
        <f>IF('[1]Cleaned Text Field'!N688="",0,'[1]Cleaned Text Field'!N688)</f>
        <v>2</v>
      </c>
      <c r="O688">
        <v>2349.13</v>
      </c>
      <c r="P688" s="5">
        <f>IF('[1]Cleaned Text Field'!P688="",0,'[1]Cleaned Text Field'!P688)</f>
        <v>0</v>
      </c>
      <c r="Q688">
        <v>4698.26</v>
      </c>
      <c r="R688">
        <v>2654.92</v>
      </c>
      <c r="S688">
        <v>2043.34</v>
      </c>
      <c r="T688" t="str">
        <f>PROPER(TRIM([1]raw_orders!T688))</f>
        <v>Paid</v>
      </c>
      <c r="U688" t="str">
        <f>PROPER(TRIM([1]raw_orders!U688))</f>
        <v>Completed</v>
      </c>
      <c r="V688" s="6">
        <f t="shared" si="80"/>
        <v>0.43491420227914163</v>
      </c>
      <c r="W688" t="str">
        <f t="shared" si="81"/>
        <v>March</v>
      </c>
      <c r="X688">
        <f t="shared" si="82"/>
        <v>2024</v>
      </c>
      <c r="Y688">
        <f t="shared" si="83"/>
        <v>8</v>
      </c>
      <c r="Z688" s="7">
        <f t="shared" si="84"/>
        <v>0</v>
      </c>
      <c r="AA688">
        <f t="shared" si="85"/>
        <v>4698.26</v>
      </c>
      <c r="AB688">
        <f t="shared" si="86"/>
        <v>2043.3400000000001</v>
      </c>
      <c r="AC688" t="str">
        <f t="shared" si="87"/>
        <v>Clean</v>
      </c>
    </row>
    <row r="689" spans="1:29">
      <c r="A689" t="s">
        <v>2084</v>
      </c>
      <c r="B689" s="4">
        <v>45938</v>
      </c>
      <c r="C689" s="4">
        <v>45943</v>
      </c>
      <c r="D689" t="s">
        <v>2085</v>
      </c>
      <c r="E689" t="str">
        <f>PROPER(TRIM([1]raw_orders!E689))</f>
        <v>Mira Das</v>
      </c>
      <c r="F689" t="str">
        <f>PROPER(TRIM([1]raw_orders!F689))</f>
        <v>Home Office</v>
      </c>
      <c r="G689" t="str">
        <f>IF('[1]Cleaned Text Field'!G689="","Unknown",'[1]Cleaned Text Field'!G689)</f>
        <v>North</v>
      </c>
      <c r="H689" t="str">
        <f>PROPER(TRIM([1]raw_orders!H689))</f>
        <v>Punjab</v>
      </c>
      <c r="I689" t="str">
        <f>PROPER(TRIM([1]raw_orders!I689))</f>
        <v>Ludhiana</v>
      </c>
      <c r="J689" t="str">
        <f>PROPER(TRIM([1]raw_orders!J689))</f>
        <v>Furniture</v>
      </c>
      <c r="K689" t="str">
        <f>PROPER(TRIM([1]raw_orders!K689))</f>
        <v>Tables</v>
      </c>
      <c r="L689" t="s">
        <v>2086</v>
      </c>
      <c r="M689" t="str">
        <f>IF('[1]Cleaned Text Field'!M689="","Unknown",'[1]Cleaned Text Field'!M689)</f>
        <v>First Class</v>
      </c>
      <c r="N689">
        <f>IF('[1]Cleaned Text Field'!N689="",0,'[1]Cleaned Text Field'!N689)</f>
        <v>4</v>
      </c>
      <c r="O689">
        <v>172.05</v>
      </c>
      <c r="P689" s="5">
        <f>IF('[1]Cleaned Text Field'!P689="",0,'[1]Cleaned Text Field'!P689)</f>
        <v>0</v>
      </c>
      <c r="Q689">
        <v>688.2</v>
      </c>
      <c r="R689">
        <v>497.68</v>
      </c>
      <c r="S689">
        <v>190.52</v>
      </c>
      <c r="T689" t="str">
        <f>PROPER(TRIM([1]raw_orders!T689))</f>
        <v>Failed</v>
      </c>
      <c r="U689" t="str">
        <f>PROPER(TRIM([1]raw_orders!U689))</f>
        <v>Cancelled</v>
      </c>
      <c r="V689" s="6">
        <f t="shared" si="80"/>
        <v>0.27683812845103167</v>
      </c>
      <c r="W689" t="str">
        <f t="shared" si="81"/>
        <v>October</v>
      </c>
      <c r="X689">
        <f t="shared" si="82"/>
        <v>2025</v>
      </c>
      <c r="Y689">
        <f t="shared" si="83"/>
        <v>5</v>
      </c>
      <c r="Z689" s="7">
        <f t="shared" si="84"/>
        <v>0</v>
      </c>
      <c r="AA689">
        <f t="shared" si="85"/>
        <v>688.2</v>
      </c>
      <c r="AB689">
        <f t="shared" si="86"/>
        <v>190.52000000000004</v>
      </c>
      <c r="AC689" t="str">
        <f t="shared" si="87"/>
        <v>Clean</v>
      </c>
    </row>
    <row r="690" spans="1:29">
      <c r="A690" t="s">
        <v>2087</v>
      </c>
      <c r="B690" s="4">
        <v>45714</v>
      </c>
      <c r="C690" s="4">
        <v>45715</v>
      </c>
      <c r="D690" t="s">
        <v>2088</v>
      </c>
      <c r="E690" t="str">
        <f>PROPER(TRIM([1]raw_orders!E690))</f>
        <v>Neha Gupta</v>
      </c>
      <c r="F690" t="str">
        <f>PROPER(TRIM([1]raw_orders!F690))</f>
        <v>Home Office</v>
      </c>
      <c r="G690" t="str">
        <f>IF('[1]Cleaned Text Field'!G690="","Unknown",'[1]Cleaned Text Field'!G690)</f>
        <v>North</v>
      </c>
      <c r="H690" t="str">
        <f>PROPER(TRIM([1]raw_orders!H690))</f>
        <v>Haryana</v>
      </c>
      <c r="I690" t="str">
        <f>PROPER(TRIM([1]raw_orders!I690))</f>
        <v>Gurugram</v>
      </c>
      <c r="J690" t="str">
        <f>PROPER(TRIM([1]raw_orders!J690))</f>
        <v>Office Supplies</v>
      </c>
      <c r="K690" t="str">
        <f>PROPER(TRIM([1]raw_orders!K690))</f>
        <v>Art</v>
      </c>
      <c r="L690" t="s">
        <v>2089</v>
      </c>
      <c r="M690" t="str">
        <f>IF('[1]Cleaned Text Field'!M690="","Unknown",'[1]Cleaned Text Field'!M690)</f>
        <v>Second Class</v>
      </c>
      <c r="N690">
        <f>IF('[1]Cleaned Text Field'!N690="",0,'[1]Cleaned Text Field'!N690)</f>
        <v>6</v>
      </c>
      <c r="O690">
        <v>3037.66</v>
      </c>
      <c r="P690" s="5">
        <f>IF('[1]Cleaned Text Field'!P690="",0,'[1]Cleaned Text Field'!P690)</f>
        <v>0.15</v>
      </c>
      <c r="Q690">
        <v>15492.07</v>
      </c>
      <c r="R690">
        <v>12581.23</v>
      </c>
      <c r="S690">
        <v>2910.84</v>
      </c>
      <c r="T690" t="str">
        <f>PROPER(TRIM([1]raw_orders!T690))</f>
        <v>Paid</v>
      </c>
      <c r="U690" t="str">
        <f>PROPER(TRIM([1]raw_orders!U690))</f>
        <v>Completed</v>
      </c>
      <c r="V690" s="6">
        <f t="shared" si="80"/>
        <v>0.18789225713542479</v>
      </c>
      <c r="W690" t="str">
        <f t="shared" si="81"/>
        <v>February</v>
      </c>
      <c r="X690">
        <f t="shared" si="82"/>
        <v>2025</v>
      </c>
      <c r="Y690">
        <f t="shared" si="83"/>
        <v>1</v>
      </c>
      <c r="Z690" s="7">
        <f t="shared" si="84"/>
        <v>0.15</v>
      </c>
      <c r="AA690">
        <f t="shared" si="85"/>
        <v>15492.065999999999</v>
      </c>
      <c r="AB690">
        <f t="shared" si="86"/>
        <v>2910.84</v>
      </c>
      <c r="AC690" t="str">
        <f t="shared" si="87"/>
        <v>Clean</v>
      </c>
    </row>
    <row r="691" spans="1:29">
      <c r="A691" t="s">
        <v>2090</v>
      </c>
      <c r="B691" s="4">
        <v>45422</v>
      </c>
      <c r="C691" s="4">
        <v>45571</v>
      </c>
      <c r="D691" t="s">
        <v>2091</v>
      </c>
      <c r="E691" t="str">
        <f>PROPER(TRIM([1]raw_orders!E691))</f>
        <v>Rohan Mehta</v>
      </c>
      <c r="F691" t="str">
        <f>PROPER(TRIM([1]raw_orders!F691))</f>
        <v>Small Business</v>
      </c>
      <c r="G691" t="str">
        <f>IF('[1]Cleaned Text Field'!G691="","Unknown",'[1]Cleaned Text Field'!G691)</f>
        <v>North</v>
      </c>
      <c r="H691" t="str">
        <f>PROPER(TRIM([1]raw_orders!H691))</f>
        <v>Punjab</v>
      </c>
      <c r="I691" t="str">
        <f>PROPER(TRIM([1]raw_orders!I691))</f>
        <v>Ludhiana</v>
      </c>
      <c r="J691" t="str">
        <f>PROPER(TRIM([1]raw_orders!J691))</f>
        <v>Furniture</v>
      </c>
      <c r="K691" t="str">
        <f>PROPER(TRIM([1]raw_orders!K691))</f>
        <v>Tables</v>
      </c>
      <c r="L691" t="s">
        <v>2092</v>
      </c>
      <c r="M691" t="str">
        <f>IF('[1]Cleaned Text Field'!M691="","Unknown",'[1]Cleaned Text Field'!M691)</f>
        <v>Standard Class</v>
      </c>
      <c r="N691">
        <f>IF('[1]Cleaned Text Field'!N691="",0,'[1]Cleaned Text Field'!N691)</f>
        <v>9</v>
      </c>
      <c r="O691">
        <v>489.58</v>
      </c>
      <c r="P691" s="5">
        <f>IF('[1]Cleaned Text Field'!P691="",0,'[1]Cleaned Text Field'!P691)</f>
        <v>0.15</v>
      </c>
      <c r="Q691">
        <v>3745.29</v>
      </c>
      <c r="R691">
        <v>2302.65</v>
      </c>
      <c r="S691">
        <v>1442.64</v>
      </c>
      <c r="T691" t="str">
        <f>PROPER(TRIM([1]raw_orders!T691))</f>
        <v>Failed</v>
      </c>
      <c r="U691" t="str">
        <f>PROPER(TRIM([1]raw_orders!U691))</f>
        <v>Cancelled</v>
      </c>
      <c r="V691" s="6">
        <f t="shared" si="80"/>
        <v>0.38518779587161478</v>
      </c>
      <c r="W691" t="str">
        <f t="shared" si="81"/>
        <v>May</v>
      </c>
      <c r="X691">
        <f t="shared" si="82"/>
        <v>2024</v>
      </c>
      <c r="Y691">
        <f t="shared" si="83"/>
        <v>149</v>
      </c>
      <c r="Z691" s="7">
        <f t="shared" si="84"/>
        <v>0.15</v>
      </c>
      <c r="AA691">
        <f t="shared" si="85"/>
        <v>3745.2870000000003</v>
      </c>
      <c r="AB691">
        <f t="shared" si="86"/>
        <v>1442.6399999999999</v>
      </c>
      <c r="AC691" t="str">
        <f t="shared" si="87"/>
        <v>Clean</v>
      </c>
    </row>
    <row r="692" spans="1:29">
      <c r="A692" t="s">
        <v>2093</v>
      </c>
      <c r="B692" s="4">
        <v>45546</v>
      </c>
      <c r="C692" s="4">
        <v>45550</v>
      </c>
      <c r="D692" t="s">
        <v>2094</v>
      </c>
      <c r="E692" t="str">
        <f>PROPER(TRIM([1]raw_orders!E692))</f>
        <v>Sneha Kapoor</v>
      </c>
      <c r="F692" t="str">
        <f>PROPER(TRIM([1]raw_orders!F692))</f>
        <v>Corporate</v>
      </c>
      <c r="G692" t="str">
        <f>IF('[1]Cleaned Text Field'!G692="","Unknown",'[1]Cleaned Text Field'!G692)</f>
        <v>South</v>
      </c>
      <c r="H692" t="str">
        <f>PROPER(TRIM([1]raw_orders!H692))</f>
        <v>Tamil Nadu</v>
      </c>
      <c r="I692" t="str">
        <f>PROPER(TRIM([1]raw_orders!I692))</f>
        <v>Chennai</v>
      </c>
      <c r="J692" t="str">
        <f>PROPER(TRIM([1]raw_orders!J692))</f>
        <v>Office Supplies</v>
      </c>
      <c r="K692" t="str">
        <f>PROPER(TRIM([1]raw_orders!K692))</f>
        <v>Art</v>
      </c>
      <c r="L692" t="s">
        <v>2095</v>
      </c>
      <c r="M692" t="str">
        <f>IF('[1]Cleaned Text Field'!M692="","Unknown",'[1]Cleaned Text Field'!M692)</f>
        <v>Standard Class</v>
      </c>
      <c r="N692">
        <f>IF('[1]Cleaned Text Field'!N692="",0,'[1]Cleaned Text Field'!N692)</f>
        <v>4</v>
      </c>
      <c r="O692">
        <v>865.63</v>
      </c>
      <c r="P692" s="5">
        <f>IF('[1]Cleaned Text Field'!P692="",0,'[1]Cleaned Text Field'!P692)</f>
        <v>0</v>
      </c>
      <c r="Q692">
        <v>3462.52</v>
      </c>
      <c r="R692">
        <v>2797.29</v>
      </c>
      <c r="S692">
        <v>665.23</v>
      </c>
      <c r="T692" t="str">
        <f>PROPER(TRIM([1]raw_orders!T692))</f>
        <v>Failed</v>
      </c>
      <c r="U692" t="str">
        <f>PROPER(TRIM([1]raw_orders!U692))</f>
        <v>Returned</v>
      </c>
      <c r="V692" s="6">
        <f t="shared" si="80"/>
        <v>0.19212307798944123</v>
      </c>
      <c r="W692" t="str">
        <f t="shared" si="81"/>
        <v>September</v>
      </c>
      <c r="X692">
        <f t="shared" si="82"/>
        <v>2024</v>
      </c>
      <c r="Y692">
        <f t="shared" si="83"/>
        <v>4</v>
      </c>
      <c r="Z692" s="7">
        <f t="shared" si="84"/>
        <v>0</v>
      </c>
      <c r="AA692">
        <f t="shared" si="85"/>
        <v>3462.52</v>
      </c>
      <c r="AB692">
        <f t="shared" si="86"/>
        <v>665.23</v>
      </c>
      <c r="AC692" t="str">
        <f t="shared" si="87"/>
        <v>Clean</v>
      </c>
    </row>
    <row r="693" spans="1:29">
      <c r="A693" t="s">
        <v>2096</v>
      </c>
      <c r="B693" s="4">
        <v>45641</v>
      </c>
      <c r="C693" s="4">
        <v>45642</v>
      </c>
      <c r="D693" t="s">
        <v>2097</v>
      </c>
      <c r="E693" t="str">
        <f>PROPER(TRIM([1]raw_orders!E693))</f>
        <v>Rohan Mehta</v>
      </c>
      <c r="F693" t="str">
        <f>PROPER(TRIM([1]raw_orders!F693))</f>
        <v>Consumer</v>
      </c>
      <c r="G693" t="str">
        <f>IF('[1]Cleaned Text Field'!G693="","Unknown",'[1]Cleaned Text Field'!G693)</f>
        <v>East</v>
      </c>
      <c r="H693" t="str">
        <f>PROPER(TRIM([1]raw_orders!H693))</f>
        <v>Odisha</v>
      </c>
      <c r="I693" t="str">
        <f>PROPER(TRIM([1]raw_orders!I693))</f>
        <v>Bhubaneswar</v>
      </c>
      <c r="J693" t="str">
        <f>PROPER(TRIM([1]raw_orders!J693))</f>
        <v>Technology</v>
      </c>
      <c r="K693" t="str">
        <f>PROPER(TRIM([1]raw_orders!K693))</f>
        <v>Copiers</v>
      </c>
      <c r="L693" t="s">
        <v>2098</v>
      </c>
      <c r="M693" t="str">
        <f>IF('[1]Cleaned Text Field'!M693="","Unknown",'[1]Cleaned Text Field'!M693)</f>
        <v>Second Class</v>
      </c>
      <c r="N693">
        <f>IF('[1]Cleaned Text Field'!N693="",0,'[1]Cleaned Text Field'!N693)</f>
        <v>6</v>
      </c>
      <c r="O693">
        <v>1538.1</v>
      </c>
      <c r="P693" s="5">
        <f>IF('[1]Cleaned Text Field'!P693="",0,'[1]Cleaned Text Field'!P693)</f>
        <v>0.05</v>
      </c>
      <c r="Q693">
        <v>8767.17</v>
      </c>
      <c r="R693">
        <v>5098.2</v>
      </c>
      <c r="S693">
        <v>3668.97</v>
      </c>
      <c r="T693" t="str">
        <f>PROPER(TRIM([1]raw_orders!T693))</f>
        <v>Paid</v>
      </c>
      <c r="U693" t="str">
        <f>PROPER(TRIM([1]raw_orders!U693))</f>
        <v>Completed</v>
      </c>
      <c r="V693" s="6">
        <f t="shared" si="80"/>
        <v>0.41848966085977568</v>
      </c>
      <c r="W693" t="str">
        <f t="shared" si="81"/>
        <v>December</v>
      </c>
      <c r="X693">
        <f t="shared" si="82"/>
        <v>2024</v>
      </c>
      <c r="Y693">
        <f t="shared" si="83"/>
        <v>1</v>
      </c>
      <c r="Z693" s="7">
        <f t="shared" si="84"/>
        <v>0.05</v>
      </c>
      <c r="AA693">
        <f t="shared" si="85"/>
        <v>8767.1699999999983</v>
      </c>
      <c r="AB693">
        <f t="shared" si="86"/>
        <v>3668.9700000000003</v>
      </c>
      <c r="AC693" t="str">
        <f t="shared" si="87"/>
        <v>Clean</v>
      </c>
    </row>
    <row r="694" spans="1:29">
      <c r="A694" t="s">
        <v>2099</v>
      </c>
      <c r="B694" s="4">
        <v>45787</v>
      </c>
      <c r="C694" s="4">
        <v>45940</v>
      </c>
      <c r="D694" t="s">
        <v>2100</v>
      </c>
      <c r="E694" t="str">
        <f>PROPER(TRIM([1]raw_orders!E694))</f>
        <v>Isha Nair</v>
      </c>
      <c r="F694" t="str">
        <f>PROPER(TRIM([1]raw_orders!F694))</f>
        <v>Corporate</v>
      </c>
      <c r="G694" t="str">
        <f>IF('[1]Cleaned Text Field'!G694="","Unknown",'[1]Cleaned Text Field'!G694)</f>
        <v>South</v>
      </c>
      <c r="H694" t="str">
        <f>PROPER(TRIM([1]raw_orders!H694))</f>
        <v>Karnataka</v>
      </c>
      <c r="I694" t="str">
        <f>PROPER(TRIM([1]raw_orders!I694))</f>
        <v>Bengaluru</v>
      </c>
      <c r="J694" t="str">
        <f>PROPER(TRIM([1]raw_orders!J694))</f>
        <v>Furniture</v>
      </c>
      <c r="K694" t="str">
        <f>PROPER(TRIM([1]raw_orders!K694))</f>
        <v>Furnishings</v>
      </c>
      <c r="L694" t="s">
        <v>2101</v>
      </c>
      <c r="M694" t="str">
        <f>IF('[1]Cleaned Text Field'!M694="","Unknown",'[1]Cleaned Text Field'!M694)</f>
        <v>Second Class</v>
      </c>
      <c r="N694">
        <f>IF('[1]Cleaned Text Field'!N694="",0,'[1]Cleaned Text Field'!N694)</f>
        <v>4</v>
      </c>
      <c r="O694">
        <v>2365.6799999999998</v>
      </c>
      <c r="P694" s="5">
        <f>IF('[1]Cleaned Text Field'!P694="",0,'[1]Cleaned Text Field'!P694)</f>
        <v>0.1</v>
      </c>
      <c r="Q694">
        <v>8516.4500000000007</v>
      </c>
      <c r="R694">
        <v>5903.81</v>
      </c>
      <c r="S694">
        <v>2612.64</v>
      </c>
      <c r="T694" t="str">
        <f>PROPER(TRIM([1]raw_orders!T694))</f>
        <v>Paid</v>
      </c>
      <c r="U694" t="str">
        <f>PROPER(TRIM([1]raw_orders!U694))</f>
        <v>Completed</v>
      </c>
      <c r="V694" s="6">
        <f t="shared" si="80"/>
        <v>0.30677571053666725</v>
      </c>
      <c r="W694" t="str">
        <f t="shared" si="81"/>
        <v>May</v>
      </c>
      <c r="X694">
        <f t="shared" si="82"/>
        <v>2025</v>
      </c>
      <c r="Y694">
        <f t="shared" si="83"/>
        <v>153</v>
      </c>
      <c r="Z694" s="7">
        <f t="shared" si="84"/>
        <v>0.1</v>
      </c>
      <c r="AA694">
        <f t="shared" si="85"/>
        <v>8516.4480000000003</v>
      </c>
      <c r="AB694">
        <f t="shared" si="86"/>
        <v>2612.6400000000003</v>
      </c>
      <c r="AC694" t="str">
        <f t="shared" si="87"/>
        <v>Clean</v>
      </c>
    </row>
    <row r="695" spans="1:29">
      <c r="A695" t="s">
        <v>2102</v>
      </c>
      <c r="B695" s="4">
        <v>45720</v>
      </c>
      <c r="C695" s="4">
        <v>45758</v>
      </c>
      <c r="D695" t="s">
        <v>2103</v>
      </c>
      <c r="E695" t="str">
        <f>PROPER(TRIM([1]raw_orders!E695))</f>
        <v>Arjun Bose</v>
      </c>
      <c r="F695" t="str">
        <f>PROPER(TRIM([1]raw_orders!F695))</f>
        <v>Consumer</v>
      </c>
      <c r="G695" t="str">
        <f>IF('[1]Cleaned Text Field'!G695="","Unknown",'[1]Cleaned Text Field'!G695)</f>
        <v>South</v>
      </c>
      <c r="H695" t="str">
        <f>PROPER(TRIM([1]raw_orders!H695))</f>
        <v>Tamil Nadu</v>
      </c>
      <c r="I695" t="str">
        <f>PROPER(TRIM([1]raw_orders!I695))</f>
        <v>Chennai</v>
      </c>
      <c r="J695" t="str">
        <f>PROPER(TRIM([1]raw_orders!J695))</f>
        <v>Furniture</v>
      </c>
      <c r="K695" t="str">
        <f>PROPER(TRIM([1]raw_orders!K695))</f>
        <v>Bookcases</v>
      </c>
      <c r="L695" t="s">
        <v>2104</v>
      </c>
      <c r="M695" t="str">
        <f>IF('[1]Cleaned Text Field'!M695="","Unknown",'[1]Cleaned Text Field'!M695)</f>
        <v>Second Class</v>
      </c>
      <c r="N695">
        <f>IF('[1]Cleaned Text Field'!N695="",0,'[1]Cleaned Text Field'!N695)</f>
        <v>3</v>
      </c>
      <c r="O695">
        <v>4149.7700000000004</v>
      </c>
      <c r="P695" s="5">
        <f>IF('[1]Cleaned Text Field'!P695="",0,'[1]Cleaned Text Field'!P695)</f>
        <v>0.05</v>
      </c>
      <c r="Q695">
        <v>11826.84</v>
      </c>
      <c r="R695">
        <v>8035.96</v>
      </c>
      <c r="S695">
        <v>3790.88</v>
      </c>
      <c r="T695" t="str">
        <f>PROPER(TRIM([1]raw_orders!T695))</f>
        <v>Paid</v>
      </c>
      <c r="U695" t="str">
        <f>PROPER(TRIM([1]raw_orders!U695))</f>
        <v>Completed</v>
      </c>
      <c r="V695" s="6">
        <f t="shared" si="80"/>
        <v>0.32053194259836104</v>
      </c>
      <c r="W695" t="str">
        <f t="shared" si="81"/>
        <v>March</v>
      </c>
      <c r="X695">
        <f t="shared" si="82"/>
        <v>2025</v>
      </c>
      <c r="Y695">
        <f t="shared" si="83"/>
        <v>38</v>
      </c>
      <c r="Z695" s="7">
        <f t="shared" si="84"/>
        <v>0.05</v>
      </c>
      <c r="AA695">
        <f t="shared" si="85"/>
        <v>11826.844500000001</v>
      </c>
      <c r="AB695">
        <f t="shared" si="86"/>
        <v>3790.88</v>
      </c>
      <c r="AC695" t="str">
        <f t="shared" si="87"/>
        <v>Clean</v>
      </c>
    </row>
    <row r="696" spans="1:29">
      <c r="A696" t="s">
        <v>2105</v>
      </c>
      <c r="B696" s="4">
        <v>45665</v>
      </c>
      <c r="C696" s="4">
        <v>45908</v>
      </c>
      <c r="D696" t="s">
        <v>1078</v>
      </c>
      <c r="E696" t="str">
        <f>PROPER(TRIM([1]raw_orders!E696))</f>
        <v>Isha Nair</v>
      </c>
      <c r="F696" t="str">
        <f>PROPER(TRIM([1]raw_orders!F696))</f>
        <v>Consumer</v>
      </c>
      <c r="G696" t="str">
        <f>IF('[1]Cleaned Text Field'!G696="","Unknown",'[1]Cleaned Text Field'!G696)</f>
        <v>South</v>
      </c>
      <c r="H696" t="str">
        <f>PROPER(TRIM([1]raw_orders!H696))</f>
        <v>Andhra Pradesh</v>
      </c>
      <c r="I696" t="str">
        <f>PROPER(TRIM([1]raw_orders!I696))</f>
        <v>Vijayawada</v>
      </c>
      <c r="J696" t="str">
        <f>PROPER(TRIM([1]raw_orders!J696))</f>
        <v>Office Supplies</v>
      </c>
      <c r="K696" t="str">
        <f>PROPER(TRIM([1]raw_orders!K696))</f>
        <v>Storage</v>
      </c>
      <c r="L696" t="s">
        <v>2106</v>
      </c>
      <c r="M696" t="str">
        <f>IF('[1]Cleaned Text Field'!M696="","Unknown",'[1]Cleaned Text Field'!M696)</f>
        <v>First Class</v>
      </c>
      <c r="N696">
        <f>IF('[1]Cleaned Text Field'!N696="",0,'[1]Cleaned Text Field'!N696)</f>
        <v>5</v>
      </c>
      <c r="O696">
        <v>2736.24</v>
      </c>
      <c r="P696" s="5">
        <f>IF('[1]Cleaned Text Field'!P696="",0,'[1]Cleaned Text Field'!P696)</f>
        <v>0.15</v>
      </c>
      <c r="Q696">
        <v>11629.02</v>
      </c>
      <c r="R696">
        <v>9627.2099999999991</v>
      </c>
      <c r="S696">
        <v>2001.81</v>
      </c>
      <c r="T696" t="str">
        <f>PROPER(TRIM([1]raw_orders!T696))</f>
        <v>Paid</v>
      </c>
      <c r="U696" t="str">
        <f>PROPER(TRIM([1]raw_orders!U696))</f>
        <v>Completed</v>
      </c>
      <c r="V696" s="6">
        <f t="shared" si="80"/>
        <v>0.1721391828374188</v>
      </c>
      <c r="W696" t="str">
        <f t="shared" si="81"/>
        <v>January</v>
      </c>
      <c r="X696">
        <f t="shared" si="82"/>
        <v>2025</v>
      </c>
      <c r="Y696">
        <f t="shared" si="83"/>
        <v>243</v>
      </c>
      <c r="Z696" s="7">
        <f t="shared" si="84"/>
        <v>0.15</v>
      </c>
      <c r="AA696">
        <f t="shared" si="85"/>
        <v>11629.019999999999</v>
      </c>
      <c r="AB696">
        <f t="shared" si="86"/>
        <v>2001.8100000000013</v>
      </c>
      <c r="AC696" t="str">
        <f t="shared" si="87"/>
        <v>Clean</v>
      </c>
    </row>
    <row r="697" spans="1:29">
      <c r="A697" t="s">
        <v>2107</v>
      </c>
      <c r="B697" s="4">
        <v>45474</v>
      </c>
      <c r="C697" s="4">
        <v>45298</v>
      </c>
      <c r="D697" t="s">
        <v>2108</v>
      </c>
      <c r="E697" t="str">
        <f>PROPER(TRIM([1]raw_orders!E697))</f>
        <v>Aarav Sharma</v>
      </c>
      <c r="F697" t="str">
        <f>PROPER(TRIM([1]raw_orders!F697))</f>
        <v>Consumer</v>
      </c>
      <c r="G697" t="str">
        <f>IF('[1]Cleaned Text Field'!G697="","Unknown",'[1]Cleaned Text Field'!G697)</f>
        <v>West</v>
      </c>
      <c r="H697" t="str">
        <f>PROPER(TRIM([1]raw_orders!H697))</f>
        <v>Madhya Pradesh</v>
      </c>
      <c r="I697" t="str">
        <f>PROPER(TRIM([1]raw_orders!I697))</f>
        <v>Indore</v>
      </c>
      <c r="J697" t="str">
        <f>PROPER(TRIM([1]raw_orders!J697))</f>
        <v>Technology</v>
      </c>
      <c r="K697" t="str">
        <f>PROPER(TRIM([1]raw_orders!K697))</f>
        <v>Machines</v>
      </c>
      <c r="L697" t="s">
        <v>2109</v>
      </c>
      <c r="M697" t="str">
        <f>IF('[1]Cleaned Text Field'!M697="","Unknown",'[1]Cleaned Text Field'!M697)</f>
        <v>Standard Class</v>
      </c>
      <c r="N697">
        <f>IF('[1]Cleaned Text Field'!N697="",0,'[1]Cleaned Text Field'!N697)</f>
        <v>4</v>
      </c>
      <c r="O697">
        <v>257.39</v>
      </c>
      <c r="P697" s="5">
        <f>IF('[1]Cleaned Text Field'!P697="",0,'[1]Cleaned Text Field'!P697)</f>
        <v>0</v>
      </c>
      <c r="Q697">
        <v>1029.56</v>
      </c>
      <c r="R697">
        <v>626.33000000000004</v>
      </c>
      <c r="S697">
        <v>403.23</v>
      </c>
      <c r="T697" t="str">
        <f>PROPER(TRIM([1]raw_orders!T697))</f>
        <v>Paid</v>
      </c>
      <c r="U697" t="str">
        <f>PROPER(TRIM([1]raw_orders!U697))</f>
        <v>Completed</v>
      </c>
      <c r="V697" s="6">
        <f t="shared" si="80"/>
        <v>0.39165274486188278</v>
      </c>
      <c r="W697" t="str">
        <f t="shared" si="81"/>
        <v>July</v>
      </c>
      <c r="X697">
        <f t="shared" si="82"/>
        <v>2024</v>
      </c>
      <c r="Y697">
        <f t="shared" si="83"/>
        <v>-176</v>
      </c>
      <c r="Z697" s="7">
        <f t="shared" si="84"/>
        <v>0</v>
      </c>
      <c r="AA697">
        <f t="shared" si="85"/>
        <v>1029.56</v>
      </c>
      <c r="AB697">
        <f t="shared" si="86"/>
        <v>403.2299999999999</v>
      </c>
      <c r="AC697" t="str">
        <f t="shared" si="87"/>
        <v>Warning</v>
      </c>
    </row>
    <row r="698" spans="1:29">
      <c r="A698" t="s">
        <v>2110</v>
      </c>
      <c r="B698" s="4">
        <v>45922</v>
      </c>
      <c r="C698" s="4">
        <v>45925</v>
      </c>
      <c r="D698" t="s">
        <v>2111</v>
      </c>
      <c r="E698" t="str">
        <f>PROPER(TRIM([1]raw_orders!E698))</f>
        <v>Isha Nair</v>
      </c>
      <c r="F698" t="str">
        <f>PROPER(TRIM([1]raw_orders!F698))</f>
        <v>Small Business</v>
      </c>
      <c r="G698" t="str">
        <f>IF('[1]Cleaned Text Field'!G698="","Unknown",'[1]Cleaned Text Field'!G698)</f>
        <v>South</v>
      </c>
      <c r="H698" t="str">
        <f>PROPER(TRIM([1]raw_orders!H698))</f>
        <v>Kerala</v>
      </c>
      <c r="I698" t="str">
        <f>PROPER(TRIM([1]raw_orders!I698))</f>
        <v>Kochi</v>
      </c>
      <c r="J698" t="str">
        <f>PROPER(TRIM([1]raw_orders!J698))</f>
        <v>Technology</v>
      </c>
      <c r="K698" t="str">
        <f>PROPER(TRIM([1]raw_orders!K698))</f>
        <v>Phones</v>
      </c>
      <c r="L698" t="s">
        <v>2112</v>
      </c>
      <c r="M698" t="str">
        <f>IF('[1]Cleaned Text Field'!M698="","Unknown",'[1]Cleaned Text Field'!M698)</f>
        <v>Unknown</v>
      </c>
      <c r="N698">
        <f>IF('[1]Cleaned Text Field'!N698="",0,'[1]Cleaned Text Field'!N698)</f>
        <v>4</v>
      </c>
      <c r="O698">
        <v>1178.8399999999999</v>
      </c>
      <c r="P698" s="5">
        <f>IF('[1]Cleaned Text Field'!P698="",0,'[1]Cleaned Text Field'!P698)</f>
        <v>0.25</v>
      </c>
      <c r="Q698">
        <v>3536.52</v>
      </c>
      <c r="R698">
        <v>2102.41</v>
      </c>
      <c r="S698">
        <v>1363.28</v>
      </c>
      <c r="T698" t="str">
        <f>PROPER(TRIM([1]raw_orders!T698))</f>
        <v>Paid</v>
      </c>
      <c r="U698" t="str">
        <f>PROPER(TRIM([1]raw_orders!U698))</f>
        <v>Completed</v>
      </c>
      <c r="V698" s="6">
        <f t="shared" si="80"/>
        <v>0.38548629726397698</v>
      </c>
      <c r="W698" t="str">
        <f t="shared" si="81"/>
        <v>September</v>
      </c>
      <c r="X698">
        <f t="shared" si="82"/>
        <v>2025</v>
      </c>
      <c r="Y698">
        <f t="shared" si="83"/>
        <v>3</v>
      </c>
      <c r="Z698" s="7">
        <f t="shared" si="84"/>
        <v>0.25</v>
      </c>
      <c r="AA698">
        <f t="shared" si="85"/>
        <v>3536.5199999999995</v>
      </c>
      <c r="AB698">
        <f t="shared" si="86"/>
        <v>1434.1100000000001</v>
      </c>
      <c r="AC698" t="str">
        <f t="shared" si="87"/>
        <v>Clean</v>
      </c>
    </row>
    <row r="699" spans="1:29">
      <c r="A699" t="s">
        <v>2113</v>
      </c>
      <c r="B699" s="4">
        <v>45717</v>
      </c>
      <c r="C699" s="4">
        <v>45841</v>
      </c>
      <c r="D699" t="s">
        <v>2114</v>
      </c>
      <c r="E699" t="str">
        <f>PROPER(TRIM([1]raw_orders!E699))</f>
        <v>Arjun Bose</v>
      </c>
      <c r="F699" t="str">
        <f>PROPER(TRIM([1]raw_orders!F699))</f>
        <v>Corporate</v>
      </c>
      <c r="G699" t="str">
        <f>IF('[1]Cleaned Text Field'!G699="","Unknown",'[1]Cleaned Text Field'!G699)</f>
        <v>South</v>
      </c>
      <c r="H699" t="str">
        <f>PROPER(TRIM([1]raw_orders!H699))</f>
        <v>Andhra Pradesh</v>
      </c>
      <c r="I699" t="str">
        <f>PROPER(TRIM([1]raw_orders!I699))</f>
        <v>Vijayawada</v>
      </c>
      <c r="J699" t="str">
        <f>PROPER(TRIM([1]raw_orders!J699))</f>
        <v>Office Supplies</v>
      </c>
      <c r="K699" t="str">
        <f>PROPER(TRIM([1]raw_orders!K699))</f>
        <v>Labels</v>
      </c>
      <c r="L699" t="s">
        <v>2115</v>
      </c>
      <c r="M699" t="str">
        <f>IF('[1]Cleaned Text Field'!M699="","Unknown",'[1]Cleaned Text Field'!M699)</f>
        <v>First Class</v>
      </c>
      <c r="N699">
        <f>IF('[1]Cleaned Text Field'!N699="",0,'[1]Cleaned Text Field'!N699)</f>
        <v>7</v>
      </c>
      <c r="O699">
        <v>567.15</v>
      </c>
      <c r="P699" s="5">
        <f>IF('[1]Cleaned Text Field'!P699="",0,'[1]Cleaned Text Field'!P699)</f>
        <v>0</v>
      </c>
      <c r="Q699">
        <v>2977.54</v>
      </c>
      <c r="R699">
        <v>1849.3</v>
      </c>
      <c r="S699">
        <v>1128.24</v>
      </c>
      <c r="T699" t="str">
        <f>PROPER(TRIM([1]raw_orders!T699))</f>
        <v>Refunded</v>
      </c>
      <c r="U699" t="str">
        <f>PROPER(TRIM([1]raw_orders!U699))</f>
        <v>Returned</v>
      </c>
      <c r="V699" s="6">
        <f t="shared" si="80"/>
        <v>0.37891682395534571</v>
      </c>
      <c r="W699" t="str">
        <f t="shared" si="81"/>
        <v>March</v>
      </c>
      <c r="X699">
        <f t="shared" si="82"/>
        <v>2025</v>
      </c>
      <c r="Y699">
        <f t="shared" si="83"/>
        <v>124</v>
      </c>
      <c r="Z699" s="7">
        <f t="shared" si="84"/>
        <v>0</v>
      </c>
      <c r="AA699">
        <f t="shared" si="85"/>
        <v>3970.0499999999997</v>
      </c>
      <c r="AB699">
        <f t="shared" si="86"/>
        <v>1128.24</v>
      </c>
      <c r="AC699" t="str">
        <f t="shared" si="87"/>
        <v>Clean</v>
      </c>
    </row>
    <row r="700" spans="1:29">
      <c r="A700" t="s">
        <v>2116</v>
      </c>
      <c r="B700" s="4">
        <v>45549</v>
      </c>
      <c r="C700" s="4">
        <v>45549</v>
      </c>
      <c r="D700" t="s">
        <v>2117</v>
      </c>
      <c r="E700" t="str">
        <f>PROPER(TRIM([1]raw_orders!E700))</f>
        <v>Mira Das</v>
      </c>
      <c r="F700" t="str">
        <f>PROPER(TRIM([1]raw_orders!F700))</f>
        <v>Corporate</v>
      </c>
      <c r="G700" t="str">
        <f>IF('[1]Cleaned Text Field'!G700="","Unknown",'[1]Cleaned Text Field'!G700)</f>
        <v>North</v>
      </c>
      <c r="H700" t="str">
        <f>PROPER(TRIM([1]raw_orders!H700))</f>
        <v>Rajasthan</v>
      </c>
      <c r="I700" t="str">
        <f>PROPER(TRIM([1]raw_orders!I700))</f>
        <v>Jaipur</v>
      </c>
      <c r="J700" t="str">
        <f>PROPER(TRIM([1]raw_orders!J700))</f>
        <v>Technology</v>
      </c>
      <c r="K700" t="str">
        <f>PROPER(TRIM([1]raw_orders!K700))</f>
        <v>Machines</v>
      </c>
      <c r="L700" t="s">
        <v>2118</v>
      </c>
      <c r="M700" t="str">
        <f>IF('[1]Cleaned Text Field'!M700="","Unknown",'[1]Cleaned Text Field'!M700)</f>
        <v>Standard Class</v>
      </c>
      <c r="N700">
        <f>IF('[1]Cleaned Text Field'!N700="",0,'[1]Cleaned Text Field'!N700)</f>
        <v>8</v>
      </c>
      <c r="O700">
        <v>4081.66</v>
      </c>
      <c r="P700" s="5">
        <f>IF('[1]Cleaned Text Field'!P700="",0,'[1]Cleaned Text Field'!P700)</f>
        <v>0.15</v>
      </c>
      <c r="Q700">
        <v>28208.1</v>
      </c>
      <c r="R700">
        <v>23751.91</v>
      </c>
      <c r="S700">
        <v>4003.38</v>
      </c>
      <c r="T700" t="str">
        <f>PROPER(TRIM([1]raw_orders!T700))</f>
        <v>Paid</v>
      </c>
      <c r="U700" t="str">
        <f>PROPER(TRIM([1]raw_orders!U700))</f>
        <v>Returned</v>
      </c>
      <c r="V700" s="6">
        <f t="shared" si="80"/>
        <v>0.14192306465164262</v>
      </c>
      <c r="W700" t="str">
        <f t="shared" si="81"/>
        <v>September</v>
      </c>
      <c r="X700">
        <f t="shared" si="82"/>
        <v>2024</v>
      </c>
      <c r="Y700">
        <f t="shared" si="83"/>
        <v>0</v>
      </c>
      <c r="Z700" s="7">
        <f t="shared" si="84"/>
        <v>0.15</v>
      </c>
      <c r="AA700">
        <f t="shared" si="85"/>
        <v>27755.287999999997</v>
      </c>
      <c r="AB700">
        <f t="shared" si="86"/>
        <v>4456.1899999999987</v>
      </c>
      <c r="AC700" t="str">
        <f t="shared" si="87"/>
        <v>Clean</v>
      </c>
    </row>
    <row r="701" spans="1:29">
      <c r="A701" t="s">
        <v>2119</v>
      </c>
      <c r="B701" s="4">
        <v>45454</v>
      </c>
      <c r="C701" s="4">
        <v>45454</v>
      </c>
      <c r="D701" t="s">
        <v>2120</v>
      </c>
      <c r="E701" t="str">
        <f>PROPER(TRIM([1]raw_orders!E701))</f>
        <v>Arjun Bose</v>
      </c>
      <c r="F701" t="str">
        <f>PROPER(TRIM([1]raw_orders!F701))</f>
        <v>Small Business</v>
      </c>
      <c r="G701" t="str">
        <f>IF('[1]Cleaned Text Field'!G701="","Unknown",'[1]Cleaned Text Field'!G701)</f>
        <v>South</v>
      </c>
      <c r="H701" t="str">
        <f>PROPER(TRIM([1]raw_orders!H701))</f>
        <v>Karnataka</v>
      </c>
      <c r="I701" t="str">
        <f>PROPER(TRIM([1]raw_orders!I701))</f>
        <v>Bengaluru</v>
      </c>
      <c r="J701" t="str">
        <f>PROPER(TRIM([1]raw_orders!J701))</f>
        <v>Furniture</v>
      </c>
      <c r="K701" t="str">
        <f>PROPER(TRIM([1]raw_orders!K701))</f>
        <v>Bookcases</v>
      </c>
      <c r="L701" t="s">
        <v>2121</v>
      </c>
      <c r="M701" t="str">
        <f>IF('[1]Cleaned Text Field'!M701="","Unknown",'[1]Cleaned Text Field'!M701)</f>
        <v>Standard Class</v>
      </c>
      <c r="N701">
        <f>IF('[1]Cleaned Text Field'!N701="",0,'[1]Cleaned Text Field'!N701)</f>
        <v>9</v>
      </c>
      <c r="O701">
        <v>1400.11</v>
      </c>
      <c r="P701" s="5">
        <f>IF('[1]Cleaned Text Field'!P701="",0,'[1]Cleaned Text Field'!P701)</f>
        <v>0.25</v>
      </c>
      <c r="Q701">
        <v>9450.74</v>
      </c>
      <c r="R701">
        <v>7798.56</v>
      </c>
      <c r="S701">
        <v>1652.18</v>
      </c>
      <c r="T701" t="str">
        <f>PROPER(TRIM([1]raw_orders!T701))</f>
        <v>Paid</v>
      </c>
      <c r="U701" t="str">
        <f>PROPER(TRIM([1]raw_orders!U701))</f>
        <v>Completed</v>
      </c>
      <c r="V701" s="6">
        <f t="shared" si="80"/>
        <v>0.17482017281186449</v>
      </c>
      <c r="W701" t="str">
        <f t="shared" si="81"/>
        <v>June</v>
      </c>
      <c r="X701">
        <f t="shared" si="82"/>
        <v>2024</v>
      </c>
      <c r="Y701">
        <f t="shared" si="83"/>
        <v>0</v>
      </c>
      <c r="Z701" s="7">
        <f t="shared" si="84"/>
        <v>0.25</v>
      </c>
      <c r="AA701">
        <f t="shared" si="85"/>
        <v>9450.7425000000003</v>
      </c>
      <c r="AB701">
        <f t="shared" si="86"/>
        <v>1652.1799999999994</v>
      </c>
      <c r="AC701" t="str">
        <f t="shared" si="87"/>
        <v>Clean</v>
      </c>
    </row>
    <row r="702" spans="1:29">
      <c r="A702" t="s">
        <v>2122</v>
      </c>
      <c r="B702" s="4">
        <v>45553</v>
      </c>
      <c r="C702" s="4">
        <v>45556</v>
      </c>
      <c r="D702" t="s">
        <v>2123</v>
      </c>
      <c r="E702" t="str">
        <f>PROPER(TRIM([1]raw_orders!E702))</f>
        <v>Neha Gupta</v>
      </c>
      <c r="F702" t="str">
        <f>PROPER(TRIM([1]raw_orders!F702))</f>
        <v>Corporate</v>
      </c>
      <c r="G702" t="str">
        <f>IF('[1]Cleaned Text Field'!G702="","Unknown",'[1]Cleaned Text Field'!G702)</f>
        <v>East</v>
      </c>
      <c r="H702" t="str">
        <f>PROPER(TRIM([1]raw_orders!H702))</f>
        <v>West Bengal</v>
      </c>
      <c r="I702" t="str">
        <f>PROPER(TRIM([1]raw_orders!I702))</f>
        <v>Kolkata</v>
      </c>
      <c r="J702" t="str">
        <f>PROPER(TRIM([1]raw_orders!J702))</f>
        <v>Technology</v>
      </c>
      <c r="K702" t="str">
        <f>PROPER(TRIM([1]raw_orders!K702))</f>
        <v>Machines</v>
      </c>
      <c r="L702" t="s">
        <v>2124</v>
      </c>
      <c r="M702" t="str">
        <f>IF('[1]Cleaned Text Field'!M702="","Unknown",'[1]Cleaned Text Field'!M702)</f>
        <v>Standard Class</v>
      </c>
      <c r="N702">
        <f>IF('[1]Cleaned Text Field'!N702="",0,'[1]Cleaned Text Field'!N702)</f>
        <v>3</v>
      </c>
      <c r="O702">
        <v>3055.9</v>
      </c>
      <c r="P702" s="5">
        <f>IF('[1]Cleaned Text Field'!P702="",0,'[1]Cleaned Text Field'!P702)</f>
        <v>0.15</v>
      </c>
      <c r="Q702">
        <v>7792.55</v>
      </c>
      <c r="R702">
        <v>4691.7299999999996</v>
      </c>
      <c r="S702">
        <v>3100.82</v>
      </c>
      <c r="T702" t="str">
        <f>PROPER(TRIM([1]raw_orders!T702))</f>
        <v>Paid</v>
      </c>
      <c r="U702" t="str">
        <f>PROPER(TRIM([1]raw_orders!U702))</f>
        <v>Completed</v>
      </c>
      <c r="V702" s="6">
        <f t="shared" si="80"/>
        <v>0.39792109129874048</v>
      </c>
      <c r="W702" t="str">
        <f t="shared" si="81"/>
        <v>September</v>
      </c>
      <c r="X702">
        <f t="shared" si="82"/>
        <v>2024</v>
      </c>
      <c r="Y702">
        <f t="shared" si="83"/>
        <v>3</v>
      </c>
      <c r="Z702" s="7">
        <f t="shared" si="84"/>
        <v>0.15</v>
      </c>
      <c r="AA702">
        <f t="shared" si="85"/>
        <v>7792.5450000000001</v>
      </c>
      <c r="AB702">
        <f t="shared" si="86"/>
        <v>3100.8200000000006</v>
      </c>
      <c r="AC702" t="str">
        <f t="shared" si="87"/>
        <v>Clean</v>
      </c>
    </row>
    <row r="703" spans="1:29">
      <c r="A703" t="s">
        <v>2125</v>
      </c>
      <c r="B703" s="4">
        <v>45412</v>
      </c>
      <c r="C703" s="4">
        <v>45416</v>
      </c>
      <c r="D703" t="s">
        <v>2126</v>
      </c>
      <c r="E703" t="str">
        <f>PROPER(TRIM([1]raw_orders!E703))</f>
        <v>Rohan Mehta</v>
      </c>
      <c r="F703" t="str">
        <f>PROPER(TRIM([1]raw_orders!F703))</f>
        <v>Small Business</v>
      </c>
      <c r="G703" t="str">
        <f>IF('[1]Cleaned Text Field'!G703="","Unknown",'[1]Cleaned Text Field'!G703)</f>
        <v>West</v>
      </c>
      <c r="H703" t="str">
        <f>PROPER(TRIM([1]raw_orders!H703))</f>
        <v>Gujarat</v>
      </c>
      <c r="I703" t="str">
        <f>PROPER(TRIM([1]raw_orders!I703))</f>
        <v>Ahmedabad</v>
      </c>
      <c r="J703" t="str">
        <f>PROPER(TRIM([1]raw_orders!J703))</f>
        <v>Office Supplies</v>
      </c>
      <c r="K703" t="str">
        <f>PROPER(TRIM([1]raw_orders!K703))</f>
        <v>Art</v>
      </c>
      <c r="L703" t="s">
        <v>2127</v>
      </c>
      <c r="M703" t="str">
        <f>IF('[1]Cleaned Text Field'!M703="","Unknown",'[1]Cleaned Text Field'!M703)</f>
        <v>Same Day</v>
      </c>
      <c r="N703">
        <f>IF('[1]Cleaned Text Field'!N703="",0,'[1]Cleaned Text Field'!N703)</f>
        <v>7</v>
      </c>
      <c r="O703">
        <v>1224.94</v>
      </c>
      <c r="P703" s="5">
        <f>IF('[1]Cleaned Text Field'!P703="",0,'[1]Cleaned Text Field'!P703)</f>
        <v>0</v>
      </c>
      <c r="Q703">
        <v>8574.58</v>
      </c>
      <c r="R703">
        <v>6685.81</v>
      </c>
      <c r="S703">
        <v>1888.77</v>
      </c>
      <c r="T703" t="str">
        <f>PROPER(TRIM([1]raw_orders!T703))</f>
        <v>Paid</v>
      </c>
      <c r="U703" t="str">
        <f>PROPER(TRIM([1]raw_orders!U703))</f>
        <v>Returned</v>
      </c>
      <c r="V703" s="6">
        <f t="shared" si="80"/>
        <v>0.22027551203674114</v>
      </c>
      <c r="W703" t="str">
        <f t="shared" si="81"/>
        <v>April</v>
      </c>
      <c r="X703">
        <f t="shared" si="82"/>
        <v>2024</v>
      </c>
      <c r="Y703">
        <f t="shared" si="83"/>
        <v>4</v>
      </c>
      <c r="Z703" s="7">
        <f t="shared" si="84"/>
        <v>0</v>
      </c>
      <c r="AA703">
        <f t="shared" si="85"/>
        <v>8574.58</v>
      </c>
      <c r="AB703">
        <f t="shared" si="86"/>
        <v>1888.7699999999995</v>
      </c>
      <c r="AC703" t="str">
        <f t="shared" si="87"/>
        <v>Clean</v>
      </c>
    </row>
    <row r="704" spans="1:29">
      <c r="A704" t="s">
        <v>2128</v>
      </c>
      <c r="B704" s="4">
        <v>45690</v>
      </c>
      <c r="C704" s="4">
        <v>45694</v>
      </c>
      <c r="D704" t="s">
        <v>2129</v>
      </c>
      <c r="E704" t="str">
        <f>PROPER(TRIM([1]raw_orders!E704))</f>
        <v>Karan Malhotra</v>
      </c>
      <c r="F704" t="str">
        <f>PROPER(TRIM([1]raw_orders!F704))</f>
        <v>Small Business</v>
      </c>
      <c r="G704" t="str">
        <f>IF('[1]Cleaned Text Field'!G704="","Unknown",'[1]Cleaned Text Field'!G704)</f>
        <v>West</v>
      </c>
      <c r="H704" t="str">
        <f>PROPER(TRIM([1]raw_orders!H704))</f>
        <v>Rajasthan</v>
      </c>
      <c r="I704" t="str">
        <f>PROPER(TRIM([1]raw_orders!I704))</f>
        <v>Udaipur</v>
      </c>
      <c r="J704" t="str">
        <f>PROPER(TRIM([1]raw_orders!J704))</f>
        <v>Furniture</v>
      </c>
      <c r="K704" t="str">
        <f>PROPER(TRIM([1]raw_orders!K704))</f>
        <v>Tables</v>
      </c>
      <c r="L704" t="s">
        <v>2130</v>
      </c>
      <c r="M704" t="str">
        <f>IF('[1]Cleaned Text Field'!M704="","Unknown",'[1]Cleaned Text Field'!M704)</f>
        <v>Second Class</v>
      </c>
      <c r="N704">
        <f>IF('[1]Cleaned Text Field'!N704="",0,'[1]Cleaned Text Field'!N704)</f>
        <v>3</v>
      </c>
      <c r="O704">
        <v>997.34</v>
      </c>
      <c r="P704" s="5">
        <f>IF('[1]Cleaned Text Field'!P704="",0,'[1]Cleaned Text Field'!P704)</f>
        <v>0.1</v>
      </c>
      <c r="Q704">
        <v>2692.82</v>
      </c>
      <c r="R704">
        <v>1820.08</v>
      </c>
      <c r="S704">
        <v>872.74</v>
      </c>
      <c r="T704" t="str">
        <f>PROPER(TRIM([1]raw_orders!T704))</f>
        <v>Paid</v>
      </c>
      <c r="U704" t="str">
        <f>PROPER(TRIM([1]raw_orders!U704))</f>
        <v>Completed</v>
      </c>
      <c r="V704" s="6">
        <f t="shared" si="80"/>
        <v>0.3240989000378785</v>
      </c>
      <c r="W704" t="str">
        <f t="shared" si="81"/>
        <v>February</v>
      </c>
      <c r="X704">
        <f t="shared" si="82"/>
        <v>2025</v>
      </c>
      <c r="Y704">
        <f t="shared" si="83"/>
        <v>4</v>
      </c>
      <c r="Z704" s="7">
        <f t="shared" si="84"/>
        <v>0.1</v>
      </c>
      <c r="AA704">
        <f t="shared" si="85"/>
        <v>2692.8180000000002</v>
      </c>
      <c r="AB704">
        <f t="shared" si="86"/>
        <v>872.74000000000024</v>
      </c>
      <c r="AC704" t="str">
        <f t="shared" si="87"/>
        <v>Clean</v>
      </c>
    </row>
    <row r="705" spans="1:29">
      <c r="A705" t="s">
        <v>2131</v>
      </c>
      <c r="B705" s="4">
        <v>45584</v>
      </c>
      <c r="C705" s="4">
        <v>45585</v>
      </c>
      <c r="D705" t="s">
        <v>2132</v>
      </c>
      <c r="E705" t="str">
        <f>PROPER(TRIM([1]raw_orders!E705))</f>
        <v>Aditi Sen</v>
      </c>
      <c r="F705" t="str">
        <f>PROPER(TRIM([1]raw_orders!F705))</f>
        <v>Corporate</v>
      </c>
      <c r="G705" t="str">
        <f>IF('[1]Cleaned Text Field'!G705="","Unknown",'[1]Cleaned Text Field'!G705)</f>
        <v>North</v>
      </c>
      <c r="H705" t="str">
        <f>PROPER(TRIM([1]raw_orders!H705))</f>
        <v>Rajasthan</v>
      </c>
      <c r="I705" t="str">
        <f>PROPER(TRIM([1]raw_orders!I705))</f>
        <v>Jaipur</v>
      </c>
      <c r="J705" t="str">
        <f>PROPER(TRIM([1]raw_orders!J705))</f>
        <v>Furniture</v>
      </c>
      <c r="K705" t="str">
        <f>PROPER(TRIM([1]raw_orders!K705))</f>
        <v>Tables</v>
      </c>
      <c r="L705" t="s">
        <v>2133</v>
      </c>
      <c r="M705" t="str">
        <f>IF('[1]Cleaned Text Field'!M705="","Unknown",'[1]Cleaned Text Field'!M705)</f>
        <v>First Class</v>
      </c>
      <c r="N705">
        <f>IF('[1]Cleaned Text Field'!N705="",0,'[1]Cleaned Text Field'!N705)</f>
        <v>1</v>
      </c>
      <c r="O705">
        <v>1150.03</v>
      </c>
      <c r="P705" s="5">
        <f>IF('[1]Cleaned Text Field'!P705="",0,'[1]Cleaned Text Field'!P705)</f>
        <v>0.1</v>
      </c>
      <c r="Q705">
        <v>1035.03</v>
      </c>
      <c r="R705">
        <v>854.35</v>
      </c>
      <c r="S705">
        <v>180.68</v>
      </c>
      <c r="T705" t="str">
        <f>PROPER(TRIM([1]raw_orders!T705))</f>
        <v>Paid</v>
      </c>
      <c r="U705" t="str">
        <f>PROPER(TRIM([1]raw_orders!U705))</f>
        <v>Completed</v>
      </c>
      <c r="V705" s="6">
        <f t="shared" si="80"/>
        <v>0.17456498845444093</v>
      </c>
      <c r="W705" t="str">
        <f t="shared" si="81"/>
        <v>October</v>
      </c>
      <c r="X705">
        <f t="shared" si="82"/>
        <v>2024</v>
      </c>
      <c r="Y705">
        <f t="shared" si="83"/>
        <v>1</v>
      </c>
      <c r="Z705" s="7">
        <f t="shared" si="84"/>
        <v>0.1</v>
      </c>
      <c r="AA705">
        <f t="shared" si="85"/>
        <v>1035.027</v>
      </c>
      <c r="AB705">
        <f t="shared" si="86"/>
        <v>180.67999999999995</v>
      </c>
      <c r="AC705" t="str">
        <f t="shared" si="87"/>
        <v>Clean</v>
      </c>
    </row>
    <row r="706" spans="1:29">
      <c r="A706" t="s">
        <v>2134</v>
      </c>
      <c r="B706" s="4">
        <v>45364</v>
      </c>
      <c r="C706" s="4">
        <v>45371</v>
      </c>
      <c r="D706" t="s">
        <v>2135</v>
      </c>
      <c r="E706" t="str">
        <f>PROPER(TRIM([1]raw_orders!E706))</f>
        <v>Priya Menon</v>
      </c>
      <c r="F706" t="str">
        <f>PROPER(TRIM([1]raw_orders!F706))</f>
        <v>Home Office</v>
      </c>
      <c r="G706" t="str">
        <f>IF('[1]Cleaned Text Field'!G706="","Unknown",'[1]Cleaned Text Field'!G706)</f>
        <v>South</v>
      </c>
      <c r="H706" t="str">
        <f>PROPER(TRIM([1]raw_orders!H706))</f>
        <v>Tamil Nadu</v>
      </c>
      <c r="I706" t="str">
        <f>PROPER(TRIM([1]raw_orders!I706))</f>
        <v>Chennai</v>
      </c>
      <c r="J706" t="str">
        <f>PROPER(TRIM([1]raw_orders!J706))</f>
        <v>Furniture</v>
      </c>
      <c r="K706" t="str">
        <f>PROPER(TRIM([1]raw_orders!K706))</f>
        <v>Bookcases</v>
      </c>
      <c r="L706" t="s">
        <v>2136</v>
      </c>
      <c r="M706" t="str">
        <f>IF('[1]Cleaned Text Field'!M706="","Unknown",'[1]Cleaned Text Field'!M706)</f>
        <v>Unknown</v>
      </c>
      <c r="N706">
        <f>IF('[1]Cleaned Text Field'!N706="",0,'[1]Cleaned Text Field'!N706)</f>
        <v>1</v>
      </c>
      <c r="O706">
        <v>2825.63</v>
      </c>
      <c r="P706" s="5">
        <f>IF('[1]Cleaned Text Field'!P706="",0,'[1]Cleaned Text Field'!P706)</f>
        <v>0.15</v>
      </c>
      <c r="Q706">
        <v>2401.79</v>
      </c>
      <c r="R706">
        <v>1820.34</v>
      </c>
      <c r="S706">
        <v>581.45000000000005</v>
      </c>
      <c r="T706" t="str">
        <f>PROPER(TRIM([1]raw_orders!T706))</f>
        <v>Paid</v>
      </c>
      <c r="U706" t="str">
        <f>PROPER(TRIM([1]raw_orders!U706))</f>
        <v>Completed</v>
      </c>
      <c r="V706" s="6">
        <f t="shared" si="80"/>
        <v>0.24209027433705696</v>
      </c>
      <c r="W706" t="str">
        <f t="shared" si="81"/>
        <v>March</v>
      </c>
      <c r="X706">
        <f t="shared" si="82"/>
        <v>2024</v>
      </c>
      <c r="Y706">
        <f t="shared" si="83"/>
        <v>7</v>
      </c>
      <c r="Z706" s="7">
        <f t="shared" si="84"/>
        <v>0.15</v>
      </c>
      <c r="AA706">
        <f t="shared" si="85"/>
        <v>2401.7855</v>
      </c>
      <c r="AB706">
        <f t="shared" si="86"/>
        <v>581.45000000000005</v>
      </c>
      <c r="AC706" t="str">
        <f t="shared" si="87"/>
        <v>Clean</v>
      </c>
    </row>
    <row r="707" spans="1:29">
      <c r="A707" t="s">
        <v>2137</v>
      </c>
      <c r="B707" s="4">
        <v>45543</v>
      </c>
      <c r="C707" s="4">
        <v>45549</v>
      </c>
      <c r="D707" t="s">
        <v>2138</v>
      </c>
      <c r="E707" t="str">
        <f>PROPER(TRIM([1]raw_orders!E707))</f>
        <v>Rohan Mehta</v>
      </c>
      <c r="F707" t="str">
        <f>PROPER(TRIM([1]raw_orders!F707))</f>
        <v>Consumer</v>
      </c>
      <c r="G707" t="str">
        <f>IF('[1]Cleaned Text Field'!G707="","Unknown",'[1]Cleaned Text Field'!G707)</f>
        <v>North</v>
      </c>
      <c r="H707" t="str">
        <f>PROPER(TRIM([1]raw_orders!H707))</f>
        <v>Rajasthan</v>
      </c>
      <c r="I707" t="str">
        <f>PROPER(TRIM([1]raw_orders!I707))</f>
        <v>Jaipur</v>
      </c>
      <c r="J707" t="str">
        <f>PROPER(TRIM([1]raw_orders!J707))</f>
        <v>Office Supplies</v>
      </c>
      <c r="K707" t="str">
        <f>PROPER(TRIM([1]raw_orders!K707))</f>
        <v>Binders</v>
      </c>
      <c r="L707" t="s">
        <v>2139</v>
      </c>
      <c r="M707" t="str">
        <f>IF('[1]Cleaned Text Field'!M707="","Unknown",'[1]Cleaned Text Field'!M707)</f>
        <v>Standard Class</v>
      </c>
      <c r="N707">
        <f>IF('[1]Cleaned Text Field'!N707="",0,'[1]Cleaned Text Field'!N707)</f>
        <v>5</v>
      </c>
      <c r="O707">
        <v>3371.75</v>
      </c>
      <c r="P707" s="5">
        <f>IF('[1]Cleaned Text Field'!P707="",0,'[1]Cleaned Text Field'!P707)</f>
        <v>0.05</v>
      </c>
      <c r="Q707">
        <v>16015.81</v>
      </c>
      <c r="R707">
        <v>11352.38</v>
      </c>
      <c r="S707">
        <v>4663.43</v>
      </c>
      <c r="T707" t="str">
        <f>PROPER(TRIM([1]raw_orders!T707))</f>
        <v>Paid</v>
      </c>
      <c r="U707" t="str">
        <f>PROPER(TRIM([1]raw_orders!U707))</f>
        <v>Completed</v>
      </c>
      <c r="V707" s="6">
        <f t="shared" ref="V707:V770" si="88">IF(Q707=0,0,S707/Q707)</f>
        <v>0.2911766560667241</v>
      </c>
      <c r="W707" t="str">
        <f t="shared" ref="W707:W770" si="89">TEXT(B707,"mmmm")</f>
        <v>September</v>
      </c>
      <c r="X707">
        <f t="shared" ref="X707:X770" si="90">YEAR(B707)</f>
        <v>2024</v>
      </c>
      <c r="Y707">
        <f t="shared" ref="Y707:Y770" si="91">C707-B707</f>
        <v>6</v>
      </c>
      <c r="Z707" s="7">
        <f t="shared" ref="Z707:Z770" si="92">P707</f>
        <v>0.05</v>
      </c>
      <c r="AA707">
        <f t="shared" ref="AA707:AA770" si="93">N707*O707*(1-P707)</f>
        <v>16015.8125</v>
      </c>
      <c r="AB707">
        <f t="shared" ref="AB707:AB770" si="94">Q707-R707</f>
        <v>4663.43</v>
      </c>
      <c r="AC707" t="str">
        <f t="shared" ref="AC707:AC770" si="95">IF(OR(B707="",C707="",AA707&lt;=0),"Invalid",IF(Y707&lt;0,"Warning",IF(Z707&gt;100%,"Warning","Clean")))</f>
        <v>Clean</v>
      </c>
    </row>
    <row r="708" spans="1:29">
      <c r="A708" t="s">
        <v>2140</v>
      </c>
      <c r="B708" s="4">
        <v>45467</v>
      </c>
      <c r="C708" s="4">
        <v>45471</v>
      </c>
      <c r="D708" t="s">
        <v>2141</v>
      </c>
      <c r="E708" t="str">
        <f>PROPER(TRIM([1]raw_orders!E708))</f>
        <v>Isha Nair</v>
      </c>
      <c r="F708" t="str">
        <f>PROPER(TRIM([1]raw_orders!F708))</f>
        <v>Small Business</v>
      </c>
      <c r="G708" t="str">
        <f>IF('[1]Cleaned Text Field'!G708="","Unknown",'[1]Cleaned Text Field'!G708)</f>
        <v>East</v>
      </c>
      <c r="H708" t="str">
        <f>PROPER(TRIM([1]raw_orders!H708))</f>
        <v>Odisha</v>
      </c>
      <c r="I708" t="str">
        <f>PROPER(TRIM([1]raw_orders!I708))</f>
        <v>Bhubaneswar</v>
      </c>
      <c r="J708" t="str">
        <f>PROPER(TRIM([1]raw_orders!J708))</f>
        <v>Office Supplies</v>
      </c>
      <c r="K708" t="str">
        <f>PROPER(TRIM([1]raw_orders!K708))</f>
        <v>Paper</v>
      </c>
      <c r="L708" t="s">
        <v>2142</v>
      </c>
      <c r="M708" t="str">
        <f>IF('[1]Cleaned Text Field'!M708="","Unknown",'[1]Cleaned Text Field'!M708)</f>
        <v>Same Day</v>
      </c>
      <c r="N708">
        <f>IF('[1]Cleaned Text Field'!N708="",0,'[1]Cleaned Text Field'!N708)</f>
        <v>1</v>
      </c>
      <c r="O708">
        <v>2112.75</v>
      </c>
      <c r="P708" s="5">
        <f>IF('[1]Cleaned Text Field'!P708="",0,'[1]Cleaned Text Field'!P708)</f>
        <v>0.1</v>
      </c>
      <c r="Q708">
        <v>1901.48</v>
      </c>
      <c r="R708">
        <v>1354.28</v>
      </c>
      <c r="S708">
        <v>547.20000000000005</v>
      </c>
      <c r="T708" t="str">
        <f>PROPER(TRIM([1]raw_orders!T708))</f>
        <v>Paid</v>
      </c>
      <c r="U708" t="str">
        <f>PROPER(TRIM([1]raw_orders!U708))</f>
        <v>Completed</v>
      </c>
      <c r="V708" s="6">
        <f t="shared" si="88"/>
        <v>0.2877758377684751</v>
      </c>
      <c r="W708" t="str">
        <f t="shared" si="89"/>
        <v>June</v>
      </c>
      <c r="X708">
        <f t="shared" si="90"/>
        <v>2024</v>
      </c>
      <c r="Y708">
        <f t="shared" si="91"/>
        <v>4</v>
      </c>
      <c r="Z708" s="7">
        <f t="shared" si="92"/>
        <v>0.1</v>
      </c>
      <c r="AA708">
        <f t="shared" si="93"/>
        <v>1901.4750000000001</v>
      </c>
      <c r="AB708">
        <f t="shared" si="94"/>
        <v>547.20000000000005</v>
      </c>
      <c r="AC708" t="str">
        <f t="shared" si="95"/>
        <v>Clean</v>
      </c>
    </row>
    <row r="709" spans="1:29">
      <c r="A709" t="s">
        <v>2143</v>
      </c>
      <c r="B709" s="4">
        <v>45832</v>
      </c>
      <c r="C709" s="4">
        <v>45834</v>
      </c>
      <c r="D709" t="s">
        <v>2144</v>
      </c>
      <c r="E709" t="str">
        <f>PROPER(TRIM([1]raw_orders!E709))</f>
        <v>Vikram Iyer</v>
      </c>
      <c r="F709" t="str">
        <f>PROPER(TRIM([1]raw_orders!F709))</f>
        <v>Consumer</v>
      </c>
      <c r="G709" t="str">
        <f>IF('[1]Cleaned Text Field'!G709="","Unknown",'[1]Cleaned Text Field'!G709)</f>
        <v>North</v>
      </c>
      <c r="H709" t="str">
        <f>PROPER(TRIM([1]raw_orders!H709))</f>
        <v>Rajasthan</v>
      </c>
      <c r="I709" t="str">
        <f>PROPER(TRIM([1]raw_orders!I709))</f>
        <v>Jaipur</v>
      </c>
      <c r="J709" t="str">
        <f>PROPER(TRIM([1]raw_orders!J709))</f>
        <v>Technology</v>
      </c>
      <c r="K709" t="str">
        <f>PROPER(TRIM([1]raw_orders!K709))</f>
        <v>Accessories</v>
      </c>
      <c r="L709" t="s">
        <v>2145</v>
      </c>
      <c r="M709" t="str">
        <f>IF('[1]Cleaned Text Field'!M709="","Unknown",'[1]Cleaned Text Field'!M709)</f>
        <v>Same Day</v>
      </c>
      <c r="N709">
        <f>IF('[1]Cleaned Text Field'!N709="",0,'[1]Cleaned Text Field'!N709)</f>
        <v>5</v>
      </c>
      <c r="O709">
        <v>3722.66</v>
      </c>
      <c r="P709" s="5">
        <f>IF('[1]Cleaned Text Field'!P709="",0,'[1]Cleaned Text Field'!P709)</f>
        <v>0.55000000000000004</v>
      </c>
      <c r="Q709">
        <v>16751.97</v>
      </c>
      <c r="R709">
        <v>11678.32</v>
      </c>
      <c r="S709">
        <v>5073.6499999999996</v>
      </c>
      <c r="T709" t="str">
        <f>PROPER(TRIM([1]raw_orders!T709))</f>
        <v>Paid</v>
      </c>
      <c r="U709" t="str">
        <f>PROPER(TRIM([1]raw_orders!U709))</f>
        <v>Completed</v>
      </c>
      <c r="V709" s="6">
        <f t="shared" si="88"/>
        <v>0.3028688566180574</v>
      </c>
      <c r="W709" t="str">
        <f t="shared" si="89"/>
        <v>June</v>
      </c>
      <c r="X709">
        <f t="shared" si="90"/>
        <v>2025</v>
      </c>
      <c r="Y709">
        <f t="shared" si="91"/>
        <v>2</v>
      </c>
      <c r="Z709" s="7">
        <f t="shared" si="92"/>
        <v>0.55000000000000004</v>
      </c>
      <c r="AA709">
        <f t="shared" si="93"/>
        <v>8375.9849999999988</v>
      </c>
      <c r="AB709">
        <f t="shared" si="94"/>
        <v>5073.6500000000015</v>
      </c>
      <c r="AC709" t="str">
        <f t="shared" si="95"/>
        <v>Clean</v>
      </c>
    </row>
    <row r="710" spans="1:29">
      <c r="A710" t="s">
        <v>2146</v>
      </c>
      <c r="B710" s="4">
        <v>45736</v>
      </c>
      <c r="C710" s="4">
        <v>45742</v>
      </c>
      <c r="D710" t="s">
        <v>2147</v>
      </c>
      <c r="E710" t="str">
        <f>PROPER(TRIM([1]raw_orders!E710))</f>
        <v>Sneha Kapoor</v>
      </c>
      <c r="F710" t="str">
        <f>PROPER(TRIM([1]raw_orders!F710))</f>
        <v>Consumer</v>
      </c>
      <c r="G710" t="str">
        <f>IF('[1]Cleaned Text Field'!G710="","Unknown",'[1]Cleaned Text Field'!G710)</f>
        <v>East</v>
      </c>
      <c r="H710" t="str">
        <f>PROPER(TRIM([1]raw_orders!H710))</f>
        <v>Assam</v>
      </c>
      <c r="I710" t="str">
        <f>PROPER(TRIM([1]raw_orders!I710))</f>
        <v>Guwahati</v>
      </c>
      <c r="J710" t="str">
        <f>PROPER(TRIM([1]raw_orders!J710))</f>
        <v>Furniture</v>
      </c>
      <c r="K710" t="str">
        <f>PROPER(TRIM([1]raw_orders!K710))</f>
        <v>Bookcases</v>
      </c>
      <c r="L710" t="s">
        <v>2148</v>
      </c>
      <c r="M710" t="str">
        <f>IF('[1]Cleaned Text Field'!M710="","Unknown",'[1]Cleaned Text Field'!M710)</f>
        <v>First Class</v>
      </c>
      <c r="N710">
        <f>IF('[1]Cleaned Text Field'!N710="",0,'[1]Cleaned Text Field'!N710)</f>
        <v>4</v>
      </c>
      <c r="O710">
        <v>4357.66</v>
      </c>
      <c r="P710" s="5">
        <f>IF('[1]Cleaned Text Field'!P710="",0,'[1]Cleaned Text Field'!P710)</f>
        <v>0.05</v>
      </c>
      <c r="Q710">
        <v>16559.11</v>
      </c>
      <c r="R710">
        <v>13233.79</v>
      </c>
      <c r="S710">
        <v>3325.32</v>
      </c>
      <c r="T710" t="str">
        <f>PROPER(TRIM([1]raw_orders!T710))</f>
        <v>Paid</v>
      </c>
      <c r="U710" t="str">
        <f>PROPER(TRIM([1]raw_orders!U710))</f>
        <v>Completed</v>
      </c>
      <c r="V710" s="6">
        <f t="shared" si="88"/>
        <v>0.20081514042723311</v>
      </c>
      <c r="W710" t="str">
        <f t="shared" si="89"/>
        <v>March</v>
      </c>
      <c r="X710">
        <f t="shared" si="90"/>
        <v>2025</v>
      </c>
      <c r="Y710">
        <f t="shared" si="91"/>
        <v>6</v>
      </c>
      <c r="Z710" s="7">
        <f t="shared" si="92"/>
        <v>0.05</v>
      </c>
      <c r="AA710">
        <f t="shared" si="93"/>
        <v>16559.108</v>
      </c>
      <c r="AB710">
        <f t="shared" si="94"/>
        <v>3325.3199999999997</v>
      </c>
      <c r="AC710" t="str">
        <f t="shared" si="95"/>
        <v>Clean</v>
      </c>
    </row>
    <row r="711" spans="1:29">
      <c r="A711" t="s">
        <v>2149</v>
      </c>
      <c r="B711" s="4">
        <v>45676</v>
      </c>
      <c r="C711" s="4">
        <v>45680</v>
      </c>
      <c r="D711" t="s">
        <v>2150</v>
      </c>
      <c r="E711" t="str">
        <f>PROPER(TRIM([1]raw_orders!E711))</f>
        <v>Kabir Singh</v>
      </c>
      <c r="F711" t="str">
        <f>PROPER(TRIM([1]raw_orders!F711))</f>
        <v>Home Office</v>
      </c>
      <c r="G711" t="str">
        <f>IF('[1]Cleaned Text Field'!G711="","Unknown",'[1]Cleaned Text Field'!G711)</f>
        <v>North</v>
      </c>
      <c r="H711" t="str">
        <f>PROPER(TRIM([1]raw_orders!H711))</f>
        <v>Punjab</v>
      </c>
      <c r="I711" t="str">
        <f>PROPER(TRIM([1]raw_orders!I711))</f>
        <v>Ludhiana</v>
      </c>
      <c r="J711" t="str">
        <f>PROPER(TRIM([1]raw_orders!J711))</f>
        <v>Technology</v>
      </c>
      <c r="K711" t="str">
        <f>PROPER(TRIM([1]raw_orders!K711))</f>
        <v>Phones</v>
      </c>
      <c r="L711" t="s">
        <v>2151</v>
      </c>
      <c r="M711" t="str">
        <f>IF('[1]Cleaned Text Field'!M711="","Unknown",'[1]Cleaned Text Field'!M711)</f>
        <v>Same Day</v>
      </c>
      <c r="N711">
        <f>IF('[1]Cleaned Text Field'!N711="",0,'[1]Cleaned Text Field'!N711)</f>
        <v>7</v>
      </c>
      <c r="O711">
        <v>1363.04</v>
      </c>
      <c r="P711" s="5">
        <f>IF('[1]Cleaned Text Field'!P711="",0,'[1]Cleaned Text Field'!P711)</f>
        <v>0.15</v>
      </c>
      <c r="Q711">
        <v>8110.09</v>
      </c>
      <c r="R711">
        <v>6417.32</v>
      </c>
      <c r="S711">
        <v>1692.77</v>
      </c>
      <c r="T711" t="str">
        <f>PROPER(TRIM([1]raw_orders!T711))</f>
        <v>Paid</v>
      </c>
      <c r="U711" t="str">
        <f>PROPER(TRIM([1]raw_orders!U711))</f>
        <v>Cancelled</v>
      </c>
      <c r="V711" s="6">
        <f t="shared" si="88"/>
        <v>0.20872394757641408</v>
      </c>
      <c r="W711" t="str">
        <f t="shared" si="89"/>
        <v>January</v>
      </c>
      <c r="X711">
        <f t="shared" si="90"/>
        <v>2025</v>
      </c>
      <c r="Y711">
        <f t="shared" si="91"/>
        <v>4</v>
      </c>
      <c r="Z711" s="7">
        <f t="shared" si="92"/>
        <v>0.15</v>
      </c>
      <c r="AA711">
        <f t="shared" si="93"/>
        <v>8110.0879999999988</v>
      </c>
      <c r="AB711">
        <f t="shared" si="94"/>
        <v>1692.7700000000004</v>
      </c>
      <c r="AC711" t="str">
        <f t="shared" si="95"/>
        <v>Clean</v>
      </c>
    </row>
    <row r="712" spans="1:29">
      <c r="A712" t="s">
        <v>2152</v>
      </c>
      <c r="B712" s="4">
        <v>45485</v>
      </c>
      <c r="C712" s="4">
        <v>45492</v>
      </c>
      <c r="D712" t="s">
        <v>2153</v>
      </c>
      <c r="E712" t="str">
        <f>PROPER(TRIM([1]raw_orders!E712))</f>
        <v>Vikram Iyer</v>
      </c>
      <c r="F712" t="str">
        <f>PROPER(TRIM([1]raw_orders!F712))</f>
        <v>Corporate</v>
      </c>
      <c r="G712" t="str">
        <f>IF('[1]Cleaned Text Field'!G712="","Unknown",'[1]Cleaned Text Field'!G712)</f>
        <v>North</v>
      </c>
      <c r="H712" t="str">
        <f>PROPER(TRIM([1]raw_orders!H712))</f>
        <v>Punjab</v>
      </c>
      <c r="I712" t="str">
        <f>PROPER(TRIM([1]raw_orders!I712))</f>
        <v>Ludhiana</v>
      </c>
      <c r="J712" t="str">
        <f>PROPER(TRIM([1]raw_orders!J712))</f>
        <v>Office Supplies</v>
      </c>
      <c r="K712" t="str">
        <f>PROPER(TRIM([1]raw_orders!K712))</f>
        <v>Art</v>
      </c>
      <c r="L712" t="s">
        <v>2154</v>
      </c>
      <c r="M712" t="str">
        <f>IF('[1]Cleaned Text Field'!M712="","Unknown",'[1]Cleaned Text Field'!M712)</f>
        <v>Second Class</v>
      </c>
      <c r="N712">
        <f>IF('[1]Cleaned Text Field'!N712="",0,'[1]Cleaned Text Field'!N712)</f>
        <v>5</v>
      </c>
      <c r="O712">
        <v>1559.16</v>
      </c>
      <c r="P712" s="5">
        <f>IF('[1]Cleaned Text Field'!P712="",0,'[1]Cleaned Text Field'!P712)</f>
        <v>0.05</v>
      </c>
      <c r="Q712">
        <v>7406.01</v>
      </c>
      <c r="R712">
        <v>5941.74</v>
      </c>
      <c r="S712">
        <v>1464.27</v>
      </c>
      <c r="T712" t="str">
        <f>PROPER(TRIM([1]raw_orders!T712))</f>
        <v>Paid</v>
      </c>
      <c r="U712" t="str">
        <f>PROPER(TRIM([1]raw_orders!U712))</f>
        <v>Completed</v>
      </c>
      <c r="V712" s="6">
        <f t="shared" si="88"/>
        <v>0.19771374869869199</v>
      </c>
      <c r="W712" t="str">
        <f t="shared" si="89"/>
        <v>July</v>
      </c>
      <c r="X712">
        <f t="shared" si="90"/>
        <v>2024</v>
      </c>
      <c r="Y712">
        <f t="shared" si="91"/>
        <v>7</v>
      </c>
      <c r="Z712" s="7">
        <f t="shared" si="92"/>
        <v>0.05</v>
      </c>
      <c r="AA712">
        <f t="shared" si="93"/>
        <v>7406.01</v>
      </c>
      <c r="AB712">
        <f t="shared" si="94"/>
        <v>1464.2700000000004</v>
      </c>
      <c r="AC712" t="str">
        <f t="shared" si="95"/>
        <v>Clean</v>
      </c>
    </row>
    <row r="713" spans="1:29">
      <c r="A713" t="s">
        <v>2155</v>
      </c>
      <c r="B713" s="4">
        <v>45690</v>
      </c>
      <c r="C713" s="4">
        <v>45690</v>
      </c>
      <c r="D713" t="s">
        <v>2156</v>
      </c>
      <c r="E713" t="str">
        <f>PROPER(TRIM([1]raw_orders!E713))</f>
        <v>Kabir Singh</v>
      </c>
      <c r="F713" t="str">
        <f>PROPER(TRIM([1]raw_orders!F713))</f>
        <v>Corporate</v>
      </c>
      <c r="G713" t="str">
        <f>IF('[1]Cleaned Text Field'!G713="","Unknown",'[1]Cleaned Text Field'!G713)</f>
        <v>East</v>
      </c>
      <c r="H713" t="str">
        <f>PROPER(TRIM([1]raw_orders!H713))</f>
        <v>West Bengal</v>
      </c>
      <c r="I713" t="str">
        <f>PROPER(TRIM([1]raw_orders!I713))</f>
        <v>Kolkata</v>
      </c>
      <c r="J713" t="str">
        <f>PROPER(TRIM([1]raw_orders!J713))</f>
        <v>Technology</v>
      </c>
      <c r="K713" t="str">
        <f>PROPER(TRIM([1]raw_orders!K713))</f>
        <v>Machines</v>
      </c>
      <c r="L713" t="s">
        <v>2157</v>
      </c>
      <c r="M713" t="str">
        <f>IF('[1]Cleaned Text Field'!M713="","Unknown",'[1]Cleaned Text Field'!M713)</f>
        <v>First Class</v>
      </c>
      <c r="N713">
        <f>IF('[1]Cleaned Text Field'!N713="",0,'[1]Cleaned Text Field'!N713)</f>
        <v>1</v>
      </c>
      <c r="O713">
        <v>4326.75</v>
      </c>
      <c r="P713" s="5">
        <f>IF('[1]Cleaned Text Field'!P713="",0,'[1]Cleaned Text Field'!P713)</f>
        <v>0.05</v>
      </c>
      <c r="Q713">
        <v>4110.41</v>
      </c>
      <c r="R713">
        <v>2394.14</v>
      </c>
      <c r="S713">
        <v>1716.27</v>
      </c>
      <c r="T713" t="str">
        <f>PROPER(TRIM([1]raw_orders!T713))</f>
        <v>Pending</v>
      </c>
      <c r="U713" t="str">
        <f>PROPER(TRIM([1]raw_orders!U713))</f>
        <v>Returned</v>
      </c>
      <c r="V713" s="6">
        <f t="shared" si="88"/>
        <v>0.41754228896874035</v>
      </c>
      <c r="W713" t="str">
        <f t="shared" si="89"/>
        <v>February</v>
      </c>
      <c r="X713">
        <f t="shared" si="90"/>
        <v>2025</v>
      </c>
      <c r="Y713">
        <f t="shared" si="91"/>
        <v>0</v>
      </c>
      <c r="Z713" s="7">
        <f t="shared" si="92"/>
        <v>0.05</v>
      </c>
      <c r="AA713">
        <f t="shared" si="93"/>
        <v>4110.4124999999995</v>
      </c>
      <c r="AB713">
        <f t="shared" si="94"/>
        <v>1716.27</v>
      </c>
      <c r="AC713" t="str">
        <f t="shared" si="95"/>
        <v>Clean</v>
      </c>
    </row>
    <row r="714" spans="1:29">
      <c r="A714" t="s">
        <v>2158</v>
      </c>
      <c r="B714" s="4">
        <v>45332</v>
      </c>
      <c r="C714" s="4">
        <v>45340</v>
      </c>
      <c r="D714" t="s">
        <v>2159</v>
      </c>
      <c r="E714" t="str">
        <f>PROPER(TRIM([1]raw_orders!E714))</f>
        <v>Isha Nair</v>
      </c>
      <c r="F714" t="str">
        <f>PROPER(TRIM([1]raw_orders!F714))</f>
        <v>Home Office</v>
      </c>
      <c r="G714" t="str">
        <f>IF('[1]Cleaned Text Field'!G714="","Unknown",'[1]Cleaned Text Field'!G714)</f>
        <v>West</v>
      </c>
      <c r="H714" t="str">
        <f>PROPER(TRIM([1]raw_orders!H714))</f>
        <v>Madhya Pradesh</v>
      </c>
      <c r="I714" t="str">
        <f>PROPER(TRIM([1]raw_orders!I714))</f>
        <v>Indore</v>
      </c>
      <c r="J714" t="str">
        <f>PROPER(TRIM([1]raw_orders!J714))</f>
        <v>Furniture</v>
      </c>
      <c r="K714" t="str">
        <f>PROPER(TRIM([1]raw_orders!K714))</f>
        <v>Chairs</v>
      </c>
      <c r="L714" t="s">
        <v>2160</v>
      </c>
      <c r="M714" t="str">
        <f>IF('[1]Cleaned Text Field'!M714="","Unknown",'[1]Cleaned Text Field'!M714)</f>
        <v>First Class</v>
      </c>
      <c r="N714">
        <f>IF('[1]Cleaned Text Field'!N714="",0,'[1]Cleaned Text Field'!N714)</f>
        <v>7</v>
      </c>
      <c r="O714">
        <v>1382.86</v>
      </c>
      <c r="P714" s="5">
        <f>IF('[1]Cleaned Text Field'!P714="",0,'[1]Cleaned Text Field'!P714)</f>
        <v>0</v>
      </c>
      <c r="Q714">
        <v>9680.02</v>
      </c>
      <c r="R714">
        <v>6876.66</v>
      </c>
      <c r="S714">
        <v>2803.36</v>
      </c>
      <c r="T714" t="str">
        <f>PROPER(TRIM([1]raw_orders!T714))</f>
        <v>Paid</v>
      </c>
      <c r="U714" t="str">
        <f>PROPER(TRIM([1]raw_orders!U714))</f>
        <v>Completed</v>
      </c>
      <c r="V714" s="6">
        <f t="shared" si="88"/>
        <v>0.28960270743242267</v>
      </c>
      <c r="W714" t="str">
        <f t="shared" si="89"/>
        <v>February</v>
      </c>
      <c r="X714">
        <f t="shared" si="90"/>
        <v>2024</v>
      </c>
      <c r="Y714">
        <f t="shared" si="91"/>
        <v>8</v>
      </c>
      <c r="Z714" s="7">
        <f t="shared" si="92"/>
        <v>0</v>
      </c>
      <c r="AA714">
        <f t="shared" si="93"/>
        <v>9680.0199999999986</v>
      </c>
      <c r="AB714">
        <f t="shared" si="94"/>
        <v>2803.3600000000006</v>
      </c>
      <c r="AC714" t="str">
        <f t="shared" si="95"/>
        <v>Clean</v>
      </c>
    </row>
    <row r="715" spans="1:29">
      <c r="A715" t="s">
        <v>2161</v>
      </c>
      <c r="B715" s="4">
        <v>45814</v>
      </c>
      <c r="C715" s="4">
        <v>45818</v>
      </c>
      <c r="D715" t="s">
        <v>541</v>
      </c>
      <c r="E715" t="str">
        <f>PROPER(TRIM([1]raw_orders!E715))</f>
        <v>Mira Das</v>
      </c>
      <c r="F715" t="str">
        <f>PROPER(TRIM([1]raw_orders!F715))</f>
        <v>Consumer</v>
      </c>
      <c r="G715" t="str">
        <f>IF('[1]Cleaned Text Field'!G715="","Unknown",'[1]Cleaned Text Field'!G715)</f>
        <v>West</v>
      </c>
      <c r="H715" t="str">
        <f>PROPER(TRIM([1]raw_orders!H715))</f>
        <v>Rajasthan</v>
      </c>
      <c r="I715" t="str">
        <f>PROPER(TRIM([1]raw_orders!I715))</f>
        <v>Udaipur</v>
      </c>
      <c r="J715" t="str">
        <f>PROPER(TRIM([1]raw_orders!J715))</f>
        <v>Technology</v>
      </c>
      <c r="K715" t="str">
        <f>PROPER(TRIM([1]raw_orders!K715))</f>
        <v>Machines</v>
      </c>
      <c r="L715" t="s">
        <v>2162</v>
      </c>
      <c r="M715" t="str">
        <f>IF('[1]Cleaned Text Field'!M715="","Unknown",'[1]Cleaned Text Field'!M715)</f>
        <v>Second Class</v>
      </c>
      <c r="N715">
        <f>IF('[1]Cleaned Text Field'!N715="",0,'[1]Cleaned Text Field'!N715)</f>
        <v>1</v>
      </c>
      <c r="O715">
        <v>289.97000000000003</v>
      </c>
      <c r="P715" s="5">
        <f>IF('[1]Cleaned Text Field'!P715="",0,'[1]Cleaned Text Field'!P715)</f>
        <v>0.25</v>
      </c>
      <c r="Q715">
        <v>217.48</v>
      </c>
      <c r="R715">
        <v>132.13</v>
      </c>
      <c r="S715">
        <v>85.35</v>
      </c>
      <c r="T715" t="str">
        <f>PROPER(TRIM([1]raw_orders!T715))</f>
        <v>Paid</v>
      </c>
      <c r="U715" t="str">
        <f>PROPER(TRIM([1]raw_orders!U715))</f>
        <v>Completed</v>
      </c>
      <c r="V715" s="6">
        <f t="shared" si="88"/>
        <v>0.39244988044877688</v>
      </c>
      <c r="W715" t="str">
        <f t="shared" si="89"/>
        <v>June</v>
      </c>
      <c r="X715">
        <f t="shared" si="90"/>
        <v>2025</v>
      </c>
      <c r="Y715">
        <f t="shared" si="91"/>
        <v>4</v>
      </c>
      <c r="Z715" s="7">
        <f t="shared" si="92"/>
        <v>0.25</v>
      </c>
      <c r="AA715">
        <f t="shared" si="93"/>
        <v>217.47750000000002</v>
      </c>
      <c r="AB715">
        <f t="shared" si="94"/>
        <v>85.35</v>
      </c>
      <c r="AC715" t="str">
        <f t="shared" si="95"/>
        <v>Clean</v>
      </c>
    </row>
    <row r="716" spans="1:29">
      <c r="A716" t="s">
        <v>2163</v>
      </c>
      <c r="B716" s="4">
        <v>45738</v>
      </c>
      <c r="C716" s="4">
        <v>45739</v>
      </c>
      <c r="D716" t="s">
        <v>2164</v>
      </c>
      <c r="E716" t="str">
        <f>PROPER(TRIM([1]raw_orders!E716))</f>
        <v>Karan Malhotra</v>
      </c>
      <c r="F716" t="str">
        <f>PROPER(TRIM([1]raw_orders!F716))</f>
        <v>Home Office</v>
      </c>
      <c r="G716" t="str">
        <f>IF('[1]Cleaned Text Field'!G716="","Unknown",'[1]Cleaned Text Field'!G716)</f>
        <v>North</v>
      </c>
      <c r="H716" t="str">
        <f>PROPER(TRIM([1]raw_orders!H716))</f>
        <v>Delhi</v>
      </c>
      <c r="I716" t="str">
        <f>PROPER(TRIM([1]raw_orders!I716))</f>
        <v>New Delhi</v>
      </c>
      <c r="J716" t="str">
        <f>PROPER(TRIM([1]raw_orders!J716))</f>
        <v>Technology</v>
      </c>
      <c r="K716" t="str">
        <f>PROPER(TRIM([1]raw_orders!K716))</f>
        <v>Copiers</v>
      </c>
      <c r="L716" t="s">
        <v>2165</v>
      </c>
      <c r="M716" t="str">
        <f>IF('[1]Cleaned Text Field'!M716="","Unknown",'[1]Cleaned Text Field'!M716)</f>
        <v>Standard Class</v>
      </c>
      <c r="N716">
        <f>IF('[1]Cleaned Text Field'!N716="",0,'[1]Cleaned Text Field'!N716)</f>
        <v>9</v>
      </c>
      <c r="O716">
        <v>2075.02</v>
      </c>
      <c r="P716" s="5">
        <f>IF('[1]Cleaned Text Field'!P716="",0,'[1]Cleaned Text Field'!P716)</f>
        <v>0</v>
      </c>
      <c r="Q716">
        <v>18675.18</v>
      </c>
      <c r="R716">
        <v>13974.7</v>
      </c>
      <c r="S716">
        <v>4700.4799999999996</v>
      </c>
      <c r="T716" t="str">
        <f>PROPER(TRIM([1]raw_orders!T716))</f>
        <v>Paid</v>
      </c>
      <c r="U716" t="str">
        <f>PROPER(TRIM([1]raw_orders!U716))</f>
        <v>Completed</v>
      </c>
      <c r="V716" s="6">
        <f t="shared" si="88"/>
        <v>0.25169663692665878</v>
      </c>
      <c r="W716" t="str">
        <f t="shared" si="89"/>
        <v>March</v>
      </c>
      <c r="X716">
        <f t="shared" si="90"/>
        <v>2025</v>
      </c>
      <c r="Y716">
        <f t="shared" si="91"/>
        <v>1</v>
      </c>
      <c r="Z716" s="7">
        <f t="shared" si="92"/>
        <v>0</v>
      </c>
      <c r="AA716">
        <f t="shared" si="93"/>
        <v>18675.18</v>
      </c>
      <c r="AB716">
        <f t="shared" si="94"/>
        <v>4700.4799999999996</v>
      </c>
      <c r="AC716" t="str">
        <f t="shared" si="95"/>
        <v>Clean</v>
      </c>
    </row>
    <row r="717" spans="1:29">
      <c r="A717" t="s">
        <v>2166</v>
      </c>
      <c r="B717" s="4">
        <v>45891</v>
      </c>
      <c r="C717" s="4">
        <v>45896</v>
      </c>
      <c r="D717" t="s">
        <v>2167</v>
      </c>
      <c r="E717" t="str">
        <f>PROPER(TRIM([1]raw_orders!E717))</f>
        <v>Priya Menon</v>
      </c>
      <c r="F717" t="str">
        <f>PROPER(TRIM([1]raw_orders!F717))</f>
        <v>Consumer</v>
      </c>
      <c r="G717" t="str">
        <f>IF('[1]Cleaned Text Field'!G717="","Unknown",'[1]Cleaned Text Field'!G717)</f>
        <v>North</v>
      </c>
      <c r="H717" t="str">
        <f>PROPER(TRIM([1]raw_orders!H717))</f>
        <v>Haryana</v>
      </c>
      <c r="I717" t="str">
        <f>PROPER(TRIM([1]raw_orders!I717))</f>
        <v>Gurugram</v>
      </c>
      <c r="J717" t="str">
        <f>PROPER(TRIM([1]raw_orders!J717))</f>
        <v>Furniture</v>
      </c>
      <c r="K717" t="str">
        <f>PROPER(TRIM([1]raw_orders!K717))</f>
        <v>Chairs</v>
      </c>
      <c r="L717" t="s">
        <v>2168</v>
      </c>
      <c r="M717" t="str">
        <f>IF('[1]Cleaned Text Field'!M717="","Unknown",'[1]Cleaned Text Field'!M717)</f>
        <v>Second Class</v>
      </c>
      <c r="N717">
        <f>IF('[1]Cleaned Text Field'!N717="",0,'[1]Cleaned Text Field'!N717)</f>
        <v>7</v>
      </c>
      <c r="O717">
        <v>2843.09</v>
      </c>
      <c r="P717" s="5">
        <f>IF('[1]Cleaned Text Field'!P717="",0,'[1]Cleaned Text Field'!P717)</f>
        <v>0</v>
      </c>
      <c r="Q717">
        <v>19901.63</v>
      </c>
      <c r="R717">
        <v>15492.03</v>
      </c>
      <c r="S717">
        <v>4409.6000000000004</v>
      </c>
      <c r="T717" t="str">
        <f>PROPER(TRIM([1]raw_orders!T717))</f>
        <v>Refunded</v>
      </c>
      <c r="U717" t="str">
        <f>PROPER(TRIM([1]raw_orders!U717))</f>
        <v>Cancelled</v>
      </c>
      <c r="V717" s="6">
        <f t="shared" si="88"/>
        <v>0.22156979101711771</v>
      </c>
      <c r="W717" t="str">
        <f t="shared" si="89"/>
        <v>August</v>
      </c>
      <c r="X717">
        <f t="shared" si="90"/>
        <v>2025</v>
      </c>
      <c r="Y717">
        <f t="shared" si="91"/>
        <v>5</v>
      </c>
      <c r="Z717" s="7">
        <f t="shared" si="92"/>
        <v>0</v>
      </c>
      <c r="AA717">
        <f t="shared" si="93"/>
        <v>19901.63</v>
      </c>
      <c r="AB717">
        <f t="shared" si="94"/>
        <v>4409.6000000000004</v>
      </c>
      <c r="AC717" t="str">
        <f t="shared" si="95"/>
        <v>Clean</v>
      </c>
    </row>
    <row r="718" spans="1:29">
      <c r="A718" t="s">
        <v>2169</v>
      </c>
      <c r="B718" s="4">
        <v>45895</v>
      </c>
      <c r="C718" s="4">
        <v>45900</v>
      </c>
      <c r="D718" t="s">
        <v>2170</v>
      </c>
      <c r="E718" t="str">
        <f>PROPER(TRIM([1]raw_orders!E718))</f>
        <v>Diya Patel</v>
      </c>
      <c r="F718" t="str">
        <f>PROPER(TRIM([1]raw_orders!F718))</f>
        <v>Small Business</v>
      </c>
      <c r="G718" t="str">
        <f>IF('[1]Cleaned Text Field'!G718="","Unknown",'[1]Cleaned Text Field'!G718)</f>
        <v>North</v>
      </c>
      <c r="H718" t="str">
        <f>PROPER(TRIM([1]raw_orders!H718))</f>
        <v>Haryana</v>
      </c>
      <c r="I718" t="str">
        <f>PROPER(TRIM([1]raw_orders!I718))</f>
        <v>Gurugram</v>
      </c>
      <c r="J718" t="str">
        <f>PROPER(TRIM([1]raw_orders!J718))</f>
        <v>Technology</v>
      </c>
      <c r="K718" t="str">
        <f>PROPER(TRIM([1]raw_orders!K718))</f>
        <v>Phones</v>
      </c>
      <c r="L718" t="s">
        <v>2171</v>
      </c>
      <c r="M718" t="str">
        <f>IF('[1]Cleaned Text Field'!M718="","Unknown",'[1]Cleaned Text Field'!M718)</f>
        <v>First Class</v>
      </c>
      <c r="N718">
        <f>IF('[1]Cleaned Text Field'!N718="",0,'[1]Cleaned Text Field'!N718)</f>
        <v>1</v>
      </c>
      <c r="O718">
        <v>3388.02</v>
      </c>
      <c r="P718" s="5">
        <f>IF('[1]Cleaned Text Field'!P718="",0,'[1]Cleaned Text Field'!P718)</f>
        <v>0.15</v>
      </c>
      <c r="Q718">
        <v>2879.82</v>
      </c>
      <c r="R718">
        <v>1824.88</v>
      </c>
      <c r="S718">
        <v>1054.94</v>
      </c>
      <c r="T718" t="str">
        <f>PROPER(TRIM([1]raw_orders!T718))</f>
        <v>Paid</v>
      </c>
      <c r="U718" t="str">
        <f>PROPER(TRIM([1]raw_orders!U718))</f>
        <v>Completed</v>
      </c>
      <c r="V718" s="6">
        <f t="shared" si="88"/>
        <v>0.36632150620524895</v>
      </c>
      <c r="W718" t="str">
        <f t="shared" si="89"/>
        <v>August</v>
      </c>
      <c r="X718">
        <f t="shared" si="90"/>
        <v>2025</v>
      </c>
      <c r="Y718">
        <f t="shared" si="91"/>
        <v>5</v>
      </c>
      <c r="Z718" s="7">
        <f t="shared" si="92"/>
        <v>0.15</v>
      </c>
      <c r="AA718">
        <f t="shared" si="93"/>
        <v>2879.817</v>
      </c>
      <c r="AB718">
        <f t="shared" si="94"/>
        <v>1054.94</v>
      </c>
      <c r="AC718" t="str">
        <f t="shared" si="95"/>
        <v>Clean</v>
      </c>
    </row>
    <row r="719" spans="1:29">
      <c r="A719" t="s">
        <v>2172</v>
      </c>
      <c r="B719" s="4">
        <v>46001</v>
      </c>
      <c r="C719" s="4">
        <v>45945</v>
      </c>
      <c r="D719" t="s">
        <v>2173</v>
      </c>
      <c r="E719" t="str">
        <f>PROPER(TRIM([1]raw_orders!E719))</f>
        <v>Kabir Singh</v>
      </c>
      <c r="F719" t="str">
        <f>PROPER(TRIM([1]raw_orders!F719))</f>
        <v>Small Business</v>
      </c>
      <c r="G719" t="str">
        <f>IF('[1]Cleaned Text Field'!G719="","Unknown",'[1]Cleaned Text Field'!G719)</f>
        <v>North</v>
      </c>
      <c r="H719" t="str">
        <f>PROPER(TRIM([1]raw_orders!H719))</f>
        <v>Haryana</v>
      </c>
      <c r="I719" t="str">
        <f>PROPER(TRIM([1]raw_orders!I719))</f>
        <v>Gurugram</v>
      </c>
      <c r="J719" t="str">
        <f>PROPER(TRIM([1]raw_orders!J719))</f>
        <v>Technology</v>
      </c>
      <c r="K719" t="str">
        <f>PROPER(TRIM([1]raw_orders!K719))</f>
        <v>Machines</v>
      </c>
      <c r="L719" t="s">
        <v>2174</v>
      </c>
      <c r="M719" t="str">
        <f>IF('[1]Cleaned Text Field'!M719="","Unknown",'[1]Cleaned Text Field'!M719)</f>
        <v>Standard Class</v>
      </c>
      <c r="N719">
        <f>IF('[1]Cleaned Text Field'!N719="",0,'[1]Cleaned Text Field'!N719)</f>
        <v>9</v>
      </c>
      <c r="O719">
        <v>2598.92</v>
      </c>
      <c r="P719" s="5">
        <f>IF('[1]Cleaned Text Field'!P719="",0,'[1]Cleaned Text Field'!P719)</f>
        <v>0.2</v>
      </c>
      <c r="Q719">
        <v>18712.22</v>
      </c>
      <c r="R719">
        <v>11852.22</v>
      </c>
      <c r="S719">
        <v>6860</v>
      </c>
      <c r="T719" t="str">
        <f>PROPER(TRIM([1]raw_orders!T719))</f>
        <v>Pending</v>
      </c>
      <c r="U719" t="str">
        <f>PROPER(TRIM([1]raw_orders!U719))</f>
        <v>Cancelled</v>
      </c>
      <c r="V719" s="6">
        <f t="shared" si="88"/>
        <v>0.36660535201061123</v>
      </c>
      <c r="W719" t="str">
        <f t="shared" si="89"/>
        <v>December</v>
      </c>
      <c r="X719">
        <f t="shared" si="90"/>
        <v>2025</v>
      </c>
      <c r="Y719">
        <f t="shared" si="91"/>
        <v>-56</v>
      </c>
      <c r="Z719" s="7">
        <f t="shared" si="92"/>
        <v>0.2</v>
      </c>
      <c r="AA719">
        <f t="shared" si="93"/>
        <v>18712.223999999998</v>
      </c>
      <c r="AB719">
        <f t="shared" si="94"/>
        <v>6860.0000000000018</v>
      </c>
      <c r="AC719" t="str">
        <f t="shared" si="95"/>
        <v>Warning</v>
      </c>
    </row>
    <row r="720" spans="1:29">
      <c r="A720" t="s">
        <v>2175</v>
      </c>
      <c r="B720" s="4">
        <v>45541</v>
      </c>
      <c r="C720" s="4">
        <v>45544</v>
      </c>
      <c r="D720" t="s">
        <v>2176</v>
      </c>
      <c r="E720" t="str">
        <f>PROPER(TRIM([1]raw_orders!E720))</f>
        <v>Mira Das</v>
      </c>
      <c r="F720" t="str">
        <f>PROPER(TRIM([1]raw_orders!F720))</f>
        <v>Consumer</v>
      </c>
      <c r="G720" t="str">
        <f>IF('[1]Cleaned Text Field'!G720="","Unknown",'[1]Cleaned Text Field'!G720)</f>
        <v>West</v>
      </c>
      <c r="H720" t="str">
        <f>PROPER(TRIM([1]raw_orders!H720))</f>
        <v>Maharashtra</v>
      </c>
      <c r="I720" t="str">
        <f>PROPER(TRIM([1]raw_orders!I720))</f>
        <v>Mumbai</v>
      </c>
      <c r="J720" t="str">
        <f>PROPER(TRIM([1]raw_orders!J720))</f>
        <v>Office Supplies</v>
      </c>
      <c r="K720" t="str">
        <f>PROPER(TRIM([1]raw_orders!K720))</f>
        <v>Art</v>
      </c>
      <c r="L720" t="s">
        <v>2177</v>
      </c>
      <c r="M720" t="str">
        <f>IF('[1]Cleaned Text Field'!M720="","Unknown",'[1]Cleaned Text Field'!M720)</f>
        <v>Same Day</v>
      </c>
      <c r="N720">
        <f>IF('[1]Cleaned Text Field'!N720="",0,'[1]Cleaned Text Field'!N720)</f>
        <v>3</v>
      </c>
      <c r="O720">
        <v>1972.27</v>
      </c>
      <c r="P720" s="5">
        <f>IF('[1]Cleaned Text Field'!P720="",0,'[1]Cleaned Text Field'!P720)</f>
        <v>0.2</v>
      </c>
      <c r="Q720">
        <v>4733.45</v>
      </c>
      <c r="R720">
        <v>3672.32</v>
      </c>
      <c r="S720">
        <v>1061.1300000000001</v>
      </c>
      <c r="T720" t="str">
        <f>PROPER(TRIM([1]raw_orders!T720))</f>
        <v>Paid</v>
      </c>
      <c r="U720" t="str">
        <f>PROPER(TRIM([1]raw_orders!U720))</f>
        <v>Completed</v>
      </c>
      <c r="V720" s="6">
        <f t="shared" si="88"/>
        <v>0.22417686887999241</v>
      </c>
      <c r="W720" t="str">
        <f t="shared" si="89"/>
        <v>September</v>
      </c>
      <c r="X720">
        <f t="shared" si="90"/>
        <v>2024</v>
      </c>
      <c r="Y720">
        <f t="shared" si="91"/>
        <v>3</v>
      </c>
      <c r="Z720" s="7">
        <f t="shared" si="92"/>
        <v>0.2</v>
      </c>
      <c r="AA720">
        <f t="shared" si="93"/>
        <v>4733.4479999999994</v>
      </c>
      <c r="AB720">
        <f t="shared" si="94"/>
        <v>1061.1299999999997</v>
      </c>
      <c r="AC720" t="str">
        <f t="shared" si="95"/>
        <v>Clean</v>
      </c>
    </row>
    <row r="721" spans="1:29">
      <c r="A721" t="s">
        <v>2178</v>
      </c>
      <c r="B721" s="4">
        <v>45908</v>
      </c>
      <c r="C721" s="4">
        <v>45909</v>
      </c>
      <c r="D721" t="s">
        <v>114</v>
      </c>
      <c r="E721" t="str">
        <f>PROPER(TRIM([1]raw_orders!E721))</f>
        <v>Kabir Singh</v>
      </c>
      <c r="F721" t="str">
        <f>PROPER(TRIM([1]raw_orders!F721))</f>
        <v>Corporate</v>
      </c>
      <c r="G721" t="str">
        <f>IF('[1]Cleaned Text Field'!G721="","Unknown",'[1]Cleaned Text Field'!G721)</f>
        <v>West</v>
      </c>
      <c r="H721" t="str">
        <f>PROPER(TRIM([1]raw_orders!H721))</f>
        <v>Gujarat</v>
      </c>
      <c r="I721" t="str">
        <f>PROPER(TRIM([1]raw_orders!I721))</f>
        <v>Ahmedabad</v>
      </c>
      <c r="J721" t="str">
        <f>PROPER(TRIM([1]raw_orders!J721))</f>
        <v>Office Supplies</v>
      </c>
      <c r="K721" t="str">
        <f>PROPER(TRIM([1]raw_orders!K721))</f>
        <v>Art</v>
      </c>
      <c r="L721" t="s">
        <v>2179</v>
      </c>
      <c r="M721" t="str">
        <f>IF('[1]Cleaned Text Field'!M721="","Unknown",'[1]Cleaned Text Field'!M721)</f>
        <v>Same Day</v>
      </c>
      <c r="N721">
        <f>IF('[1]Cleaned Text Field'!N721="",0,'[1]Cleaned Text Field'!N721)</f>
        <v>2</v>
      </c>
      <c r="O721">
        <v>2372.41</v>
      </c>
      <c r="P721" s="5">
        <f>IF('[1]Cleaned Text Field'!P721="",0,'[1]Cleaned Text Field'!P721)</f>
        <v>0.2</v>
      </c>
      <c r="Q721">
        <v>3795.86</v>
      </c>
      <c r="R721">
        <v>2264.92</v>
      </c>
      <c r="S721">
        <v>1530.94</v>
      </c>
      <c r="T721" t="str">
        <f>PROPER(TRIM([1]raw_orders!T721))</f>
        <v>Paid</v>
      </c>
      <c r="U721" t="str">
        <f>PROPER(TRIM([1]raw_orders!U721))</f>
        <v>Completed</v>
      </c>
      <c r="V721" s="6">
        <f t="shared" si="88"/>
        <v>0.40331835209939249</v>
      </c>
      <c r="W721" t="str">
        <f t="shared" si="89"/>
        <v>September</v>
      </c>
      <c r="X721">
        <f t="shared" si="90"/>
        <v>2025</v>
      </c>
      <c r="Y721">
        <f t="shared" si="91"/>
        <v>1</v>
      </c>
      <c r="Z721" s="7">
        <f t="shared" si="92"/>
        <v>0.2</v>
      </c>
      <c r="AA721">
        <f t="shared" si="93"/>
        <v>3795.8559999999998</v>
      </c>
      <c r="AB721">
        <f t="shared" si="94"/>
        <v>1530.94</v>
      </c>
      <c r="AC721" t="str">
        <f t="shared" si="95"/>
        <v>Clean</v>
      </c>
    </row>
    <row r="722" spans="1:29">
      <c r="A722" t="s">
        <v>2180</v>
      </c>
      <c r="B722" s="4">
        <v>45489</v>
      </c>
      <c r="C722" s="4">
        <v>45489</v>
      </c>
      <c r="D722" t="s">
        <v>2181</v>
      </c>
      <c r="E722" t="str">
        <f>PROPER(TRIM([1]raw_orders!E722))</f>
        <v>Aditi Sen</v>
      </c>
      <c r="F722" t="str">
        <f>PROPER(TRIM([1]raw_orders!F722))</f>
        <v>Home Office</v>
      </c>
      <c r="G722" t="str">
        <f>IF('[1]Cleaned Text Field'!G722="","Unknown",'[1]Cleaned Text Field'!G722)</f>
        <v>West</v>
      </c>
      <c r="H722" t="str">
        <f>PROPER(TRIM([1]raw_orders!H722))</f>
        <v>Madhya Pradesh</v>
      </c>
      <c r="I722" t="str">
        <f>PROPER(TRIM([1]raw_orders!I722))</f>
        <v>Indore</v>
      </c>
      <c r="J722" t="str">
        <f>PROPER(TRIM([1]raw_orders!J722))</f>
        <v>Technology</v>
      </c>
      <c r="K722" t="str">
        <f>PROPER(TRIM([1]raw_orders!K722))</f>
        <v>Copiers</v>
      </c>
      <c r="L722" t="s">
        <v>2182</v>
      </c>
      <c r="M722" t="str">
        <f>IF('[1]Cleaned Text Field'!M722="","Unknown",'[1]Cleaned Text Field'!M722)</f>
        <v>Same Day</v>
      </c>
      <c r="N722">
        <f>IF('[1]Cleaned Text Field'!N722="",0,'[1]Cleaned Text Field'!N722)</f>
        <v>4</v>
      </c>
      <c r="O722">
        <v>4479.92</v>
      </c>
      <c r="P722" s="5">
        <f>IF('[1]Cleaned Text Field'!P722="",0,'[1]Cleaned Text Field'!P722)</f>
        <v>0.15</v>
      </c>
      <c r="Q722">
        <v>15231.73</v>
      </c>
      <c r="R722">
        <v>12451.46</v>
      </c>
      <c r="S722">
        <v>2780.27</v>
      </c>
      <c r="T722" t="str">
        <f>PROPER(TRIM([1]raw_orders!T722))</f>
        <v>Paid</v>
      </c>
      <c r="U722" t="str">
        <f>PROPER(TRIM([1]raw_orders!U722))</f>
        <v>Completed</v>
      </c>
      <c r="V722" s="6">
        <f t="shared" si="88"/>
        <v>0.18253146556563174</v>
      </c>
      <c r="W722" t="str">
        <f t="shared" si="89"/>
        <v>July</v>
      </c>
      <c r="X722">
        <f t="shared" si="90"/>
        <v>2024</v>
      </c>
      <c r="Y722">
        <f t="shared" si="91"/>
        <v>0</v>
      </c>
      <c r="Z722" s="7">
        <f t="shared" si="92"/>
        <v>0.15</v>
      </c>
      <c r="AA722">
        <f t="shared" si="93"/>
        <v>15231.727999999999</v>
      </c>
      <c r="AB722">
        <f t="shared" si="94"/>
        <v>2780.2700000000004</v>
      </c>
      <c r="AC722" t="str">
        <f t="shared" si="95"/>
        <v>Clean</v>
      </c>
    </row>
    <row r="723" spans="1:29">
      <c r="A723" t="s">
        <v>2183</v>
      </c>
      <c r="B723" s="4">
        <v>45827</v>
      </c>
      <c r="C723" s="4">
        <v>45831</v>
      </c>
      <c r="D723" t="s">
        <v>2184</v>
      </c>
      <c r="E723" t="str">
        <f>PROPER(TRIM([1]raw_orders!E723))</f>
        <v>Sneha Kapoor</v>
      </c>
      <c r="F723" t="str">
        <f>PROPER(TRIM([1]raw_orders!F723))</f>
        <v>Consumer</v>
      </c>
      <c r="G723" t="str">
        <f>IF('[1]Cleaned Text Field'!G723="","Unknown",'[1]Cleaned Text Field'!G723)</f>
        <v>South</v>
      </c>
      <c r="H723" t="str">
        <f>PROPER(TRIM([1]raw_orders!H723))</f>
        <v>Karnataka</v>
      </c>
      <c r="I723" t="str">
        <f>PROPER(TRIM([1]raw_orders!I723))</f>
        <v>Bengaluru</v>
      </c>
      <c r="J723" t="str">
        <f>PROPER(TRIM([1]raw_orders!J723))</f>
        <v>Technology</v>
      </c>
      <c r="K723" t="str">
        <f>PROPER(TRIM([1]raw_orders!K723))</f>
        <v>Copiers</v>
      </c>
      <c r="L723" t="s">
        <v>2185</v>
      </c>
      <c r="M723" t="str">
        <f>IF('[1]Cleaned Text Field'!M723="","Unknown",'[1]Cleaned Text Field'!M723)</f>
        <v>First Class</v>
      </c>
      <c r="N723">
        <f>IF('[1]Cleaned Text Field'!N723="",0,'[1]Cleaned Text Field'!N723)</f>
        <v>5</v>
      </c>
      <c r="O723">
        <v>2729.95</v>
      </c>
      <c r="P723" s="5">
        <f>IF('[1]Cleaned Text Field'!P723="",0,'[1]Cleaned Text Field'!P723)</f>
        <v>0</v>
      </c>
      <c r="Q723">
        <v>13649.75</v>
      </c>
      <c r="R723">
        <v>10288.030000000001</v>
      </c>
      <c r="S723">
        <v>3361.72</v>
      </c>
      <c r="T723" t="str">
        <f>PROPER(TRIM([1]raw_orders!T723))</f>
        <v>Paid</v>
      </c>
      <c r="U723" t="str">
        <f>PROPER(TRIM([1]raw_orders!U723))</f>
        <v>Completed</v>
      </c>
      <c r="V723" s="6">
        <f t="shared" si="88"/>
        <v>0.24628436418249416</v>
      </c>
      <c r="W723" t="str">
        <f t="shared" si="89"/>
        <v>June</v>
      </c>
      <c r="X723">
        <f t="shared" si="90"/>
        <v>2025</v>
      </c>
      <c r="Y723">
        <f t="shared" si="91"/>
        <v>4</v>
      </c>
      <c r="Z723" s="7">
        <f t="shared" si="92"/>
        <v>0</v>
      </c>
      <c r="AA723">
        <f t="shared" si="93"/>
        <v>13649.75</v>
      </c>
      <c r="AB723">
        <f t="shared" si="94"/>
        <v>3361.7199999999993</v>
      </c>
      <c r="AC723" t="str">
        <f t="shared" si="95"/>
        <v>Clean</v>
      </c>
    </row>
    <row r="724" spans="1:29">
      <c r="A724" t="s">
        <v>2186</v>
      </c>
      <c r="B724" s="4">
        <v>45572</v>
      </c>
      <c r="C724" s="4">
        <v>45575</v>
      </c>
      <c r="D724" t="s">
        <v>2187</v>
      </c>
      <c r="E724" t="str">
        <f>PROPER(TRIM([1]raw_orders!E724))</f>
        <v>Vikram Iyer</v>
      </c>
      <c r="F724" t="str">
        <f>PROPER(TRIM([1]raw_orders!F724))</f>
        <v>Consumer</v>
      </c>
      <c r="G724" t="str">
        <f>IF('[1]Cleaned Text Field'!G724="","Unknown",'[1]Cleaned Text Field'!G724)</f>
        <v>East</v>
      </c>
      <c r="H724" t="str">
        <f>PROPER(TRIM([1]raw_orders!H724))</f>
        <v>West Bengal</v>
      </c>
      <c r="I724" t="str">
        <f>PROPER(TRIM([1]raw_orders!I724))</f>
        <v>Kolkata</v>
      </c>
      <c r="J724" t="str">
        <f>PROPER(TRIM([1]raw_orders!J724))</f>
        <v>Furniture</v>
      </c>
      <c r="K724" t="str">
        <f>PROPER(TRIM([1]raw_orders!K724))</f>
        <v>Chairs</v>
      </c>
      <c r="L724" t="s">
        <v>2188</v>
      </c>
      <c r="M724" t="str">
        <f>IF('[1]Cleaned Text Field'!M724="","Unknown",'[1]Cleaned Text Field'!M724)</f>
        <v>Second Class</v>
      </c>
      <c r="N724">
        <f>IF('[1]Cleaned Text Field'!N724="",0,'[1]Cleaned Text Field'!N724)</f>
        <v>9</v>
      </c>
      <c r="O724">
        <v>481.51</v>
      </c>
      <c r="P724" s="5">
        <f>IF('[1]Cleaned Text Field'!P724="",0,'[1]Cleaned Text Field'!P724)</f>
        <v>0</v>
      </c>
      <c r="Q724">
        <v>4333.59</v>
      </c>
      <c r="R724">
        <v>2533.59</v>
      </c>
      <c r="S724">
        <v>1800</v>
      </c>
      <c r="T724" t="str">
        <f>PROPER(TRIM([1]raw_orders!T724))</f>
        <v>Refunded</v>
      </c>
      <c r="U724" t="str">
        <f>PROPER(TRIM([1]raw_orders!U724))</f>
        <v>Cancelled</v>
      </c>
      <c r="V724" s="6">
        <f t="shared" si="88"/>
        <v>0.41536001329152039</v>
      </c>
      <c r="W724" t="str">
        <f t="shared" si="89"/>
        <v>October</v>
      </c>
      <c r="X724">
        <f t="shared" si="90"/>
        <v>2024</v>
      </c>
      <c r="Y724">
        <f t="shared" si="91"/>
        <v>3</v>
      </c>
      <c r="Z724" s="7">
        <f t="shared" si="92"/>
        <v>0</v>
      </c>
      <c r="AA724">
        <f t="shared" si="93"/>
        <v>4333.59</v>
      </c>
      <c r="AB724">
        <f t="shared" si="94"/>
        <v>1800</v>
      </c>
      <c r="AC724" t="str">
        <f t="shared" si="95"/>
        <v>Clean</v>
      </c>
    </row>
    <row r="725" spans="1:29">
      <c r="A725" t="s">
        <v>2189</v>
      </c>
      <c r="B725" s="4">
        <v>45936</v>
      </c>
      <c r="C725" s="4">
        <v>45943</v>
      </c>
      <c r="D725" t="s">
        <v>2190</v>
      </c>
      <c r="E725" t="str">
        <f>PROPER(TRIM([1]raw_orders!E725))</f>
        <v>Kabir Singh</v>
      </c>
      <c r="F725" t="str">
        <f>PROPER(TRIM([1]raw_orders!F725))</f>
        <v>Home Office</v>
      </c>
      <c r="G725" t="str">
        <f>IF('[1]Cleaned Text Field'!G725="","Unknown",'[1]Cleaned Text Field'!G725)</f>
        <v>East</v>
      </c>
      <c r="H725" t="str">
        <f>PROPER(TRIM([1]raw_orders!H725))</f>
        <v>Jharkhand</v>
      </c>
      <c r="I725" t="str">
        <f>PROPER(TRIM([1]raw_orders!I725))</f>
        <v>Ranchi</v>
      </c>
      <c r="J725" t="str">
        <f>PROPER(TRIM([1]raw_orders!J725))</f>
        <v>Technology</v>
      </c>
      <c r="K725" t="str">
        <f>PROPER(TRIM([1]raw_orders!K725))</f>
        <v>Accessories</v>
      </c>
      <c r="L725" t="s">
        <v>2191</v>
      </c>
      <c r="M725" t="str">
        <f>IF('[1]Cleaned Text Field'!M725="","Unknown",'[1]Cleaned Text Field'!M725)</f>
        <v>Standard Class</v>
      </c>
      <c r="N725">
        <f>IF('[1]Cleaned Text Field'!N725="",0,'[1]Cleaned Text Field'!N725)</f>
        <v>6</v>
      </c>
      <c r="O725">
        <v>2391.9299999999998</v>
      </c>
      <c r="P725" s="5">
        <f>IF('[1]Cleaned Text Field'!P725="",0,'[1]Cleaned Text Field'!P725)</f>
        <v>0.05</v>
      </c>
      <c r="Q725">
        <v>13634</v>
      </c>
      <c r="R725">
        <v>9589.81</v>
      </c>
      <c r="S725">
        <v>4044.19</v>
      </c>
      <c r="T725" t="str">
        <f>PROPER(TRIM([1]raw_orders!T725))</f>
        <v>Failed</v>
      </c>
      <c r="U725" t="str">
        <f>PROPER(TRIM([1]raw_orders!U725))</f>
        <v>Returned</v>
      </c>
      <c r="V725" s="6">
        <f t="shared" si="88"/>
        <v>0.29662534839372157</v>
      </c>
      <c r="W725" t="str">
        <f t="shared" si="89"/>
        <v>October</v>
      </c>
      <c r="X725">
        <f t="shared" si="90"/>
        <v>2025</v>
      </c>
      <c r="Y725">
        <f t="shared" si="91"/>
        <v>7</v>
      </c>
      <c r="Z725" s="7">
        <f t="shared" si="92"/>
        <v>0.05</v>
      </c>
      <c r="AA725">
        <f t="shared" si="93"/>
        <v>13634.000999999998</v>
      </c>
      <c r="AB725">
        <f t="shared" si="94"/>
        <v>4044.1900000000005</v>
      </c>
      <c r="AC725" t="str">
        <f t="shared" si="95"/>
        <v>Clean</v>
      </c>
    </row>
    <row r="726" spans="1:29">
      <c r="A726" t="s">
        <v>2192</v>
      </c>
      <c r="B726" s="4">
        <v>45332</v>
      </c>
      <c r="C726" s="4">
        <v>45338</v>
      </c>
      <c r="D726" t="s">
        <v>2193</v>
      </c>
      <c r="E726" t="str">
        <f>PROPER(TRIM([1]raw_orders!E726))</f>
        <v>Karan Malhotra</v>
      </c>
      <c r="F726" t="str">
        <f>PROPER(TRIM([1]raw_orders!F726))</f>
        <v>Consumer</v>
      </c>
      <c r="G726" t="str">
        <f>IF('[1]Cleaned Text Field'!G726="","Unknown",'[1]Cleaned Text Field'!G726)</f>
        <v>West</v>
      </c>
      <c r="H726" t="str">
        <f>PROPER(TRIM([1]raw_orders!H726))</f>
        <v>Goa</v>
      </c>
      <c r="I726" t="str">
        <f>PROPER(TRIM([1]raw_orders!I726))</f>
        <v>Panaji</v>
      </c>
      <c r="J726" t="str">
        <f>PROPER(TRIM([1]raw_orders!J726))</f>
        <v>Furniture</v>
      </c>
      <c r="K726" t="str">
        <f>PROPER(TRIM([1]raw_orders!K726))</f>
        <v>Furnishings</v>
      </c>
      <c r="L726" t="s">
        <v>2194</v>
      </c>
      <c r="M726" t="str">
        <f>IF('[1]Cleaned Text Field'!M726="","Unknown",'[1]Cleaned Text Field'!M726)</f>
        <v>Second Class</v>
      </c>
      <c r="N726">
        <f>IF('[1]Cleaned Text Field'!N726="",0,'[1]Cleaned Text Field'!N726)</f>
        <v>3</v>
      </c>
      <c r="O726">
        <v>253.43</v>
      </c>
      <c r="P726" s="5">
        <f>IF('[1]Cleaned Text Field'!P726="",0,'[1]Cleaned Text Field'!P726)</f>
        <v>0</v>
      </c>
      <c r="Q726">
        <v>760.29</v>
      </c>
      <c r="R726">
        <v>497.77</v>
      </c>
      <c r="S726">
        <v>262.52</v>
      </c>
      <c r="T726" t="str">
        <f>PROPER(TRIM([1]raw_orders!T726))</f>
        <v>Paid</v>
      </c>
      <c r="U726" t="str">
        <f>PROPER(TRIM([1]raw_orders!U726))</f>
        <v>Completed</v>
      </c>
      <c r="V726" s="6">
        <f t="shared" si="88"/>
        <v>0.34528929750489945</v>
      </c>
      <c r="W726" t="str">
        <f t="shared" si="89"/>
        <v>February</v>
      </c>
      <c r="X726">
        <f t="shared" si="90"/>
        <v>2024</v>
      </c>
      <c r="Y726">
        <f t="shared" si="91"/>
        <v>6</v>
      </c>
      <c r="Z726" s="7">
        <f t="shared" si="92"/>
        <v>0</v>
      </c>
      <c r="AA726">
        <f t="shared" si="93"/>
        <v>760.29</v>
      </c>
      <c r="AB726">
        <f t="shared" si="94"/>
        <v>262.52</v>
      </c>
      <c r="AC726" t="str">
        <f t="shared" si="95"/>
        <v>Clean</v>
      </c>
    </row>
    <row r="727" spans="1:29">
      <c r="A727" t="s">
        <v>2195</v>
      </c>
      <c r="B727" s="4">
        <v>45935</v>
      </c>
      <c r="C727" s="4">
        <v>45942</v>
      </c>
      <c r="D727" t="s">
        <v>2196</v>
      </c>
      <c r="E727" t="str">
        <f>PROPER(TRIM([1]raw_orders!E727))</f>
        <v>Priya Menon</v>
      </c>
      <c r="F727" t="str">
        <f>PROPER(TRIM([1]raw_orders!F727))</f>
        <v>Corporate</v>
      </c>
      <c r="G727" t="str">
        <f>IF('[1]Cleaned Text Field'!G727="","Unknown",'[1]Cleaned Text Field'!G727)</f>
        <v>South</v>
      </c>
      <c r="H727" t="str">
        <f>PROPER(TRIM([1]raw_orders!H727))</f>
        <v>Karnataka</v>
      </c>
      <c r="I727" t="str">
        <f>PROPER(TRIM([1]raw_orders!I727))</f>
        <v>Bengaluru</v>
      </c>
      <c r="J727" t="str">
        <f>PROPER(TRIM([1]raw_orders!J727))</f>
        <v>Furniture</v>
      </c>
      <c r="K727" t="str">
        <f>PROPER(TRIM([1]raw_orders!K727))</f>
        <v>Tables</v>
      </c>
      <c r="L727" t="s">
        <v>2197</v>
      </c>
      <c r="M727" t="str">
        <f>IF('[1]Cleaned Text Field'!M727="","Unknown",'[1]Cleaned Text Field'!M727)</f>
        <v>Second Class</v>
      </c>
      <c r="N727">
        <f>IF('[1]Cleaned Text Field'!N727="",0,'[1]Cleaned Text Field'!N727)</f>
        <v>7</v>
      </c>
      <c r="O727">
        <v>2134.73</v>
      </c>
      <c r="P727" s="5">
        <f>IF('[1]Cleaned Text Field'!P727="",0,'[1]Cleaned Text Field'!P727)</f>
        <v>0</v>
      </c>
      <c r="Q727">
        <v>14943.11</v>
      </c>
      <c r="R727">
        <v>8521.5</v>
      </c>
      <c r="S727">
        <v>6421.61</v>
      </c>
      <c r="T727" t="str">
        <f>PROPER(TRIM([1]raw_orders!T727))</f>
        <v>Paid</v>
      </c>
      <c r="U727" t="str">
        <f>PROPER(TRIM([1]raw_orders!U727))</f>
        <v>Completed</v>
      </c>
      <c r="V727" s="6">
        <f t="shared" si="88"/>
        <v>0.42973718322357257</v>
      </c>
      <c r="W727" t="str">
        <f t="shared" si="89"/>
        <v>October</v>
      </c>
      <c r="X727">
        <f t="shared" si="90"/>
        <v>2025</v>
      </c>
      <c r="Y727">
        <f t="shared" si="91"/>
        <v>7</v>
      </c>
      <c r="Z727" s="7">
        <f t="shared" si="92"/>
        <v>0</v>
      </c>
      <c r="AA727">
        <f t="shared" si="93"/>
        <v>14943.11</v>
      </c>
      <c r="AB727">
        <f t="shared" si="94"/>
        <v>6421.6100000000006</v>
      </c>
      <c r="AC727" t="str">
        <f t="shared" si="95"/>
        <v>Clean</v>
      </c>
    </row>
    <row r="728" spans="1:29">
      <c r="A728" t="s">
        <v>2198</v>
      </c>
      <c r="B728" s="4">
        <v>45308</v>
      </c>
      <c r="C728" s="4">
        <v>45314</v>
      </c>
      <c r="D728" t="s">
        <v>2199</v>
      </c>
      <c r="E728" t="str">
        <f>PROPER(TRIM([1]raw_orders!E728))</f>
        <v>Kabir Singh</v>
      </c>
      <c r="F728" t="str">
        <f>PROPER(TRIM([1]raw_orders!F728))</f>
        <v>Home Office</v>
      </c>
      <c r="G728" t="str">
        <f>IF('[1]Cleaned Text Field'!G728="","Unknown",'[1]Cleaned Text Field'!G728)</f>
        <v>West</v>
      </c>
      <c r="H728" t="str">
        <f>PROPER(TRIM([1]raw_orders!H728))</f>
        <v>Gujarat</v>
      </c>
      <c r="I728" t="str">
        <f>PROPER(TRIM([1]raw_orders!I728))</f>
        <v>Ahmedabad</v>
      </c>
      <c r="J728" t="str">
        <f>PROPER(TRIM([1]raw_orders!J728))</f>
        <v>Technology</v>
      </c>
      <c r="K728" t="str">
        <f>PROPER(TRIM([1]raw_orders!K728))</f>
        <v>Phones</v>
      </c>
      <c r="L728" t="s">
        <v>2200</v>
      </c>
      <c r="M728" t="str">
        <f>IF('[1]Cleaned Text Field'!M728="","Unknown",'[1]Cleaned Text Field'!M728)</f>
        <v>Standard Class</v>
      </c>
      <c r="N728">
        <f>IF('[1]Cleaned Text Field'!N728="",0,'[1]Cleaned Text Field'!N728)</f>
        <v>5</v>
      </c>
      <c r="O728">
        <v>2018</v>
      </c>
      <c r="P728" s="5">
        <f>IF('[1]Cleaned Text Field'!P728="",0,'[1]Cleaned Text Field'!P728)</f>
        <v>0.2</v>
      </c>
      <c r="Q728">
        <v>8072</v>
      </c>
      <c r="R728">
        <v>5379.22</v>
      </c>
      <c r="S728">
        <v>2692.78</v>
      </c>
      <c r="T728" t="str">
        <f>PROPER(TRIM([1]raw_orders!T728))</f>
        <v>Pending</v>
      </c>
      <c r="U728" t="str">
        <f>PROPER(TRIM([1]raw_orders!U728))</f>
        <v>Returned</v>
      </c>
      <c r="V728" s="6">
        <f t="shared" si="88"/>
        <v>0.33359514370664028</v>
      </c>
      <c r="W728" t="str">
        <f t="shared" si="89"/>
        <v>January</v>
      </c>
      <c r="X728">
        <f t="shared" si="90"/>
        <v>2024</v>
      </c>
      <c r="Y728">
        <f t="shared" si="91"/>
        <v>6</v>
      </c>
      <c r="Z728" s="7">
        <f t="shared" si="92"/>
        <v>0.2</v>
      </c>
      <c r="AA728">
        <f t="shared" si="93"/>
        <v>8072</v>
      </c>
      <c r="AB728">
        <f t="shared" si="94"/>
        <v>2692.7799999999997</v>
      </c>
      <c r="AC728" t="str">
        <f t="shared" si="95"/>
        <v>Clean</v>
      </c>
    </row>
    <row r="729" spans="1:29">
      <c r="A729" t="s">
        <v>2201</v>
      </c>
      <c r="B729" s="4">
        <v>45578</v>
      </c>
      <c r="C729" s="4">
        <v>45578</v>
      </c>
      <c r="D729" t="s">
        <v>2202</v>
      </c>
      <c r="E729" t="str">
        <f>PROPER(TRIM([1]raw_orders!E729))</f>
        <v>Aarav Sharma</v>
      </c>
      <c r="F729" t="str">
        <f>PROPER(TRIM([1]raw_orders!F729))</f>
        <v>Small Business</v>
      </c>
      <c r="G729" t="str">
        <f>IF('[1]Cleaned Text Field'!G729="","Unknown",'[1]Cleaned Text Field'!G729)</f>
        <v>East</v>
      </c>
      <c r="H729" t="str">
        <f>PROPER(TRIM([1]raw_orders!H729))</f>
        <v>Assam</v>
      </c>
      <c r="I729" t="str">
        <f>PROPER(TRIM([1]raw_orders!I729))</f>
        <v>Guwahati</v>
      </c>
      <c r="J729" t="str">
        <f>PROPER(TRIM([1]raw_orders!J729))</f>
        <v>Technology</v>
      </c>
      <c r="K729" t="str">
        <f>PROPER(TRIM([1]raw_orders!K729))</f>
        <v>Accessories</v>
      </c>
      <c r="L729" t="s">
        <v>2203</v>
      </c>
      <c r="M729" t="str">
        <f>IF('[1]Cleaned Text Field'!M729="","Unknown",'[1]Cleaned Text Field'!M729)</f>
        <v>Second Class</v>
      </c>
      <c r="N729">
        <f>IF('[1]Cleaned Text Field'!N729="",0,'[1]Cleaned Text Field'!N729)</f>
        <v>8</v>
      </c>
      <c r="O729">
        <v>3730.66</v>
      </c>
      <c r="P729" s="5">
        <f>IF('[1]Cleaned Text Field'!P729="",0,'[1]Cleaned Text Field'!P729)</f>
        <v>0.05</v>
      </c>
      <c r="Q729">
        <v>28353.02</v>
      </c>
      <c r="R729">
        <v>19257.849999999999</v>
      </c>
      <c r="S729">
        <v>9095.17</v>
      </c>
      <c r="T729" t="str">
        <f>PROPER(TRIM([1]raw_orders!T729))</f>
        <v>Paid</v>
      </c>
      <c r="U729" t="str">
        <f>PROPER(TRIM([1]raw_orders!U729))</f>
        <v>Completed</v>
      </c>
      <c r="V729" s="6">
        <f t="shared" si="88"/>
        <v>0.32078311234570428</v>
      </c>
      <c r="W729" t="str">
        <f t="shared" si="89"/>
        <v>October</v>
      </c>
      <c r="X729">
        <f t="shared" si="90"/>
        <v>2024</v>
      </c>
      <c r="Y729">
        <f t="shared" si="91"/>
        <v>0</v>
      </c>
      <c r="Z729" s="7">
        <f t="shared" si="92"/>
        <v>0.05</v>
      </c>
      <c r="AA729">
        <f t="shared" si="93"/>
        <v>28353.015999999996</v>
      </c>
      <c r="AB729">
        <f t="shared" si="94"/>
        <v>9095.1700000000019</v>
      </c>
      <c r="AC729" t="str">
        <f t="shared" si="95"/>
        <v>Clean</v>
      </c>
    </row>
    <row r="730" spans="1:29">
      <c r="A730" t="s">
        <v>2204</v>
      </c>
      <c r="B730" s="4">
        <v>45295</v>
      </c>
      <c r="C730" s="4">
        <v>45474</v>
      </c>
      <c r="D730" t="s">
        <v>2205</v>
      </c>
      <c r="E730" t="str">
        <f>PROPER(TRIM([1]raw_orders!E730))</f>
        <v>Sneha Kapoor</v>
      </c>
      <c r="F730" t="str">
        <f>PROPER(TRIM([1]raw_orders!F730))</f>
        <v>Small Business</v>
      </c>
      <c r="G730" t="str">
        <f>IF('[1]Cleaned Text Field'!G730="","Unknown",'[1]Cleaned Text Field'!G730)</f>
        <v>South</v>
      </c>
      <c r="H730" t="str">
        <f>PROPER(TRIM([1]raw_orders!H730))</f>
        <v>Karnataka</v>
      </c>
      <c r="I730" t="str">
        <f>PROPER(TRIM([1]raw_orders!I730))</f>
        <v>Bengaluru</v>
      </c>
      <c r="J730" t="str">
        <f>PROPER(TRIM([1]raw_orders!J730))</f>
        <v>Technology</v>
      </c>
      <c r="K730" t="str">
        <f>PROPER(TRIM([1]raw_orders!K730))</f>
        <v>Machines</v>
      </c>
      <c r="L730" t="s">
        <v>2206</v>
      </c>
      <c r="M730" t="str">
        <f>IF('[1]Cleaned Text Field'!M730="","Unknown",'[1]Cleaned Text Field'!M730)</f>
        <v>First Class</v>
      </c>
      <c r="N730">
        <f>IF('[1]Cleaned Text Field'!N730="",0,'[1]Cleaned Text Field'!N730)</f>
        <v>1</v>
      </c>
      <c r="O730">
        <v>2363.02</v>
      </c>
      <c r="P730" s="5">
        <f>IF('[1]Cleaned Text Field'!P730="",0,'[1]Cleaned Text Field'!P730)</f>
        <v>0.15</v>
      </c>
      <c r="Q730">
        <v>2008.57</v>
      </c>
      <c r="R730">
        <v>1194.83</v>
      </c>
      <c r="S730">
        <v>813.74</v>
      </c>
      <c r="T730" t="str">
        <f>PROPER(TRIM([1]raw_orders!T730))</f>
        <v>Paid</v>
      </c>
      <c r="U730" t="str">
        <f>PROPER(TRIM([1]raw_orders!U730))</f>
        <v>Completed</v>
      </c>
      <c r="V730" s="6">
        <f t="shared" si="88"/>
        <v>0.40513400080654399</v>
      </c>
      <c r="W730" t="str">
        <f t="shared" si="89"/>
        <v>January</v>
      </c>
      <c r="X730">
        <f t="shared" si="90"/>
        <v>2024</v>
      </c>
      <c r="Y730">
        <f t="shared" si="91"/>
        <v>179</v>
      </c>
      <c r="Z730" s="7">
        <f t="shared" si="92"/>
        <v>0.15</v>
      </c>
      <c r="AA730">
        <f t="shared" si="93"/>
        <v>2008.567</v>
      </c>
      <c r="AB730">
        <f t="shared" si="94"/>
        <v>813.74</v>
      </c>
      <c r="AC730" t="str">
        <f t="shared" si="95"/>
        <v>Clean</v>
      </c>
    </row>
    <row r="731" spans="1:29">
      <c r="A731" t="s">
        <v>2207</v>
      </c>
      <c r="B731" s="4">
        <v>45794</v>
      </c>
      <c r="C731" s="4">
        <v>45802</v>
      </c>
      <c r="D731" t="s">
        <v>2208</v>
      </c>
      <c r="E731" t="str">
        <f>PROPER(TRIM([1]raw_orders!E731))</f>
        <v>Ananya Rao</v>
      </c>
      <c r="F731" t="str">
        <f>PROPER(TRIM([1]raw_orders!F731))</f>
        <v>Corporate</v>
      </c>
      <c r="G731" t="str">
        <f>IF('[1]Cleaned Text Field'!G731="","Unknown",'[1]Cleaned Text Field'!G731)</f>
        <v>South</v>
      </c>
      <c r="H731" t="str">
        <f>PROPER(TRIM([1]raw_orders!H731))</f>
        <v>Tamil Nadu</v>
      </c>
      <c r="I731" t="str">
        <f>PROPER(TRIM([1]raw_orders!I731))</f>
        <v>Chennai</v>
      </c>
      <c r="J731" t="str">
        <f>PROPER(TRIM([1]raw_orders!J731))</f>
        <v>Technology</v>
      </c>
      <c r="K731" t="str">
        <f>PROPER(TRIM([1]raw_orders!K731))</f>
        <v>Machines</v>
      </c>
      <c r="L731" t="s">
        <v>2209</v>
      </c>
      <c r="M731" t="str">
        <f>IF('[1]Cleaned Text Field'!M731="","Unknown",'[1]Cleaned Text Field'!M731)</f>
        <v>Same Day</v>
      </c>
      <c r="N731">
        <f>IF('[1]Cleaned Text Field'!N731="",0,'[1]Cleaned Text Field'!N731)</f>
        <v>6</v>
      </c>
      <c r="O731">
        <v>1810.63</v>
      </c>
      <c r="P731" s="5">
        <f>IF('[1]Cleaned Text Field'!P731="",0,'[1]Cleaned Text Field'!P731)</f>
        <v>0.15</v>
      </c>
      <c r="Q731">
        <v>9234.2099999999991</v>
      </c>
      <c r="R731">
        <v>5516.52</v>
      </c>
      <c r="S731">
        <v>3717.69</v>
      </c>
      <c r="T731" t="str">
        <f>PROPER(TRIM([1]raw_orders!T731))</f>
        <v>Paid</v>
      </c>
      <c r="U731" t="str">
        <f>PROPER(TRIM([1]raw_orders!U731))</f>
        <v>Completed</v>
      </c>
      <c r="V731" s="6">
        <f t="shared" si="88"/>
        <v>0.4025996809689189</v>
      </c>
      <c r="W731" t="str">
        <f t="shared" si="89"/>
        <v>May</v>
      </c>
      <c r="X731">
        <f t="shared" si="90"/>
        <v>2025</v>
      </c>
      <c r="Y731">
        <f t="shared" si="91"/>
        <v>8</v>
      </c>
      <c r="Z731" s="7">
        <f t="shared" si="92"/>
        <v>0.15</v>
      </c>
      <c r="AA731">
        <f t="shared" si="93"/>
        <v>9234.2129999999997</v>
      </c>
      <c r="AB731">
        <f t="shared" si="94"/>
        <v>3717.6899999999987</v>
      </c>
      <c r="AC731" t="str">
        <f t="shared" si="95"/>
        <v>Clean</v>
      </c>
    </row>
    <row r="732" spans="1:29">
      <c r="A732" t="s">
        <v>2210</v>
      </c>
      <c r="B732" s="4">
        <v>45827</v>
      </c>
      <c r="C732" s="4">
        <v>45832</v>
      </c>
      <c r="D732" t="s">
        <v>2211</v>
      </c>
      <c r="E732" t="str">
        <f>PROPER(TRIM([1]raw_orders!E732))</f>
        <v>Arjun Bose</v>
      </c>
      <c r="F732" t="str">
        <f>PROPER(TRIM([1]raw_orders!F732))</f>
        <v>Consumer</v>
      </c>
      <c r="G732" t="str">
        <f>IF('[1]Cleaned Text Field'!G732="","Unknown",'[1]Cleaned Text Field'!G732)</f>
        <v>East</v>
      </c>
      <c r="H732" t="str">
        <f>PROPER(TRIM([1]raw_orders!H732))</f>
        <v>West Bengal</v>
      </c>
      <c r="I732" t="str">
        <f>PROPER(TRIM([1]raw_orders!I732))</f>
        <v>Kolkata</v>
      </c>
      <c r="J732" t="str">
        <f>PROPER(TRIM([1]raw_orders!J732))</f>
        <v>Office Supplies</v>
      </c>
      <c r="K732" t="str">
        <f>PROPER(TRIM([1]raw_orders!K732))</f>
        <v>Art</v>
      </c>
      <c r="L732" t="s">
        <v>2212</v>
      </c>
      <c r="M732" t="str">
        <f>IF('[1]Cleaned Text Field'!M732="","Unknown",'[1]Cleaned Text Field'!M732)</f>
        <v>Second Class</v>
      </c>
      <c r="N732">
        <f>IF('[1]Cleaned Text Field'!N732="",0,'[1]Cleaned Text Field'!N732)</f>
        <v>4</v>
      </c>
      <c r="O732">
        <v>782.01</v>
      </c>
      <c r="P732" s="5">
        <f>IF('[1]Cleaned Text Field'!P732="",0,'[1]Cleaned Text Field'!P732)</f>
        <v>0.15</v>
      </c>
      <c r="Q732">
        <v>2658.83</v>
      </c>
      <c r="R732">
        <v>2226.9699999999998</v>
      </c>
      <c r="S732">
        <v>431.86</v>
      </c>
      <c r="T732" t="str">
        <f>PROPER(TRIM([1]raw_orders!T732))</f>
        <v>Refunded</v>
      </c>
      <c r="U732" t="str">
        <f>PROPER(TRIM([1]raw_orders!U732))</f>
        <v>Returned</v>
      </c>
      <c r="V732" s="6">
        <f t="shared" si="88"/>
        <v>0.16242482595728197</v>
      </c>
      <c r="W732" t="str">
        <f t="shared" si="89"/>
        <v>June</v>
      </c>
      <c r="X732">
        <f t="shared" si="90"/>
        <v>2025</v>
      </c>
      <c r="Y732">
        <f t="shared" si="91"/>
        <v>5</v>
      </c>
      <c r="Z732" s="7">
        <f t="shared" si="92"/>
        <v>0.15</v>
      </c>
      <c r="AA732">
        <f t="shared" si="93"/>
        <v>2658.8339999999998</v>
      </c>
      <c r="AB732">
        <f t="shared" si="94"/>
        <v>431.86000000000013</v>
      </c>
      <c r="AC732" t="str">
        <f t="shared" si="95"/>
        <v>Clean</v>
      </c>
    </row>
    <row r="733" spans="1:29">
      <c r="A733" t="s">
        <v>2213</v>
      </c>
      <c r="B733" s="4">
        <v>45368</v>
      </c>
      <c r="C733" s="4">
        <v>45370</v>
      </c>
      <c r="D733" t="s">
        <v>2214</v>
      </c>
      <c r="E733" t="str">
        <f>PROPER(TRIM([1]raw_orders!E733))</f>
        <v>Ananya Rao</v>
      </c>
      <c r="F733" t="str">
        <f>PROPER(TRIM([1]raw_orders!F733))</f>
        <v>Corporate</v>
      </c>
      <c r="G733" t="str">
        <f>IF('[1]Cleaned Text Field'!G733="","Unknown",'[1]Cleaned Text Field'!G733)</f>
        <v>East</v>
      </c>
      <c r="H733" t="str">
        <f>PROPER(TRIM([1]raw_orders!H733))</f>
        <v>Odisha</v>
      </c>
      <c r="I733" t="str">
        <f>PROPER(TRIM([1]raw_orders!I733))</f>
        <v>Bhubaneswar</v>
      </c>
      <c r="J733" t="str">
        <f>PROPER(TRIM([1]raw_orders!J733))</f>
        <v>Office Supplies</v>
      </c>
      <c r="K733" t="str">
        <f>PROPER(TRIM([1]raw_orders!K733))</f>
        <v>Binders</v>
      </c>
      <c r="L733" t="s">
        <v>2215</v>
      </c>
      <c r="M733" t="str">
        <f>IF('[1]Cleaned Text Field'!M733="","Unknown",'[1]Cleaned Text Field'!M733)</f>
        <v>First Class</v>
      </c>
      <c r="N733">
        <f>IF('[1]Cleaned Text Field'!N733="",0,'[1]Cleaned Text Field'!N733)</f>
        <v>4</v>
      </c>
      <c r="O733">
        <v>4376.68</v>
      </c>
      <c r="P733" s="5">
        <f>IF('[1]Cleaned Text Field'!P733="",0,'[1]Cleaned Text Field'!P733)</f>
        <v>0.1</v>
      </c>
      <c r="Q733">
        <v>15756.05</v>
      </c>
      <c r="R733">
        <v>10245.44</v>
      </c>
      <c r="S733">
        <v>5510.61</v>
      </c>
      <c r="T733" t="str">
        <f>PROPER(TRIM([1]raw_orders!T733))</f>
        <v>Paid</v>
      </c>
      <c r="U733" t="str">
        <f>PROPER(TRIM([1]raw_orders!U733))</f>
        <v>Completed</v>
      </c>
      <c r="V733" s="6">
        <f t="shared" si="88"/>
        <v>0.34974565325700285</v>
      </c>
      <c r="W733" t="str">
        <f t="shared" si="89"/>
        <v>March</v>
      </c>
      <c r="X733">
        <f t="shared" si="90"/>
        <v>2024</v>
      </c>
      <c r="Y733">
        <f t="shared" si="91"/>
        <v>2</v>
      </c>
      <c r="Z733" s="7">
        <f t="shared" si="92"/>
        <v>0.1</v>
      </c>
      <c r="AA733">
        <f t="shared" si="93"/>
        <v>15756.048000000001</v>
      </c>
      <c r="AB733">
        <f t="shared" si="94"/>
        <v>5510.6099999999988</v>
      </c>
      <c r="AC733" t="str">
        <f t="shared" si="95"/>
        <v>Clean</v>
      </c>
    </row>
    <row r="734" spans="1:29">
      <c r="A734" t="s">
        <v>2216</v>
      </c>
      <c r="B734" s="4">
        <v>45624</v>
      </c>
      <c r="C734" s="4">
        <v>45632</v>
      </c>
      <c r="D734" t="s">
        <v>2217</v>
      </c>
      <c r="E734" t="str">
        <f>PROPER(TRIM([1]raw_orders!E734))</f>
        <v>Arjun Bose</v>
      </c>
      <c r="F734" t="str">
        <f>PROPER(TRIM([1]raw_orders!F734))</f>
        <v>Small Business</v>
      </c>
      <c r="G734" t="str">
        <f>IF('[1]Cleaned Text Field'!G734="","Unknown",'[1]Cleaned Text Field'!G734)</f>
        <v>North</v>
      </c>
      <c r="H734" t="str">
        <f>PROPER(TRIM([1]raw_orders!H734))</f>
        <v>Punjab</v>
      </c>
      <c r="I734" t="str">
        <f>PROPER(TRIM([1]raw_orders!I734))</f>
        <v>Ludhiana</v>
      </c>
      <c r="J734" t="str">
        <f>PROPER(TRIM([1]raw_orders!J734))</f>
        <v>Technology</v>
      </c>
      <c r="K734" t="str">
        <f>PROPER(TRIM([1]raw_orders!K734))</f>
        <v>Phones</v>
      </c>
      <c r="L734" t="s">
        <v>2218</v>
      </c>
      <c r="M734" t="str">
        <f>IF('[1]Cleaned Text Field'!M734="","Unknown",'[1]Cleaned Text Field'!M734)</f>
        <v>Standard Class</v>
      </c>
      <c r="N734">
        <f>IF('[1]Cleaned Text Field'!N734="",0,'[1]Cleaned Text Field'!N734)</f>
        <v>6</v>
      </c>
      <c r="O734">
        <v>2464.63</v>
      </c>
      <c r="P734" s="5">
        <f>IF('[1]Cleaned Text Field'!P734="",0,'[1]Cleaned Text Field'!P734)</f>
        <v>0</v>
      </c>
      <c r="Q734">
        <v>14787.78</v>
      </c>
      <c r="R734">
        <v>8596.65</v>
      </c>
      <c r="S734">
        <v>6191.13</v>
      </c>
      <c r="T734" t="str">
        <f>PROPER(TRIM([1]raw_orders!T734))</f>
        <v>Paid</v>
      </c>
      <c r="U734" t="str">
        <f>PROPER(TRIM([1]raw_orders!U734))</f>
        <v>Completed</v>
      </c>
      <c r="V734" s="6">
        <f t="shared" si="88"/>
        <v>0.41866527632950989</v>
      </c>
      <c r="W734" t="str">
        <f t="shared" si="89"/>
        <v>November</v>
      </c>
      <c r="X734">
        <f t="shared" si="90"/>
        <v>2024</v>
      </c>
      <c r="Y734">
        <f t="shared" si="91"/>
        <v>8</v>
      </c>
      <c r="Z734" s="7">
        <f t="shared" si="92"/>
        <v>0</v>
      </c>
      <c r="AA734">
        <f t="shared" si="93"/>
        <v>14787.78</v>
      </c>
      <c r="AB734">
        <f t="shared" si="94"/>
        <v>6191.130000000001</v>
      </c>
      <c r="AC734" t="str">
        <f t="shared" si="95"/>
        <v>Clean</v>
      </c>
    </row>
    <row r="735" spans="1:29">
      <c r="A735" t="s">
        <v>2219</v>
      </c>
      <c r="B735" s="4">
        <v>45464</v>
      </c>
      <c r="C735" s="4">
        <v>45471</v>
      </c>
      <c r="D735" t="s">
        <v>2220</v>
      </c>
      <c r="E735" t="str">
        <f>PROPER(TRIM([1]raw_orders!E735))</f>
        <v>Aarav Sharma</v>
      </c>
      <c r="F735" t="str">
        <f>PROPER(TRIM([1]raw_orders!F735))</f>
        <v>Home Office</v>
      </c>
      <c r="G735" t="str">
        <f>IF('[1]Cleaned Text Field'!G735="","Unknown",'[1]Cleaned Text Field'!G735)</f>
        <v>North</v>
      </c>
      <c r="H735" t="str">
        <f>PROPER(TRIM([1]raw_orders!H735))</f>
        <v>Rajasthan</v>
      </c>
      <c r="I735" t="str">
        <f>PROPER(TRIM([1]raw_orders!I735))</f>
        <v>Jaipur</v>
      </c>
      <c r="J735" t="str">
        <f>PROPER(TRIM([1]raw_orders!J735))</f>
        <v>Furniture</v>
      </c>
      <c r="K735" t="str">
        <f>PROPER(TRIM([1]raw_orders!K735))</f>
        <v>Furnishings</v>
      </c>
      <c r="L735" t="s">
        <v>2221</v>
      </c>
      <c r="M735" t="str">
        <f>IF('[1]Cleaned Text Field'!M735="","Unknown",'[1]Cleaned Text Field'!M735)</f>
        <v>First Class</v>
      </c>
      <c r="N735">
        <f>IF('[1]Cleaned Text Field'!N735="",0,'[1]Cleaned Text Field'!N735)</f>
        <v>9</v>
      </c>
      <c r="O735">
        <v>2797.96</v>
      </c>
      <c r="P735" s="5">
        <f>IF('[1]Cleaned Text Field'!P735="",0,'[1]Cleaned Text Field'!P735)</f>
        <v>0</v>
      </c>
      <c r="Q735">
        <v>25181.64</v>
      </c>
      <c r="R735">
        <v>15337.9</v>
      </c>
      <c r="S735">
        <v>9843.74</v>
      </c>
      <c r="T735" t="str">
        <f>PROPER(TRIM([1]raw_orders!T735))</f>
        <v>Paid</v>
      </c>
      <c r="U735" t="str">
        <f>PROPER(TRIM([1]raw_orders!U735))</f>
        <v>Completed</v>
      </c>
      <c r="V735" s="6">
        <f t="shared" si="88"/>
        <v>0.39090940860086953</v>
      </c>
      <c r="W735" t="str">
        <f t="shared" si="89"/>
        <v>June</v>
      </c>
      <c r="X735">
        <f t="shared" si="90"/>
        <v>2024</v>
      </c>
      <c r="Y735">
        <f t="shared" si="91"/>
        <v>7</v>
      </c>
      <c r="Z735" s="7">
        <f t="shared" si="92"/>
        <v>0</v>
      </c>
      <c r="AA735">
        <f t="shared" si="93"/>
        <v>25181.64</v>
      </c>
      <c r="AB735">
        <f t="shared" si="94"/>
        <v>9843.74</v>
      </c>
      <c r="AC735" t="str">
        <f t="shared" si="95"/>
        <v>Clean</v>
      </c>
    </row>
    <row r="736" spans="1:29">
      <c r="A736" t="s">
        <v>2222</v>
      </c>
      <c r="B736" s="4">
        <v>45528</v>
      </c>
      <c r="C736" s="4">
        <v>45528</v>
      </c>
      <c r="D736" t="s">
        <v>2223</v>
      </c>
      <c r="E736" t="str">
        <f>PROPER(TRIM([1]raw_orders!E736))</f>
        <v>Ananya Rao</v>
      </c>
      <c r="F736" t="str">
        <f>PROPER(TRIM([1]raw_orders!F736))</f>
        <v>Small Business</v>
      </c>
      <c r="G736" t="str">
        <f>IF('[1]Cleaned Text Field'!G736="","Unknown",'[1]Cleaned Text Field'!G736)</f>
        <v>North</v>
      </c>
      <c r="H736" t="str">
        <f>PROPER(TRIM([1]raw_orders!H736))</f>
        <v>Rajasthan</v>
      </c>
      <c r="I736" t="str">
        <f>PROPER(TRIM([1]raw_orders!I736))</f>
        <v>Jaipur</v>
      </c>
      <c r="J736" t="str">
        <f>PROPER(TRIM([1]raw_orders!J736))</f>
        <v>Technology</v>
      </c>
      <c r="K736" t="str">
        <f>PROPER(TRIM([1]raw_orders!K736))</f>
        <v>Accessories</v>
      </c>
      <c r="L736" t="s">
        <v>2224</v>
      </c>
      <c r="M736" t="str">
        <f>IF('[1]Cleaned Text Field'!M736="","Unknown",'[1]Cleaned Text Field'!M736)</f>
        <v>First Class</v>
      </c>
      <c r="N736">
        <f>IF('[1]Cleaned Text Field'!N736="",0,'[1]Cleaned Text Field'!N736)</f>
        <v>4</v>
      </c>
      <c r="O736">
        <v>2761.86</v>
      </c>
      <c r="P736" s="5">
        <f>IF('[1]Cleaned Text Field'!P736="",0,'[1]Cleaned Text Field'!P736)</f>
        <v>0.2</v>
      </c>
      <c r="Q736">
        <v>8837.9500000000007</v>
      </c>
      <c r="R736">
        <v>6157.27</v>
      </c>
      <c r="S736">
        <v>2680.68</v>
      </c>
      <c r="T736" t="str">
        <f>PROPER(TRIM([1]raw_orders!T736))</f>
        <v>Paid</v>
      </c>
      <c r="U736" t="str">
        <f>PROPER(TRIM([1]raw_orders!U736))</f>
        <v>Completed</v>
      </c>
      <c r="V736" s="6">
        <f t="shared" si="88"/>
        <v>0.30331468270356809</v>
      </c>
      <c r="W736" t="str">
        <f t="shared" si="89"/>
        <v>August</v>
      </c>
      <c r="X736">
        <f t="shared" si="90"/>
        <v>2024</v>
      </c>
      <c r="Y736">
        <f t="shared" si="91"/>
        <v>0</v>
      </c>
      <c r="Z736" s="7">
        <f t="shared" si="92"/>
        <v>0.2</v>
      </c>
      <c r="AA736">
        <f t="shared" si="93"/>
        <v>8837.9520000000011</v>
      </c>
      <c r="AB736">
        <f t="shared" si="94"/>
        <v>2680.6800000000003</v>
      </c>
      <c r="AC736" t="str">
        <f t="shared" si="95"/>
        <v>Clean</v>
      </c>
    </row>
    <row r="737" spans="1:29">
      <c r="A737" t="s">
        <v>2225</v>
      </c>
      <c r="B737" s="4">
        <v>45515</v>
      </c>
      <c r="C737" s="4">
        <v>45523</v>
      </c>
      <c r="D737" t="s">
        <v>2226</v>
      </c>
      <c r="E737" t="str">
        <f>PROPER(TRIM([1]raw_orders!E737))</f>
        <v>Mira Das</v>
      </c>
      <c r="F737" t="str">
        <f>PROPER(TRIM([1]raw_orders!F737))</f>
        <v>Consumer</v>
      </c>
      <c r="G737" t="str">
        <f>IF('[1]Cleaned Text Field'!G737="","Unknown",'[1]Cleaned Text Field'!G737)</f>
        <v>West</v>
      </c>
      <c r="H737" t="str">
        <f>PROPER(TRIM([1]raw_orders!H737))</f>
        <v>Maharashtra</v>
      </c>
      <c r="I737" t="str">
        <f>PROPER(TRIM([1]raw_orders!I737))</f>
        <v>Mumbai</v>
      </c>
      <c r="J737" t="str">
        <f>PROPER(TRIM([1]raw_orders!J737))</f>
        <v>Furniture</v>
      </c>
      <c r="K737" t="str">
        <f>PROPER(TRIM([1]raw_orders!K737))</f>
        <v>Tables</v>
      </c>
      <c r="L737" t="s">
        <v>2227</v>
      </c>
      <c r="M737" t="str">
        <f>IF('[1]Cleaned Text Field'!M737="","Unknown",'[1]Cleaned Text Field'!M737)</f>
        <v>Standard Class</v>
      </c>
      <c r="N737">
        <f>IF('[1]Cleaned Text Field'!N737="",0,'[1]Cleaned Text Field'!N737)</f>
        <v>6</v>
      </c>
      <c r="O737">
        <v>1515.79</v>
      </c>
      <c r="P737" s="5">
        <f>IF('[1]Cleaned Text Field'!P737="",0,'[1]Cleaned Text Field'!P737)</f>
        <v>0.2</v>
      </c>
      <c r="Q737">
        <v>7275.79</v>
      </c>
      <c r="R737">
        <v>6152.87</v>
      </c>
      <c r="S737">
        <v>1122.92</v>
      </c>
      <c r="T737" t="str">
        <f>PROPER(TRIM([1]raw_orders!T737))</f>
        <v>Paid</v>
      </c>
      <c r="U737" t="str">
        <f>PROPER(TRIM([1]raw_orders!U737))</f>
        <v>Completed</v>
      </c>
      <c r="V737" s="6">
        <f t="shared" si="88"/>
        <v>0.15433650503931534</v>
      </c>
      <c r="W737" t="str">
        <f t="shared" si="89"/>
        <v>August</v>
      </c>
      <c r="X737">
        <f t="shared" si="90"/>
        <v>2024</v>
      </c>
      <c r="Y737">
        <f t="shared" si="91"/>
        <v>8</v>
      </c>
      <c r="Z737" s="7">
        <f t="shared" si="92"/>
        <v>0.2</v>
      </c>
      <c r="AA737">
        <f t="shared" si="93"/>
        <v>7275.7920000000004</v>
      </c>
      <c r="AB737">
        <f t="shared" si="94"/>
        <v>1122.92</v>
      </c>
      <c r="AC737" t="str">
        <f t="shared" si="95"/>
        <v>Clean</v>
      </c>
    </row>
    <row r="738" spans="1:29">
      <c r="A738" t="s">
        <v>2228</v>
      </c>
      <c r="B738" s="4">
        <v>45632</v>
      </c>
      <c r="C738" s="4">
        <v>45547</v>
      </c>
      <c r="D738" t="s">
        <v>2229</v>
      </c>
      <c r="E738" t="str">
        <f>PROPER(TRIM([1]raw_orders!E738))</f>
        <v>Aditi Sen</v>
      </c>
      <c r="F738" t="str">
        <f>PROPER(TRIM([1]raw_orders!F738))</f>
        <v>Consumer</v>
      </c>
      <c r="G738" t="str">
        <f>IF('[1]Cleaned Text Field'!G738="","Unknown",'[1]Cleaned Text Field'!G738)</f>
        <v>West</v>
      </c>
      <c r="H738" t="str">
        <f>PROPER(TRIM([1]raw_orders!H738))</f>
        <v>Maharashtra</v>
      </c>
      <c r="I738" t="str">
        <f>PROPER(TRIM([1]raw_orders!I738))</f>
        <v>Mumbai</v>
      </c>
      <c r="J738" t="str">
        <f>PROPER(TRIM([1]raw_orders!J738))</f>
        <v>Furniture</v>
      </c>
      <c r="K738" t="str">
        <f>PROPER(TRIM([1]raw_orders!K738))</f>
        <v>Chairs</v>
      </c>
      <c r="L738" t="s">
        <v>2230</v>
      </c>
      <c r="M738" t="str">
        <f>IF('[1]Cleaned Text Field'!M738="","Unknown",'[1]Cleaned Text Field'!M738)</f>
        <v>Second Class</v>
      </c>
      <c r="N738">
        <f>IF('[1]Cleaned Text Field'!N738="",0,'[1]Cleaned Text Field'!N738)</f>
        <v>9</v>
      </c>
      <c r="O738">
        <v>290.75</v>
      </c>
      <c r="P738" s="5">
        <f>IF('[1]Cleaned Text Field'!P738="",0,'[1]Cleaned Text Field'!P738)</f>
        <v>0.1</v>
      </c>
      <c r="Q738">
        <v>2355.08</v>
      </c>
      <c r="R738">
        <v>1350.03</v>
      </c>
      <c r="S738">
        <v>1005.05</v>
      </c>
      <c r="T738" t="str">
        <f>PROPER(TRIM([1]raw_orders!T738))</f>
        <v>Paid</v>
      </c>
      <c r="U738" t="str">
        <f>PROPER(TRIM([1]raw_orders!U738))</f>
        <v>Completed</v>
      </c>
      <c r="V738" s="6">
        <f t="shared" si="88"/>
        <v>0.42675832668104691</v>
      </c>
      <c r="W738" t="str">
        <f t="shared" si="89"/>
        <v>December</v>
      </c>
      <c r="X738">
        <f t="shared" si="90"/>
        <v>2024</v>
      </c>
      <c r="Y738">
        <f t="shared" si="91"/>
        <v>-85</v>
      </c>
      <c r="Z738" s="7">
        <f t="shared" si="92"/>
        <v>0.1</v>
      </c>
      <c r="AA738">
        <f t="shared" si="93"/>
        <v>2355.0750000000003</v>
      </c>
      <c r="AB738">
        <f t="shared" si="94"/>
        <v>1005.05</v>
      </c>
      <c r="AC738" t="str">
        <f t="shared" si="95"/>
        <v>Warning</v>
      </c>
    </row>
    <row r="739" spans="1:29">
      <c r="A739" t="s">
        <v>2231</v>
      </c>
      <c r="B739" s="4">
        <v>45332</v>
      </c>
      <c r="C739" s="4">
        <v>45332</v>
      </c>
      <c r="D739" t="s">
        <v>2232</v>
      </c>
      <c r="E739" t="str">
        <f>PROPER(TRIM([1]raw_orders!E739))</f>
        <v>Isha Nair</v>
      </c>
      <c r="F739" t="str">
        <f>PROPER(TRIM([1]raw_orders!F739))</f>
        <v>Home Office</v>
      </c>
      <c r="G739" t="str">
        <f>IF('[1]Cleaned Text Field'!G739="","Unknown",'[1]Cleaned Text Field'!G739)</f>
        <v>West</v>
      </c>
      <c r="H739" t="str">
        <f>PROPER(TRIM([1]raw_orders!H739))</f>
        <v>Maharashtra</v>
      </c>
      <c r="I739" t="str">
        <f>PROPER(TRIM([1]raw_orders!I739))</f>
        <v>Mumbai</v>
      </c>
      <c r="J739" t="str">
        <f>PROPER(TRIM([1]raw_orders!J739))</f>
        <v>Furniture</v>
      </c>
      <c r="K739" t="str">
        <f>PROPER(TRIM([1]raw_orders!K739))</f>
        <v>Chairs</v>
      </c>
      <c r="L739" t="s">
        <v>2233</v>
      </c>
      <c r="M739" t="str">
        <f>IF('[1]Cleaned Text Field'!M739="","Unknown",'[1]Cleaned Text Field'!M739)</f>
        <v>Same Day</v>
      </c>
      <c r="N739">
        <f>IF('[1]Cleaned Text Field'!N739="",0,'[1]Cleaned Text Field'!N739)</f>
        <v>6</v>
      </c>
      <c r="O739">
        <v>601.52</v>
      </c>
      <c r="P739" s="5">
        <f>IF('[1]Cleaned Text Field'!P739="",0,'[1]Cleaned Text Field'!P739)</f>
        <v>0</v>
      </c>
      <c r="Q739">
        <v>3609.12</v>
      </c>
      <c r="R739">
        <v>2645.5</v>
      </c>
      <c r="S739">
        <v>963.62</v>
      </c>
      <c r="T739" t="str">
        <f>PROPER(TRIM([1]raw_orders!T739))</f>
        <v>Paid</v>
      </c>
      <c r="U739" t="str">
        <f>PROPER(TRIM([1]raw_orders!U739))</f>
        <v>Completed</v>
      </c>
      <c r="V739" s="6">
        <f t="shared" si="88"/>
        <v>0.26699583277918165</v>
      </c>
      <c r="W739" t="str">
        <f t="shared" si="89"/>
        <v>February</v>
      </c>
      <c r="X739">
        <f t="shared" si="90"/>
        <v>2024</v>
      </c>
      <c r="Y739">
        <f t="shared" si="91"/>
        <v>0</v>
      </c>
      <c r="Z739" s="7">
        <f t="shared" si="92"/>
        <v>0</v>
      </c>
      <c r="AA739">
        <f t="shared" si="93"/>
        <v>3609.12</v>
      </c>
      <c r="AB739">
        <f t="shared" si="94"/>
        <v>963.61999999999989</v>
      </c>
      <c r="AC739" t="str">
        <f t="shared" si="95"/>
        <v>Clean</v>
      </c>
    </row>
    <row r="740" spans="1:29">
      <c r="A740" t="s">
        <v>2234</v>
      </c>
      <c r="B740" s="4">
        <v>45708</v>
      </c>
      <c r="C740" s="4">
        <v>45710</v>
      </c>
      <c r="D740" t="s">
        <v>2235</v>
      </c>
      <c r="E740" t="str">
        <f>PROPER(TRIM([1]raw_orders!E740))</f>
        <v>Priya Menon</v>
      </c>
      <c r="F740" t="str">
        <f>PROPER(TRIM([1]raw_orders!F740))</f>
        <v>Corporate</v>
      </c>
      <c r="G740" t="str">
        <f>IF('[1]Cleaned Text Field'!G740="","Unknown",'[1]Cleaned Text Field'!G740)</f>
        <v>South</v>
      </c>
      <c r="H740" t="str">
        <f>PROPER(TRIM([1]raw_orders!H740))</f>
        <v>Kerala</v>
      </c>
      <c r="I740" t="str">
        <f>PROPER(TRIM([1]raw_orders!I740))</f>
        <v>Kochi</v>
      </c>
      <c r="J740" t="str">
        <f>PROPER(TRIM([1]raw_orders!J740))</f>
        <v>Office Supplies</v>
      </c>
      <c r="K740" t="str">
        <f>PROPER(TRIM([1]raw_orders!K740))</f>
        <v>Paper</v>
      </c>
      <c r="L740" t="s">
        <v>2236</v>
      </c>
      <c r="M740" t="str">
        <f>IF('[1]Cleaned Text Field'!M740="","Unknown",'[1]Cleaned Text Field'!M740)</f>
        <v>First Class</v>
      </c>
      <c r="N740">
        <f>IF('[1]Cleaned Text Field'!N740="",0,'[1]Cleaned Text Field'!N740)</f>
        <v>1</v>
      </c>
      <c r="O740">
        <v>2188.19</v>
      </c>
      <c r="P740" s="5">
        <f>IF('[1]Cleaned Text Field'!P740="",0,'[1]Cleaned Text Field'!P740)</f>
        <v>0</v>
      </c>
      <c r="Q740">
        <v>2188.19</v>
      </c>
      <c r="R740">
        <v>1298.8399999999999</v>
      </c>
      <c r="S740">
        <v>889.35</v>
      </c>
      <c r="T740" t="str">
        <f>PROPER(TRIM([1]raw_orders!T740))</f>
        <v>Paid</v>
      </c>
      <c r="U740" t="str">
        <f>PROPER(TRIM([1]raw_orders!U740))</f>
        <v>Completed</v>
      </c>
      <c r="V740" s="6">
        <f t="shared" si="88"/>
        <v>0.40643179979800659</v>
      </c>
      <c r="W740" t="str">
        <f t="shared" si="89"/>
        <v>February</v>
      </c>
      <c r="X740">
        <f t="shared" si="90"/>
        <v>2025</v>
      </c>
      <c r="Y740">
        <f t="shared" si="91"/>
        <v>2</v>
      </c>
      <c r="Z740" s="7">
        <f t="shared" si="92"/>
        <v>0</v>
      </c>
      <c r="AA740">
        <f t="shared" si="93"/>
        <v>2188.19</v>
      </c>
      <c r="AB740">
        <f t="shared" si="94"/>
        <v>889.35000000000014</v>
      </c>
      <c r="AC740" t="str">
        <f t="shared" si="95"/>
        <v>Clean</v>
      </c>
    </row>
    <row r="741" spans="1:29">
      <c r="A741" t="s">
        <v>2237</v>
      </c>
      <c r="B741" s="4">
        <v>45629</v>
      </c>
      <c r="C741" s="4">
        <v>45636</v>
      </c>
      <c r="D741" t="s">
        <v>2238</v>
      </c>
      <c r="E741" t="str">
        <f>PROPER(TRIM([1]raw_orders!E741))</f>
        <v>Neha Gupta</v>
      </c>
      <c r="F741" t="str">
        <f>PROPER(TRIM([1]raw_orders!F741))</f>
        <v>Corporate</v>
      </c>
      <c r="G741" t="str">
        <f>IF('[1]Cleaned Text Field'!G741="","Unknown",'[1]Cleaned Text Field'!G741)</f>
        <v>North</v>
      </c>
      <c r="H741" t="str">
        <f>PROPER(TRIM([1]raw_orders!H741))</f>
        <v>Rajasthan</v>
      </c>
      <c r="I741" t="str">
        <f>PROPER(TRIM([1]raw_orders!I741))</f>
        <v>Jaipur</v>
      </c>
      <c r="J741" t="str">
        <f>PROPER(TRIM([1]raw_orders!J741))</f>
        <v>Technology</v>
      </c>
      <c r="K741" t="str">
        <f>PROPER(TRIM([1]raw_orders!K741))</f>
        <v>Phones</v>
      </c>
      <c r="L741" t="s">
        <v>2239</v>
      </c>
      <c r="M741" t="str">
        <f>IF('[1]Cleaned Text Field'!M741="","Unknown",'[1]Cleaned Text Field'!M741)</f>
        <v>Standard Class</v>
      </c>
      <c r="N741">
        <f>IF('[1]Cleaned Text Field'!N741="",0,'[1]Cleaned Text Field'!N741)</f>
        <v>5</v>
      </c>
      <c r="O741">
        <v>2393.86</v>
      </c>
      <c r="P741" s="5">
        <f>IF('[1]Cleaned Text Field'!P741="",0,'[1]Cleaned Text Field'!P741)</f>
        <v>0.05</v>
      </c>
      <c r="Q741">
        <v>11370.84</v>
      </c>
      <c r="R741">
        <v>7469.58</v>
      </c>
      <c r="S741">
        <v>3901.26</v>
      </c>
      <c r="T741" t="str">
        <f>PROPER(TRIM([1]raw_orders!T741))</f>
        <v>Paid</v>
      </c>
      <c r="U741" t="str">
        <f>PROPER(TRIM([1]raw_orders!U741))</f>
        <v>Completed</v>
      </c>
      <c r="V741" s="6">
        <f t="shared" si="88"/>
        <v>0.34309338624059438</v>
      </c>
      <c r="W741" t="str">
        <f t="shared" si="89"/>
        <v>December</v>
      </c>
      <c r="X741">
        <f t="shared" si="90"/>
        <v>2024</v>
      </c>
      <c r="Y741">
        <f t="shared" si="91"/>
        <v>7</v>
      </c>
      <c r="Z741" s="7">
        <f t="shared" si="92"/>
        <v>0.05</v>
      </c>
      <c r="AA741">
        <f t="shared" si="93"/>
        <v>11370.835000000001</v>
      </c>
      <c r="AB741">
        <f t="shared" si="94"/>
        <v>3901.26</v>
      </c>
      <c r="AC741" t="str">
        <f t="shared" si="95"/>
        <v>Clean</v>
      </c>
    </row>
    <row r="742" spans="1:29">
      <c r="A742" t="s">
        <v>2240</v>
      </c>
      <c r="B742" s="4">
        <v>45384</v>
      </c>
      <c r="C742" s="4">
        <v>45384</v>
      </c>
      <c r="D742" t="s">
        <v>464</v>
      </c>
      <c r="E742" t="str">
        <f>PROPER(TRIM([1]raw_orders!E742))</f>
        <v>Sneha Kapoor</v>
      </c>
      <c r="F742" t="str">
        <f>PROPER(TRIM([1]raw_orders!F742))</f>
        <v>Small Business</v>
      </c>
      <c r="G742" t="str">
        <f>IF('[1]Cleaned Text Field'!G742="","Unknown",'[1]Cleaned Text Field'!G742)</f>
        <v>West</v>
      </c>
      <c r="H742" t="str">
        <f>PROPER(TRIM([1]raw_orders!H742))</f>
        <v>Maharashtra</v>
      </c>
      <c r="I742" t="str">
        <f>PROPER(TRIM([1]raw_orders!I742))</f>
        <v>Mumbai</v>
      </c>
      <c r="J742" t="str">
        <f>PROPER(TRIM([1]raw_orders!J742))</f>
        <v>Furniture</v>
      </c>
      <c r="K742" t="str">
        <f>PROPER(TRIM([1]raw_orders!K742))</f>
        <v>Chairs</v>
      </c>
      <c r="L742" t="s">
        <v>2241</v>
      </c>
      <c r="M742" t="str">
        <f>IF('[1]Cleaned Text Field'!M742="","Unknown",'[1]Cleaned Text Field'!M742)</f>
        <v>First Class</v>
      </c>
      <c r="N742">
        <f>IF('[1]Cleaned Text Field'!N742="",0,'[1]Cleaned Text Field'!N742)</f>
        <v>4</v>
      </c>
      <c r="O742">
        <v>2583</v>
      </c>
      <c r="P742" s="5">
        <f>IF('[1]Cleaned Text Field'!P742="",0,'[1]Cleaned Text Field'!P742)</f>
        <v>0.1</v>
      </c>
      <c r="Q742">
        <v>9298.7999999999993</v>
      </c>
      <c r="R742">
        <v>6548.5</v>
      </c>
      <c r="S742">
        <v>2750.3</v>
      </c>
      <c r="T742" t="str">
        <f>PROPER(TRIM([1]raw_orders!T742))</f>
        <v>Paid</v>
      </c>
      <c r="U742" t="str">
        <f>PROPER(TRIM([1]raw_orders!U742))</f>
        <v>Completed</v>
      </c>
      <c r="V742" s="6">
        <f t="shared" si="88"/>
        <v>0.29576934658235476</v>
      </c>
      <c r="W742" t="str">
        <f t="shared" si="89"/>
        <v>April</v>
      </c>
      <c r="X742">
        <f t="shared" si="90"/>
        <v>2024</v>
      </c>
      <c r="Y742">
        <f t="shared" si="91"/>
        <v>0</v>
      </c>
      <c r="Z742" s="7">
        <f t="shared" si="92"/>
        <v>0.1</v>
      </c>
      <c r="AA742">
        <f t="shared" si="93"/>
        <v>9298.8000000000011</v>
      </c>
      <c r="AB742">
        <f t="shared" si="94"/>
        <v>2750.2999999999993</v>
      </c>
      <c r="AC742" t="str">
        <f t="shared" si="95"/>
        <v>Clean</v>
      </c>
    </row>
    <row r="743" spans="1:29">
      <c r="A743" t="s">
        <v>2242</v>
      </c>
      <c r="B743" s="4">
        <v>45770</v>
      </c>
      <c r="C743" s="4">
        <v>45772</v>
      </c>
      <c r="D743" t="s">
        <v>2243</v>
      </c>
      <c r="E743" t="str">
        <f>PROPER(TRIM([1]raw_orders!E743))</f>
        <v>Isha Nair</v>
      </c>
      <c r="F743" t="str">
        <f>PROPER(TRIM([1]raw_orders!F743))</f>
        <v>Home Office</v>
      </c>
      <c r="G743" t="str">
        <f>IF('[1]Cleaned Text Field'!G743="","Unknown",'[1]Cleaned Text Field'!G743)</f>
        <v>South</v>
      </c>
      <c r="H743" t="str">
        <f>PROPER(TRIM([1]raw_orders!H743))</f>
        <v>Tamil Nadu</v>
      </c>
      <c r="I743" t="str">
        <f>PROPER(TRIM([1]raw_orders!I743))</f>
        <v>Chennai</v>
      </c>
      <c r="J743" t="str">
        <f>PROPER(TRIM([1]raw_orders!J743))</f>
        <v>Furniture</v>
      </c>
      <c r="K743" t="str">
        <f>PROPER(TRIM([1]raw_orders!K743))</f>
        <v>Chairs</v>
      </c>
      <c r="L743" t="s">
        <v>2244</v>
      </c>
      <c r="M743" t="str">
        <f>IF('[1]Cleaned Text Field'!M743="","Unknown",'[1]Cleaned Text Field'!M743)</f>
        <v>Second Class</v>
      </c>
      <c r="N743">
        <f>IF('[1]Cleaned Text Field'!N743="",0,'[1]Cleaned Text Field'!N743)</f>
        <v>3</v>
      </c>
      <c r="O743">
        <v>2951.12</v>
      </c>
      <c r="P743" s="5">
        <f>IF('[1]Cleaned Text Field'!P743="",0,'[1]Cleaned Text Field'!P743)</f>
        <v>0</v>
      </c>
      <c r="Q743">
        <v>7082.69</v>
      </c>
      <c r="R743">
        <v>5596.34</v>
      </c>
      <c r="S743">
        <v>1486.35</v>
      </c>
      <c r="T743" t="str">
        <f>PROPER(TRIM([1]raw_orders!T743))</f>
        <v>Paid</v>
      </c>
      <c r="U743" t="str">
        <f>PROPER(TRIM([1]raw_orders!U743))</f>
        <v>Cancelled</v>
      </c>
      <c r="V743" s="6">
        <f t="shared" si="88"/>
        <v>0.2098567069856227</v>
      </c>
      <c r="W743" t="str">
        <f t="shared" si="89"/>
        <v>April</v>
      </c>
      <c r="X743">
        <f t="shared" si="90"/>
        <v>2025</v>
      </c>
      <c r="Y743">
        <f t="shared" si="91"/>
        <v>2</v>
      </c>
      <c r="Z743" s="7">
        <f t="shared" si="92"/>
        <v>0</v>
      </c>
      <c r="AA743">
        <f t="shared" si="93"/>
        <v>8853.36</v>
      </c>
      <c r="AB743">
        <f t="shared" si="94"/>
        <v>1486.3499999999995</v>
      </c>
      <c r="AC743" t="str">
        <f t="shared" si="95"/>
        <v>Clean</v>
      </c>
    </row>
    <row r="744" spans="1:29">
      <c r="A744" t="s">
        <v>2245</v>
      </c>
      <c r="B744" s="4">
        <v>45580</v>
      </c>
      <c r="C744" s="4">
        <v>45587</v>
      </c>
      <c r="D744" t="s">
        <v>2246</v>
      </c>
      <c r="E744" t="str">
        <f>PROPER(TRIM([1]raw_orders!E744))</f>
        <v>Karan Malhotra</v>
      </c>
      <c r="F744" t="str">
        <f>PROPER(TRIM([1]raw_orders!F744))</f>
        <v>Corporate</v>
      </c>
      <c r="G744" t="str">
        <f>IF('[1]Cleaned Text Field'!G744="","Unknown",'[1]Cleaned Text Field'!G744)</f>
        <v>East</v>
      </c>
      <c r="H744" t="str">
        <f>PROPER(TRIM([1]raw_orders!H744))</f>
        <v>Odisha</v>
      </c>
      <c r="I744" t="str">
        <f>PROPER(TRIM([1]raw_orders!I744))</f>
        <v>Bhubaneswar</v>
      </c>
      <c r="J744" t="str">
        <f>PROPER(TRIM([1]raw_orders!J744))</f>
        <v>Office Supplies</v>
      </c>
      <c r="K744" t="str">
        <f>PROPER(TRIM([1]raw_orders!K744))</f>
        <v>Paper</v>
      </c>
      <c r="L744" t="s">
        <v>2247</v>
      </c>
      <c r="M744" t="str">
        <f>IF('[1]Cleaned Text Field'!M744="","Unknown",'[1]Cleaned Text Field'!M744)</f>
        <v>Standard Class</v>
      </c>
      <c r="N744">
        <f>IF('[1]Cleaned Text Field'!N744="",0,'[1]Cleaned Text Field'!N744)</f>
        <v>4</v>
      </c>
      <c r="O744">
        <v>2260.9499999999998</v>
      </c>
      <c r="P744" s="5">
        <f>IF('[1]Cleaned Text Field'!P744="",0,'[1]Cleaned Text Field'!P744)</f>
        <v>0</v>
      </c>
      <c r="Q744">
        <v>9043.7999999999993</v>
      </c>
      <c r="R744">
        <v>5913.38</v>
      </c>
      <c r="S744">
        <v>3130.42</v>
      </c>
      <c r="T744" t="str">
        <f>PROPER(TRIM([1]raw_orders!T744))</f>
        <v>Paid</v>
      </c>
      <c r="U744" t="str">
        <f>PROPER(TRIM([1]raw_orders!U744))</f>
        <v>Completed</v>
      </c>
      <c r="V744" s="6">
        <f t="shared" si="88"/>
        <v>0.34613989694597408</v>
      </c>
      <c r="W744" t="str">
        <f t="shared" si="89"/>
        <v>October</v>
      </c>
      <c r="X744">
        <f t="shared" si="90"/>
        <v>2024</v>
      </c>
      <c r="Y744">
        <f t="shared" si="91"/>
        <v>7</v>
      </c>
      <c r="Z744" s="7">
        <f t="shared" si="92"/>
        <v>0</v>
      </c>
      <c r="AA744">
        <f t="shared" si="93"/>
        <v>9043.7999999999993</v>
      </c>
      <c r="AB744">
        <f t="shared" si="94"/>
        <v>3130.4199999999992</v>
      </c>
      <c r="AC744" t="str">
        <f t="shared" si="95"/>
        <v>Clean</v>
      </c>
    </row>
    <row r="745" spans="1:29">
      <c r="A745" t="s">
        <v>2248</v>
      </c>
      <c r="B745" s="4">
        <v>45700</v>
      </c>
      <c r="C745" s="4">
        <v>45702</v>
      </c>
      <c r="D745" t="s">
        <v>2249</v>
      </c>
      <c r="E745" t="str">
        <f>PROPER(TRIM([1]raw_orders!E745))</f>
        <v>Sneha Kapoor</v>
      </c>
      <c r="F745" t="str">
        <f>PROPER(TRIM([1]raw_orders!F745))</f>
        <v>Consumer</v>
      </c>
      <c r="G745" t="str">
        <f>IF('[1]Cleaned Text Field'!G745="","Unknown",'[1]Cleaned Text Field'!G745)</f>
        <v>North</v>
      </c>
      <c r="H745" t="str">
        <f>PROPER(TRIM([1]raw_orders!H745))</f>
        <v>Uttar Pradesh</v>
      </c>
      <c r="I745" t="str">
        <f>PROPER(TRIM([1]raw_orders!I745))</f>
        <v>Noida</v>
      </c>
      <c r="J745" t="str">
        <f>PROPER(TRIM([1]raw_orders!J745))</f>
        <v>Office Supplies</v>
      </c>
      <c r="K745" t="str">
        <f>PROPER(TRIM([1]raw_orders!K745))</f>
        <v>Art</v>
      </c>
      <c r="L745" t="s">
        <v>2250</v>
      </c>
      <c r="M745" t="str">
        <f>IF('[1]Cleaned Text Field'!M745="","Unknown",'[1]Cleaned Text Field'!M745)</f>
        <v>Standard Class</v>
      </c>
      <c r="N745">
        <f>IF('[1]Cleaned Text Field'!N745="",0,'[1]Cleaned Text Field'!N745)</f>
        <v>6</v>
      </c>
      <c r="O745">
        <v>491.4</v>
      </c>
      <c r="P745" s="5">
        <f>IF('[1]Cleaned Text Field'!P745="",0,'[1]Cleaned Text Field'!P745)</f>
        <v>0.25</v>
      </c>
      <c r="Q745">
        <v>2211.3000000000002</v>
      </c>
      <c r="R745">
        <v>1735.64</v>
      </c>
      <c r="S745">
        <v>475.66</v>
      </c>
      <c r="T745" t="str">
        <f>PROPER(TRIM([1]raw_orders!T745))</f>
        <v>Paid</v>
      </c>
      <c r="U745" t="str">
        <f>PROPER(TRIM([1]raw_orders!U745))</f>
        <v>Completed</v>
      </c>
      <c r="V745" s="6">
        <f t="shared" si="88"/>
        <v>0.21510423732645953</v>
      </c>
      <c r="W745" t="str">
        <f t="shared" si="89"/>
        <v>February</v>
      </c>
      <c r="X745">
        <f t="shared" si="90"/>
        <v>2025</v>
      </c>
      <c r="Y745">
        <f t="shared" si="91"/>
        <v>2</v>
      </c>
      <c r="Z745" s="7">
        <f t="shared" si="92"/>
        <v>0.25</v>
      </c>
      <c r="AA745">
        <f t="shared" si="93"/>
        <v>2211.2999999999997</v>
      </c>
      <c r="AB745">
        <f t="shared" si="94"/>
        <v>475.66000000000008</v>
      </c>
      <c r="AC745" t="str">
        <f t="shared" si="95"/>
        <v>Clean</v>
      </c>
    </row>
    <row r="746" spans="1:29">
      <c r="A746" t="s">
        <v>2251</v>
      </c>
      <c r="B746" s="4">
        <v>45886</v>
      </c>
      <c r="C746" s="4">
        <v>45889</v>
      </c>
      <c r="D746" t="s">
        <v>2252</v>
      </c>
      <c r="E746" t="str">
        <f>PROPER(TRIM([1]raw_orders!E746))</f>
        <v>Mira Das</v>
      </c>
      <c r="F746" t="str">
        <f>PROPER(TRIM([1]raw_orders!F746))</f>
        <v>Home Office</v>
      </c>
      <c r="G746" t="str">
        <f>IF('[1]Cleaned Text Field'!G746="","Unknown",'[1]Cleaned Text Field'!G746)</f>
        <v>North</v>
      </c>
      <c r="H746" t="str">
        <f>PROPER(TRIM([1]raw_orders!H746))</f>
        <v>Punjab</v>
      </c>
      <c r="I746" t="str">
        <f>PROPER(TRIM([1]raw_orders!I746))</f>
        <v>Ludhiana</v>
      </c>
      <c r="J746" t="str">
        <f>PROPER(TRIM([1]raw_orders!J746))</f>
        <v>Office Supplies</v>
      </c>
      <c r="K746" t="str">
        <f>PROPER(TRIM([1]raw_orders!K746))</f>
        <v>Binders</v>
      </c>
      <c r="L746" t="s">
        <v>2253</v>
      </c>
      <c r="M746" t="str">
        <f>IF('[1]Cleaned Text Field'!M746="","Unknown",'[1]Cleaned Text Field'!M746)</f>
        <v>First Class</v>
      </c>
      <c r="N746">
        <f>IF('[1]Cleaned Text Field'!N746="",0,'[1]Cleaned Text Field'!N746)</f>
        <v>5</v>
      </c>
      <c r="O746">
        <v>2701.89</v>
      </c>
      <c r="P746" s="5">
        <f>IF('[1]Cleaned Text Field'!P746="",0,'[1]Cleaned Text Field'!P746)</f>
        <v>0.1</v>
      </c>
      <c r="Q746">
        <v>12158.5</v>
      </c>
      <c r="R746">
        <v>10260.07</v>
      </c>
      <c r="S746">
        <v>1898.43</v>
      </c>
      <c r="T746" t="str">
        <f>PROPER(TRIM([1]raw_orders!T746))</f>
        <v>Paid</v>
      </c>
      <c r="U746" t="str">
        <f>PROPER(TRIM([1]raw_orders!U746))</f>
        <v>Cancelled</v>
      </c>
      <c r="V746" s="6">
        <f t="shared" si="88"/>
        <v>0.15614014886704775</v>
      </c>
      <c r="W746" t="str">
        <f t="shared" si="89"/>
        <v>August</v>
      </c>
      <c r="X746">
        <f t="shared" si="90"/>
        <v>2025</v>
      </c>
      <c r="Y746">
        <f t="shared" si="91"/>
        <v>3</v>
      </c>
      <c r="Z746" s="7">
        <f t="shared" si="92"/>
        <v>0.1</v>
      </c>
      <c r="AA746">
        <f t="shared" si="93"/>
        <v>12158.504999999999</v>
      </c>
      <c r="AB746">
        <f t="shared" si="94"/>
        <v>1898.4300000000003</v>
      </c>
      <c r="AC746" t="str">
        <f t="shared" si="95"/>
        <v>Clean</v>
      </c>
    </row>
    <row r="747" spans="1:29">
      <c r="A747" t="s">
        <v>2254</v>
      </c>
      <c r="B747" s="4">
        <v>45589</v>
      </c>
      <c r="C747" s="4">
        <v>45593</v>
      </c>
      <c r="D747" t="s">
        <v>2255</v>
      </c>
      <c r="E747" t="str">
        <f>PROPER(TRIM([1]raw_orders!E747))</f>
        <v>Mira Das</v>
      </c>
      <c r="F747" t="str">
        <f>PROPER(TRIM([1]raw_orders!F747))</f>
        <v>Small Business</v>
      </c>
      <c r="G747" t="str">
        <f>IF('[1]Cleaned Text Field'!G747="","Unknown",'[1]Cleaned Text Field'!G747)</f>
        <v>East</v>
      </c>
      <c r="H747" t="str">
        <f>PROPER(TRIM([1]raw_orders!H747))</f>
        <v>Assam</v>
      </c>
      <c r="I747" t="str">
        <f>PROPER(TRIM([1]raw_orders!I747))</f>
        <v>Guwahati</v>
      </c>
      <c r="J747" t="str">
        <f>PROPER(TRIM([1]raw_orders!J747))</f>
        <v>Technology</v>
      </c>
      <c r="K747" t="str">
        <f>PROPER(TRIM([1]raw_orders!K747))</f>
        <v>Copiers</v>
      </c>
      <c r="L747" t="s">
        <v>2256</v>
      </c>
      <c r="M747" t="str">
        <f>IF('[1]Cleaned Text Field'!M747="","Unknown",'[1]Cleaned Text Field'!M747)</f>
        <v>Standard Class</v>
      </c>
      <c r="N747">
        <f>IF('[1]Cleaned Text Field'!N747="",0,'[1]Cleaned Text Field'!N747)</f>
        <v>3</v>
      </c>
      <c r="O747">
        <v>723.59</v>
      </c>
      <c r="P747" s="5">
        <f>IF('[1]Cleaned Text Field'!P747="",0,'[1]Cleaned Text Field'!P747)</f>
        <v>0.2</v>
      </c>
      <c r="Q747">
        <v>1736.62</v>
      </c>
      <c r="R747">
        <v>1059.52</v>
      </c>
      <c r="S747">
        <v>677.1</v>
      </c>
      <c r="T747" t="str">
        <f>PROPER(TRIM([1]raw_orders!T747))</f>
        <v>Paid</v>
      </c>
      <c r="U747" t="str">
        <f>PROPER(TRIM([1]raw_orders!U747))</f>
        <v>Completed</v>
      </c>
      <c r="V747" s="6">
        <f t="shared" si="88"/>
        <v>0.3898953138855939</v>
      </c>
      <c r="W747" t="str">
        <f t="shared" si="89"/>
        <v>October</v>
      </c>
      <c r="X747">
        <f t="shared" si="90"/>
        <v>2024</v>
      </c>
      <c r="Y747">
        <f t="shared" si="91"/>
        <v>4</v>
      </c>
      <c r="Z747" s="7">
        <f t="shared" si="92"/>
        <v>0.2</v>
      </c>
      <c r="AA747">
        <f t="shared" si="93"/>
        <v>1736.616</v>
      </c>
      <c r="AB747">
        <f t="shared" si="94"/>
        <v>677.09999999999991</v>
      </c>
      <c r="AC747" t="str">
        <f t="shared" si="95"/>
        <v>Clean</v>
      </c>
    </row>
    <row r="748" spans="1:29">
      <c r="A748" t="s">
        <v>2257</v>
      </c>
      <c r="B748" s="4">
        <v>45661</v>
      </c>
      <c r="C748" s="4">
        <v>45931</v>
      </c>
      <c r="D748" t="s">
        <v>1966</v>
      </c>
      <c r="E748" t="str">
        <f>PROPER(TRIM([1]raw_orders!E748))</f>
        <v>Aarav Sharma</v>
      </c>
      <c r="F748" t="str">
        <f>PROPER(TRIM([1]raw_orders!F748))</f>
        <v>Home Office</v>
      </c>
      <c r="G748" t="str">
        <f>IF('[1]Cleaned Text Field'!G748="","Unknown",'[1]Cleaned Text Field'!G748)</f>
        <v>East</v>
      </c>
      <c r="H748" t="str">
        <f>PROPER(TRIM([1]raw_orders!H748))</f>
        <v>West Bengal</v>
      </c>
      <c r="I748" t="str">
        <f>PROPER(TRIM([1]raw_orders!I748))</f>
        <v>Kolkata</v>
      </c>
      <c r="J748" t="str">
        <f>PROPER(TRIM([1]raw_orders!J748))</f>
        <v>Office Supplies</v>
      </c>
      <c r="K748" t="str">
        <f>PROPER(TRIM([1]raw_orders!K748))</f>
        <v>Paper</v>
      </c>
      <c r="L748" t="s">
        <v>2258</v>
      </c>
      <c r="M748" t="str">
        <f>IF('[1]Cleaned Text Field'!M748="","Unknown",'[1]Cleaned Text Field'!M748)</f>
        <v>Standard Class</v>
      </c>
      <c r="N748">
        <f>IF('[1]Cleaned Text Field'!N748="",0,'[1]Cleaned Text Field'!N748)</f>
        <v>4</v>
      </c>
      <c r="O748">
        <v>2583.19</v>
      </c>
      <c r="P748" s="5">
        <f>IF('[1]Cleaned Text Field'!P748="",0,'[1]Cleaned Text Field'!P748)</f>
        <v>0.2</v>
      </c>
      <c r="Q748">
        <v>8266.2099999999991</v>
      </c>
      <c r="R748">
        <v>6236.32</v>
      </c>
      <c r="S748">
        <v>2029.89</v>
      </c>
      <c r="T748" t="str">
        <f>PROPER(TRIM([1]raw_orders!T748))</f>
        <v>Paid</v>
      </c>
      <c r="U748" t="str">
        <f>PROPER(TRIM([1]raw_orders!U748))</f>
        <v>Completed</v>
      </c>
      <c r="V748" s="6">
        <f t="shared" si="88"/>
        <v>0.2455647751508854</v>
      </c>
      <c r="W748" t="str">
        <f t="shared" si="89"/>
        <v>January</v>
      </c>
      <c r="X748">
        <f t="shared" si="90"/>
        <v>2025</v>
      </c>
      <c r="Y748">
        <f t="shared" si="91"/>
        <v>270</v>
      </c>
      <c r="Z748" s="7">
        <f t="shared" si="92"/>
        <v>0.2</v>
      </c>
      <c r="AA748">
        <f t="shared" si="93"/>
        <v>8266.2080000000005</v>
      </c>
      <c r="AB748">
        <f t="shared" si="94"/>
        <v>2029.8899999999994</v>
      </c>
      <c r="AC748" t="str">
        <f t="shared" si="95"/>
        <v>Clean</v>
      </c>
    </row>
    <row r="749" spans="1:29">
      <c r="A749" t="s">
        <v>2259</v>
      </c>
      <c r="B749" s="4">
        <v>45413</v>
      </c>
      <c r="C749" s="4">
        <v>45419</v>
      </c>
      <c r="D749" t="s">
        <v>2260</v>
      </c>
      <c r="E749" t="str">
        <f>PROPER(TRIM([1]raw_orders!E749))</f>
        <v>Isha Nair</v>
      </c>
      <c r="F749" t="str">
        <f>PROPER(TRIM([1]raw_orders!F749))</f>
        <v>Home Office</v>
      </c>
      <c r="G749" t="str">
        <f>IF('[1]Cleaned Text Field'!G749="","Unknown",'[1]Cleaned Text Field'!G749)</f>
        <v>East</v>
      </c>
      <c r="H749" t="str">
        <f>PROPER(TRIM([1]raw_orders!H749))</f>
        <v>Odisha</v>
      </c>
      <c r="I749" t="str">
        <f>PROPER(TRIM([1]raw_orders!I749))</f>
        <v>Bhubaneswar</v>
      </c>
      <c r="J749" t="str">
        <f>PROPER(TRIM([1]raw_orders!J749))</f>
        <v>Office Supplies</v>
      </c>
      <c r="K749" t="str">
        <f>PROPER(TRIM([1]raw_orders!K749))</f>
        <v>Paper</v>
      </c>
      <c r="L749" t="s">
        <v>2261</v>
      </c>
      <c r="M749" t="str">
        <f>IF('[1]Cleaned Text Field'!M749="","Unknown",'[1]Cleaned Text Field'!M749)</f>
        <v>Same Day</v>
      </c>
      <c r="N749">
        <f>IF('[1]Cleaned Text Field'!N749="",0,'[1]Cleaned Text Field'!N749)</f>
        <v>8</v>
      </c>
      <c r="O749">
        <v>1473.83</v>
      </c>
      <c r="P749" s="5">
        <f>IF('[1]Cleaned Text Field'!P749="",0,'[1]Cleaned Text Field'!P749)</f>
        <v>0.15</v>
      </c>
      <c r="Q749">
        <v>10022.040000000001</v>
      </c>
      <c r="R749">
        <v>5576.98</v>
      </c>
      <c r="S749">
        <v>4445.0600000000004</v>
      </c>
      <c r="T749" t="str">
        <f>PROPER(TRIM([1]raw_orders!T749))</f>
        <v>Paid</v>
      </c>
      <c r="U749" t="str">
        <f>PROPER(TRIM([1]raw_orders!U749))</f>
        <v>Completed</v>
      </c>
      <c r="V749" s="6">
        <f t="shared" si="88"/>
        <v>0.4435284632669596</v>
      </c>
      <c r="W749" t="str">
        <f t="shared" si="89"/>
        <v>May</v>
      </c>
      <c r="X749">
        <f t="shared" si="90"/>
        <v>2024</v>
      </c>
      <c r="Y749">
        <f t="shared" si="91"/>
        <v>6</v>
      </c>
      <c r="Z749" s="7">
        <f t="shared" si="92"/>
        <v>0.15</v>
      </c>
      <c r="AA749">
        <f t="shared" si="93"/>
        <v>10022.044</v>
      </c>
      <c r="AB749">
        <f t="shared" si="94"/>
        <v>4445.0600000000013</v>
      </c>
      <c r="AC749" t="str">
        <f t="shared" si="95"/>
        <v>Clean</v>
      </c>
    </row>
    <row r="750" spans="1:29">
      <c r="A750" t="s">
        <v>2262</v>
      </c>
      <c r="B750" s="4">
        <v>45442</v>
      </c>
      <c r="C750" s="4">
        <v>45442</v>
      </c>
      <c r="D750" t="s">
        <v>2263</v>
      </c>
      <c r="E750" t="str">
        <f>PROPER(TRIM([1]raw_orders!E750))</f>
        <v>Diya Patel</v>
      </c>
      <c r="F750" t="str">
        <f>PROPER(TRIM([1]raw_orders!F750))</f>
        <v>Home Office</v>
      </c>
      <c r="G750" t="str">
        <f>IF('[1]Cleaned Text Field'!G750="","Unknown",'[1]Cleaned Text Field'!G750)</f>
        <v>North</v>
      </c>
      <c r="H750" t="str">
        <f>PROPER(TRIM([1]raw_orders!H750))</f>
        <v>Haryana</v>
      </c>
      <c r="I750" t="str">
        <f>PROPER(TRIM([1]raw_orders!I750))</f>
        <v>Gurugram</v>
      </c>
      <c r="J750" t="str">
        <f>PROPER(TRIM([1]raw_orders!J750))</f>
        <v>Technology</v>
      </c>
      <c r="K750" t="str">
        <f>PROPER(TRIM([1]raw_orders!K750))</f>
        <v>Phones</v>
      </c>
      <c r="L750" t="s">
        <v>2264</v>
      </c>
      <c r="M750" t="str">
        <f>IF('[1]Cleaned Text Field'!M750="","Unknown",'[1]Cleaned Text Field'!M750)</f>
        <v>Second Class</v>
      </c>
      <c r="N750">
        <f>IF('[1]Cleaned Text Field'!N750="",0,'[1]Cleaned Text Field'!N750)</f>
        <v>1</v>
      </c>
      <c r="O750">
        <v>3848.04</v>
      </c>
      <c r="P750" s="5">
        <f>IF('[1]Cleaned Text Field'!P750="",0,'[1]Cleaned Text Field'!P750)</f>
        <v>0.25</v>
      </c>
      <c r="Q750">
        <v>2886.03</v>
      </c>
      <c r="R750">
        <v>2064.83</v>
      </c>
      <c r="S750">
        <v>821.2</v>
      </c>
      <c r="T750" t="str">
        <f>PROPER(TRIM([1]raw_orders!T750))</f>
        <v>Paid</v>
      </c>
      <c r="U750" t="str">
        <f>PROPER(TRIM([1]raw_orders!U750))</f>
        <v>Completed</v>
      </c>
      <c r="V750" s="6">
        <f t="shared" si="88"/>
        <v>0.28454312671732451</v>
      </c>
      <c r="W750" t="str">
        <f t="shared" si="89"/>
        <v>May</v>
      </c>
      <c r="X750">
        <f t="shared" si="90"/>
        <v>2024</v>
      </c>
      <c r="Y750">
        <f t="shared" si="91"/>
        <v>0</v>
      </c>
      <c r="Z750" s="7">
        <f t="shared" si="92"/>
        <v>0.25</v>
      </c>
      <c r="AA750">
        <f t="shared" si="93"/>
        <v>2886.0299999999997</v>
      </c>
      <c r="AB750">
        <f t="shared" si="94"/>
        <v>821.20000000000027</v>
      </c>
      <c r="AC750" t="str">
        <f t="shared" si="95"/>
        <v>Clean</v>
      </c>
    </row>
    <row r="751" spans="1:29">
      <c r="A751" t="s">
        <v>2265</v>
      </c>
      <c r="B751" s="4">
        <v>45372</v>
      </c>
      <c r="C751" s="4">
        <v>45376</v>
      </c>
      <c r="D751" t="s">
        <v>2266</v>
      </c>
      <c r="E751" t="str">
        <f>PROPER(TRIM([1]raw_orders!E751))</f>
        <v>Aditi Sen</v>
      </c>
      <c r="F751" t="str">
        <f>PROPER(TRIM([1]raw_orders!F751))</f>
        <v>Home Office</v>
      </c>
      <c r="G751" t="str">
        <f>IF('[1]Cleaned Text Field'!G751="","Unknown",'[1]Cleaned Text Field'!G751)</f>
        <v>East</v>
      </c>
      <c r="H751" t="str">
        <f>PROPER(TRIM([1]raw_orders!H751))</f>
        <v>Assam</v>
      </c>
      <c r="I751" t="str">
        <f>PROPER(TRIM([1]raw_orders!I751))</f>
        <v>Guwahati</v>
      </c>
      <c r="J751" t="str">
        <f>PROPER(TRIM([1]raw_orders!J751))</f>
        <v>Technology</v>
      </c>
      <c r="K751" t="str">
        <f>PROPER(TRIM([1]raw_orders!K751))</f>
        <v>Machines</v>
      </c>
      <c r="L751" t="s">
        <v>2267</v>
      </c>
      <c r="M751" t="str">
        <f>IF('[1]Cleaned Text Field'!M751="","Unknown",'[1]Cleaned Text Field'!M751)</f>
        <v>Standard Class</v>
      </c>
      <c r="N751">
        <f>IF('[1]Cleaned Text Field'!N751="",0,'[1]Cleaned Text Field'!N751)</f>
        <v>1</v>
      </c>
      <c r="O751">
        <v>1716.7</v>
      </c>
      <c r="P751" s="5">
        <f>IF('[1]Cleaned Text Field'!P751="",0,'[1]Cleaned Text Field'!P751)</f>
        <v>0.15</v>
      </c>
      <c r="Q751">
        <v>1459.19</v>
      </c>
      <c r="R751">
        <v>1055.79</v>
      </c>
      <c r="S751">
        <v>403.4</v>
      </c>
      <c r="T751" t="str">
        <f>PROPER(TRIM([1]raw_orders!T751))</f>
        <v>Paid</v>
      </c>
      <c r="U751" t="str">
        <f>PROPER(TRIM([1]raw_orders!U751))</f>
        <v>Completed</v>
      </c>
      <c r="V751" s="6">
        <f t="shared" si="88"/>
        <v>0.27645474544096382</v>
      </c>
      <c r="W751" t="str">
        <f t="shared" si="89"/>
        <v>March</v>
      </c>
      <c r="X751">
        <f t="shared" si="90"/>
        <v>2024</v>
      </c>
      <c r="Y751">
        <f t="shared" si="91"/>
        <v>4</v>
      </c>
      <c r="Z751" s="7">
        <f t="shared" si="92"/>
        <v>0.15</v>
      </c>
      <c r="AA751">
        <f t="shared" si="93"/>
        <v>1459.1949999999999</v>
      </c>
      <c r="AB751">
        <f t="shared" si="94"/>
        <v>403.40000000000009</v>
      </c>
      <c r="AC751" t="str">
        <f t="shared" si="95"/>
        <v>Clean</v>
      </c>
    </row>
    <row r="752" spans="1:29">
      <c r="A752" t="s">
        <v>2268</v>
      </c>
      <c r="B752" s="4">
        <v>45810</v>
      </c>
      <c r="C752" s="4">
        <v>45810</v>
      </c>
      <c r="D752" t="s">
        <v>2269</v>
      </c>
      <c r="E752" t="str">
        <f>PROPER(TRIM([1]raw_orders!E752))</f>
        <v>Aarav Sharma</v>
      </c>
      <c r="F752" t="str">
        <f>PROPER(TRIM([1]raw_orders!F752))</f>
        <v>Home Office</v>
      </c>
      <c r="G752" t="str">
        <f>IF('[1]Cleaned Text Field'!G752="","Unknown",'[1]Cleaned Text Field'!G752)</f>
        <v>South</v>
      </c>
      <c r="H752" t="str">
        <f>PROPER(TRIM([1]raw_orders!H752))</f>
        <v>Telangana</v>
      </c>
      <c r="I752" t="str">
        <f>PROPER(TRIM([1]raw_orders!I752))</f>
        <v>Hyderabad</v>
      </c>
      <c r="J752" t="str">
        <f>PROPER(TRIM([1]raw_orders!J752))</f>
        <v>Technology</v>
      </c>
      <c r="K752" t="str">
        <f>PROPER(TRIM([1]raw_orders!K752))</f>
        <v>Accessories</v>
      </c>
      <c r="L752" t="s">
        <v>2270</v>
      </c>
      <c r="M752" t="str">
        <f>IF('[1]Cleaned Text Field'!M752="","Unknown",'[1]Cleaned Text Field'!M752)</f>
        <v>First Class</v>
      </c>
      <c r="N752">
        <f>IF('[1]Cleaned Text Field'!N752="",0,'[1]Cleaned Text Field'!N752)</f>
        <v>8</v>
      </c>
      <c r="O752">
        <v>3925.93</v>
      </c>
      <c r="P752" s="5">
        <f>IF('[1]Cleaned Text Field'!P752="",0,'[1]Cleaned Text Field'!P752)</f>
        <v>0.15</v>
      </c>
      <c r="Q752">
        <v>26696.32</v>
      </c>
      <c r="R752">
        <v>22724.52</v>
      </c>
      <c r="S752">
        <v>3971.8</v>
      </c>
      <c r="T752" t="str">
        <f>PROPER(TRIM([1]raw_orders!T752))</f>
        <v>Paid</v>
      </c>
      <c r="U752" t="str">
        <f>PROPER(TRIM([1]raw_orders!U752))</f>
        <v>Completed</v>
      </c>
      <c r="V752" s="6">
        <f t="shared" si="88"/>
        <v>0.14877705990938078</v>
      </c>
      <c r="W752" t="str">
        <f t="shared" si="89"/>
        <v>June</v>
      </c>
      <c r="X752">
        <f t="shared" si="90"/>
        <v>2025</v>
      </c>
      <c r="Y752">
        <f t="shared" si="91"/>
        <v>0</v>
      </c>
      <c r="Z752" s="7">
        <f t="shared" si="92"/>
        <v>0.15</v>
      </c>
      <c r="AA752">
        <f t="shared" si="93"/>
        <v>26696.323999999997</v>
      </c>
      <c r="AB752">
        <f t="shared" si="94"/>
        <v>3971.7999999999993</v>
      </c>
      <c r="AC752" t="str">
        <f t="shared" si="95"/>
        <v>Clean</v>
      </c>
    </row>
    <row r="753" spans="1:29">
      <c r="A753" t="s">
        <v>2271</v>
      </c>
      <c r="B753" s="4">
        <v>45856</v>
      </c>
      <c r="C753" s="4">
        <v>45857</v>
      </c>
      <c r="D753" t="s">
        <v>2272</v>
      </c>
      <c r="E753" t="str">
        <f>PROPER(TRIM([1]raw_orders!E753))</f>
        <v>Priya Menon</v>
      </c>
      <c r="F753" t="str">
        <f>PROPER(TRIM([1]raw_orders!F753))</f>
        <v>Home Office</v>
      </c>
      <c r="G753" t="str">
        <f>IF('[1]Cleaned Text Field'!G753="","Unknown",'[1]Cleaned Text Field'!G753)</f>
        <v>Unknown</v>
      </c>
      <c r="H753" t="str">
        <f>PROPER(TRIM([1]raw_orders!H753))</f>
        <v>Uttar Pradesh</v>
      </c>
      <c r="I753" t="str">
        <f>PROPER(TRIM([1]raw_orders!I753))</f>
        <v>Noida</v>
      </c>
      <c r="J753" t="str">
        <f>PROPER(TRIM([1]raw_orders!J753))</f>
        <v>Technology</v>
      </c>
      <c r="K753" t="str">
        <f>PROPER(TRIM([1]raw_orders!K753))</f>
        <v>Machines</v>
      </c>
      <c r="L753" t="s">
        <v>2273</v>
      </c>
      <c r="M753" t="str">
        <f>IF('[1]Cleaned Text Field'!M753="","Unknown",'[1]Cleaned Text Field'!M753)</f>
        <v>Unknown</v>
      </c>
      <c r="N753">
        <f>IF('[1]Cleaned Text Field'!N753="",0,'[1]Cleaned Text Field'!N753)</f>
        <v>3</v>
      </c>
      <c r="O753">
        <v>2963.25</v>
      </c>
      <c r="P753" s="5">
        <f>IF('[1]Cleaned Text Field'!P753="",0,'[1]Cleaned Text Field'!P753)</f>
        <v>0.05</v>
      </c>
      <c r="Q753">
        <v>8445.26</v>
      </c>
      <c r="R753">
        <v>6937.6</v>
      </c>
      <c r="S753">
        <v>1507.66</v>
      </c>
      <c r="T753" t="str">
        <f>PROPER(TRIM([1]raw_orders!T753))</f>
        <v>Paid</v>
      </c>
      <c r="U753" t="str">
        <f>PROPER(TRIM([1]raw_orders!U753))</f>
        <v>Completed</v>
      </c>
      <c r="V753" s="6">
        <f t="shared" si="88"/>
        <v>0.17852144279749824</v>
      </c>
      <c r="W753" t="str">
        <f t="shared" si="89"/>
        <v>July</v>
      </c>
      <c r="X753">
        <f t="shared" si="90"/>
        <v>2025</v>
      </c>
      <c r="Y753">
        <f t="shared" si="91"/>
        <v>1</v>
      </c>
      <c r="Z753" s="7">
        <f t="shared" si="92"/>
        <v>0.05</v>
      </c>
      <c r="AA753">
        <f t="shared" si="93"/>
        <v>8445.2624999999989</v>
      </c>
      <c r="AB753">
        <f t="shared" si="94"/>
        <v>1507.6599999999999</v>
      </c>
      <c r="AC753" t="str">
        <f t="shared" si="95"/>
        <v>Clean</v>
      </c>
    </row>
    <row r="754" spans="1:29">
      <c r="A754" t="s">
        <v>2274</v>
      </c>
      <c r="B754" s="4">
        <v>45375</v>
      </c>
      <c r="C754" s="4">
        <v>45378</v>
      </c>
      <c r="D754" t="s">
        <v>2275</v>
      </c>
      <c r="E754" t="str">
        <f>PROPER(TRIM([1]raw_orders!E754))</f>
        <v>Aditi Sen</v>
      </c>
      <c r="F754" t="str">
        <f>PROPER(TRIM([1]raw_orders!F754))</f>
        <v>Corporate</v>
      </c>
      <c r="G754" t="str">
        <f>IF('[1]Cleaned Text Field'!G754="","Unknown",'[1]Cleaned Text Field'!G754)</f>
        <v>West</v>
      </c>
      <c r="H754" t="str">
        <f>PROPER(TRIM([1]raw_orders!H754))</f>
        <v>Gujarat</v>
      </c>
      <c r="I754" t="str">
        <f>PROPER(TRIM([1]raw_orders!I754))</f>
        <v>Ahmedabad</v>
      </c>
      <c r="J754" t="str">
        <f>PROPER(TRIM([1]raw_orders!J754))</f>
        <v>Office Supplies</v>
      </c>
      <c r="K754" t="str">
        <f>PROPER(TRIM([1]raw_orders!K754))</f>
        <v>Storage</v>
      </c>
      <c r="L754" t="s">
        <v>2276</v>
      </c>
      <c r="M754" t="str">
        <f>IF('[1]Cleaned Text Field'!M754="","Unknown",'[1]Cleaned Text Field'!M754)</f>
        <v>First Class</v>
      </c>
      <c r="N754">
        <f>IF('[1]Cleaned Text Field'!N754="",0,'[1]Cleaned Text Field'!N754)</f>
        <v>5</v>
      </c>
      <c r="O754">
        <v>2465.2199999999998</v>
      </c>
      <c r="P754" s="5">
        <f>IF('[1]Cleaned Text Field'!P754="",0,'[1]Cleaned Text Field'!P754)</f>
        <v>0.05</v>
      </c>
      <c r="Q754">
        <v>11709.79</v>
      </c>
      <c r="R754">
        <v>8372.2900000000009</v>
      </c>
      <c r="S754">
        <v>3337.5</v>
      </c>
      <c r="T754" t="str">
        <f>PROPER(TRIM([1]raw_orders!T754))</f>
        <v>Paid</v>
      </c>
      <c r="U754" t="str">
        <f>PROPER(TRIM([1]raw_orders!U754))</f>
        <v>Completed</v>
      </c>
      <c r="V754" s="6">
        <f t="shared" si="88"/>
        <v>0.28501792090208278</v>
      </c>
      <c r="W754" t="str">
        <f t="shared" si="89"/>
        <v>March</v>
      </c>
      <c r="X754">
        <f t="shared" si="90"/>
        <v>2024</v>
      </c>
      <c r="Y754">
        <f t="shared" si="91"/>
        <v>3</v>
      </c>
      <c r="Z754" s="7">
        <f t="shared" si="92"/>
        <v>0.05</v>
      </c>
      <c r="AA754">
        <f t="shared" si="93"/>
        <v>11709.794999999998</v>
      </c>
      <c r="AB754">
        <f t="shared" si="94"/>
        <v>3337.5</v>
      </c>
      <c r="AC754" t="str">
        <f t="shared" si="95"/>
        <v>Clean</v>
      </c>
    </row>
    <row r="755" spans="1:29">
      <c r="A755" t="s">
        <v>2277</v>
      </c>
      <c r="B755" s="4">
        <v>45515</v>
      </c>
      <c r="C755" s="4">
        <v>45573</v>
      </c>
      <c r="D755" t="s">
        <v>2278</v>
      </c>
      <c r="E755" t="str">
        <f>PROPER(TRIM([1]raw_orders!E755))</f>
        <v>Aditi Sen</v>
      </c>
      <c r="F755" t="str">
        <f>PROPER(TRIM([1]raw_orders!F755))</f>
        <v>Corporate</v>
      </c>
      <c r="G755" t="str">
        <f>IF('[1]Cleaned Text Field'!G755="","Unknown",'[1]Cleaned Text Field'!G755)</f>
        <v>North</v>
      </c>
      <c r="H755" t="str">
        <f>PROPER(TRIM([1]raw_orders!H755))</f>
        <v>Delhi</v>
      </c>
      <c r="I755" t="str">
        <f>PROPER(TRIM([1]raw_orders!I755))</f>
        <v>New Delhi</v>
      </c>
      <c r="J755" t="str">
        <f>PROPER(TRIM([1]raw_orders!J755))</f>
        <v>Furniture</v>
      </c>
      <c r="K755" t="str">
        <f>PROPER(TRIM([1]raw_orders!K755))</f>
        <v>Furnishings</v>
      </c>
      <c r="L755" t="s">
        <v>2279</v>
      </c>
      <c r="M755" t="str">
        <f>IF('[1]Cleaned Text Field'!M755="","Unknown",'[1]Cleaned Text Field'!M755)</f>
        <v>Second Class</v>
      </c>
      <c r="N755">
        <f>IF('[1]Cleaned Text Field'!N755="",0,'[1]Cleaned Text Field'!N755)</f>
        <v>3</v>
      </c>
      <c r="O755">
        <v>1017.22</v>
      </c>
      <c r="P755" s="5">
        <f>IF('[1]Cleaned Text Field'!P755="",0,'[1]Cleaned Text Field'!P755)</f>
        <v>0.15</v>
      </c>
      <c r="Q755">
        <v>2593.91</v>
      </c>
      <c r="R755">
        <v>1848.48</v>
      </c>
      <c r="S755">
        <v>745.43</v>
      </c>
      <c r="T755" t="str">
        <f>PROPER(TRIM([1]raw_orders!T755))</f>
        <v>Failed</v>
      </c>
      <c r="U755" t="str">
        <f>PROPER(TRIM([1]raw_orders!U755))</f>
        <v>Returned</v>
      </c>
      <c r="V755" s="6">
        <f t="shared" si="88"/>
        <v>0.28737697144465307</v>
      </c>
      <c r="W755" t="str">
        <f t="shared" si="89"/>
        <v>August</v>
      </c>
      <c r="X755">
        <f t="shared" si="90"/>
        <v>2024</v>
      </c>
      <c r="Y755">
        <f t="shared" si="91"/>
        <v>58</v>
      </c>
      <c r="Z755" s="7">
        <f t="shared" si="92"/>
        <v>0.15</v>
      </c>
      <c r="AA755">
        <f t="shared" si="93"/>
        <v>2593.9109999999996</v>
      </c>
      <c r="AB755">
        <f t="shared" si="94"/>
        <v>745.42999999999984</v>
      </c>
      <c r="AC755" t="str">
        <f t="shared" si="95"/>
        <v>Clean</v>
      </c>
    </row>
    <row r="756" spans="1:29">
      <c r="A756" t="s">
        <v>2280</v>
      </c>
      <c r="B756" s="4">
        <v>45812</v>
      </c>
      <c r="C756" s="4">
        <v>45812</v>
      </c>
      <c r="D756" t="s">
        <v>2281</v>
      </c>
      <c r="E756" t="str">
        <f>PROPER(TRIM([1]raw_orders!E756))</f>
        <v>Neha Gupta</v>
      </c>
      <c r="F756" t="str">
        <f>PROPER(TRIM([1]raw_orders!F756))</f>
        <v>Corporate</v>
      </c>
      <c r="G756" t="str">
        <f>IF('[1]Cleaned Text Field'!G756="","Unknown",'[1]Cleaned Text Field'!G756)</f>
        <v>South</v>
      </c>
      <c r="H756" t="str">
        <f>PROPER(TRIM([1]raw_orders!H756))</f>
        <v>Kerala</v>
      </c>
      <c r="I756" t="str">
        <f>PROPER(TRIM([1]raw_orders!I756))</f>
        <v>Kochi</v>
      </c>
      <c r="J756" t="str">
        <f>PROPER(TRIM([1]raw_orders!J756))</f>
        <v>Office Supplies</v>
      </c>
      <c r="K756" t="str">
        <f>PROPER(TRIM([1]raw_orders!K756))</f>
        <v>Storage</v>
      </c>
      <c r="L756" t="s">
        <v>2282</v>
      </c>
      <c r="M756" t="str">
        <f>IF('[1]Cleaned Text Field'!M756="","Unknown",'[1]Cleaned Text Field'!M756)</f>
        <v>Standard Class</v>
      </c>
      <c r="N756">
        <f>IF('[1]Cleaned Text Field'!N756="",0,'[1]Cleaned Text Field'!N756)</f>
        <v>4</v>
      </c>
      <c r="O756">
        <v>891.34</v>
      </c>
      <c r="P756" s="5">
        <f>IF('[1]Cleaned Text Field'!P756="",0,'[1]Cleaned Text Field'!P756)</f>
        <v>0.25</v>
      </c>
      <c r="Q756">
        <v>2674.02</v>
      </c>
      <c r="R756">
        <v>2207.5700000000002</v>
      </c>
      <c r="S756">
        <v>466.45</v>
      </c>
      <c r="T756" t="str">
        <f>PROPER(TRIM([1]raw_orders!T756))</f>
        <v>Paid</v>
      </c>
      <c r="U756" t="str">
        <f>PROPER(TRIM([1]raw_orders!U756))</f>
        <v>Completed</v>
      </c>
      <c r="V756" s="6">
        <f t="shared" si="88"/>
        <v>0.17443773793763695</v>
      </c>
      <c r="W756" t="str">
        <f t="shared" si="89"/>
        <v>June</v>
      </c>
      <c r="X756">
        <f t="shared" si="90"/>
        <v>2025</v>
      </c>
      <c r="Y756">
        <f t="shared" si="91"/>
        <v>0</v>
      </c>
      <c r="Z756" s="7">
        <f t="shared" si="92"/>
        <v>0.25</v>
      </c>
      <c r="AA756">
        <f t="shared" si="93"/>
        <v>2674.02</v>
      </c>
      <c r="AB756">
        <f t="shared" si="94"/>
        <v>466.44999999999982</v>
      </c>
      <c r="AC756" t="str">
        <f t="shared" si="95"/>
        <v>Clean</v>
      </c>
    </row>
    <row r="757" spans="1:29">
      <c r="A757" t="s">
        <v>2283</v>
      </c>
      <c r="B757" s="4">
        <v>45858</v>
      </c>
      <c r="C757" s="4">
        <v>45862</v>
      </c>
      <c r="D757" t="s">
        <v>2284</v>
      </c>
      <c r="E757" t="str">
        <f>PROPER(TRIM([1]raw_orders!E757))</f>
        <v>Priya Menon</v>
      </c>
      <c r="F757" t="str">
        <f>PROPER(TRIM([1]raw_orders!F757))</f>
        <v>Home Office</v>
      </c>
      <c r="G757" t="str">
        <f>IF('[1]Cleaned Text Field'!G757="","Unknown",'[1]Cleaned Text Field'!G757)</f>
        <v>West</v>
      </c>
      <c r="H757" t="str">
        <f>PROPER(TRIM([1]raw_orders!H757))</f>
        <v>Madhya Pradesh</v>
      </c>
      <c r="I757" t="str">
        <f>PROPER(TRIM([1]raw_orders!I757))</f>
        <v>Indore</v>
      </c>
      <c r="J757" t="str">
        <f>PROPER(TRIM([1]raw_orders!J757))</f>
        <v>Office Supplies</v>
      </c>
      <c r="K757" t="str">
        <f>PROPER(TRIM([1]raw_orders!K757))</f>
        <v>Storage</v>
      </c>
      <c r="L757" t="s">
        <v>2285</v>
      </c>
      <c r="M757" t="str">
        <f>IF('[1]Cleaned Text Field'!M757="","Unknown",'[1]Cleaned Text Field'!M757)</f>
        <v>Second Class</v>
      </c>
      <c r="N757">
        <f>IF('[1]Cleaned Text Field'!N757="",0,'[1]Cleaned Text Field'!N757)</f>
        <v>5</v>
      </c>
      <c r="O757">
        <v>2481.7399999999998</v>
      </c>
      <c r="P757" s="5">
        <f>IF('[1]Cleaned Text Field'!P757="",0,'[1]Cleaned Text Field'!P757)</f>
        <v>0.2</v>
      </c>
      <c r="Q757">
        <v>9926.9599999999991</v>
      </c>
      <c r="R757">
        <v>7994.98</v>
      </c>
      <c r="S757">
        <v>1931.98</v>
      </c>
      <c r="T757" t="str">
        <f>PROPER(TRIM([1]raw_orders!T757))</f>
        <v>Paid</v>
      </c>
      <c r="U757" t="str">
        <f>PROPER(TRIM([1]raw_orders!U757))</f>
        <v>Completed</v>
      </c>
      <c r="V757" s="6">
        <f t="shared" si="88"/>
        <v>0.19461950083409224</v>
      </c>
      <c r="W757" t="str">
        <f t="shared" si="89"/>
        <v>July</v>
      </c>
      <c r="X757">
        <f t="shared" si="90"/>
        <v>2025</v>
      </c>
      <c r="Y757">
        <f t="shared" si="91"/>
        <v>4</v>
      </c>
      <c r="Z757" s="7">
        <f t="shared" si="92"/>
        <v>0.2</v>
      </c>
      <c r="AA757">
        <f t="shared" si="93"/>
        <v>9926.9599999999991</v>
      </c>
      <c r="AB757">
        <f t="shared" si="94"/>
        <v>1931.9799999999996</v>
      </c>
      <c r="AC757" t="str">
        <f t="shared" si="95"/>
        <v>Clean</v>
      </c>
    </row>
    <row r="758" spans="1:29">
      <c r="A758" t="s">
        <v>2286</v>
      </c>
      <c r="B758" s="4">
        <v>45592</v>
      </c>
      <c r="C758" s="4">
        <v>45597</v>
      </c>
      <c r="D758" t="s">
        <v>2287</v>
      </c>
      <c r="E758" t="str">
        <f>PROPER(TRIM([1]raw_orders!E758))</f>
        <v>Rohan Mehta</v>
      </c>
      <c r="F758" t="str">
        <f>PROPER(TRIM([1]raw_orders!F758))</f>
        <v>Consumer</v>
      </c>
      <c r="G758" t="str">
        <f>IF('[1]Cleaned Text Field'!G758="","Unknown",'[1]Cleaned Text Field'!G758)</f>
        <v>North</v>
      </c>
      <c r="H758" t="str">
        <f>PROPER(TRIM([1]raw_orders!H758))</f>
        <v>Rajasthan</v>
      </c>
      <c r="I758" t="str">
        <f>PROPER(TRIM([1]raw_orders!I758))</f>
        <v>Jaipur</v>
      </c>
      <c r="J758" t="str">
        <f>PROPER(TRIM([1]raw_orders!J758))</f>
        <v>Technology</v>
      </c>
      <c r="K758" t="str">
        <f>PROPER(TRIM([1]raw_orders!K758))</f>
        <v>Accessories</v>
      </c>
      <c r="L758" t="s">
        <v>2288</v>
      </c>
      <c r="M758" t="str">
        <f>IF('[1]Cleaned Text Field'!M758="","Unknown",'[1]Cleaned Text Field'!M758)</f>
        <v>Same Day</v>
      </c>
      <c r="N758">
        <f>IF('[1]Cleaned Text Field'!N758="",0,'[1]Cleaned Text Field'!N758)</f>
        <v>7</v>
      </c>
      <c r="O758">
        <v>2177.1</v>
      </c>
      <c r="P758" s="5">
        <f>IF('[1]Cleaned Text Field'!P758="",0,'[1]Cleaned Text Field'!P758)</f>
        <v>0.2</v>
      </c>
      <c r="Q758">
        <v>12191.76</v>
      </c>
      <c r="R758">
        <v>10457.49</v>
      </c>
      <c r="S758">
        <v>1734.27</v>
      </c>
      <c r="T758" t="str">
        <f>PROPER(TRIM([1]raw_orders!T758))</f>
        <v>Paid</v>
      </c>
      <c r="U758" t="str">
        <f>PROPER(TRIM([1]raw_orders!U758))</f>
        <v>Returned</v>
      </c>
      <c r="V758" s="6">
        <f t="shared" si="88"/>
        <v>0.14224935530226973</v>
      </c>
      <c r="W758" t="str">
        <f t="shared" si="89"/>
        <v>October</v>
      </c>
      <c r="X758">
        <f t="shared" si="90"/>
        <v>2024</v>
      </c>
      <c r="Y758">
        <f t="shared" si="91"/>
        <v>5</v>
      </c>
      <c r="Z758" s="7">
        <f t="shared" si="92"/>
        <v>0.2</v>
      </c>
      <c r="AA758">
        <f t="shared" si="93"/>
        <v>12191.76</v>
      </c>
      <c r="AB758">
        <f t="shared" si="94"/>
        <v>1734.2700000000004</v>
      </c>
      <c r="AC758" t="str">
        <f t="shared" si="95"/>
        <v>Clean</v>
      </c>
    </row>
    <row r="759" spans="1:29">
      <c r="A759" t="s">
        <v>2289</v>
      </c>
      <c r="B759" s="4">
        <v>45870</v>
      </c>
      <c r="C759" s="4">
        <v>45872</v>
      </c>
      <c r="D759" t="s">
        <v>2290</v>
      </c>
      <c r="E759" t="str">
        <f>PROPER(TRIM([1]raw_orders!E759))</f>
        <v>Aditi Sen</v>
      </c>
      <c r="F759" t="str">
        <f>PROPER(TRIM([1]raw_orders!F759))</f>
        <v>Small Business</v>
      </c>
      <c r="G759" t="str">
        <f>IF('[1]Cleaned Text Field'!G759="","Unknown",'[1]Cleaned Text Field'!G759)</f>
        <v>South</v>
      </c>
      <c r="H759" t="str">
        <f>PROPER(TRIM([1]raw_orders!H759))</f>
        <v>Kerala</v>
      </c>
      <c r="I759" t="str">
        <f>PROPER(TRIM([1]raw_orders!I759))</f>
        <v>Kochi</v>
      </c>
      <c r="J759" t="str">
        <f>PROPER(TRIM([1]raw_orders!J759))</f>
        <v>Furniture</v>
      </c>
      <c r="K759" t="str">
        <f>PROPER(TRIM([1]raw_orders!K759))</f>
        <v>Bookcases</v>
      </c>
      <c r="L759" t="s">
        <v>2291</v>
      </c>
      <c r="M759" t="str">
        <f>IF('[1]Cleaned Text Field'!M759="","Unknown",'[1]Cleaned Text Field'!M759)</f>
        <v>Standard Class</v>
      </c>
      <c r="N759">
        <f>IF('[1]Cleaned Text Field'!N759="",0,'[1]Cleaned Text Field'!N759)</f>
        <v>3</v>
      </c>
      <c r="O759">
        <v>1904.78</v>
      </c>
      <c r="P759" s="5">
        <f>IF('[1]Cleaned Text Field'!P759="",0,'[1]Cleaned Text Field'!P759)</f>
        <v>0.25</v>
      </c>
      <c r="Q759">
        <v>4285.76</v>
      </c>
      <c r="R759">
        <v>2386.33</v>
      </c>
      <c r="S759">
        <v>1899.43</v>
      </c>
      <c r="T759" t="str">
        <f>PROPER(TRIM([1]raw_orders!T759))</f>
        <v>Failed</v>
      </c>
      <c r="U759" t="str">
        <f>PROPER(TRIM([1]raw_orders!U759))</f>
        <v>Cancelled</v>
      </c>
      <c r="V759" s="6">
        <f t="shared" si="88"/>
        <v>0.44319560591353691</v>
      </c>
      <c r="W759" t="str">
        <f t="shared" si="89"/>
        <v>August</v>
      </c>
      <c r="X759">
        <f t="shared" si="90"/>
        <v>2025</v>
      </c>
      <c r="Y759">
        <f t="shared" si="91"/>
        <v>2</v>
      </c>
      <c r="Z759" s="7">
        <f t="shared" si="92"/>
        <v>0.25</v>
      </c>
      <c r="AA759">
        <f t="shared" si="93"/>
        <v>4285.7550000000001</v>
      </c>
      <c r="AB759">
        <f t="shared" si="94"/>
        <v>1899.4300000000003</v>
      </c>
      <c r="AC759" t="str">
        <f t="shared" si="95"/>
        <v>Clean</v>
      </c>
    </row>
    <row r="760" spans="1:29">
      <c r="A760" t="s">
        <v>2292</v>
      </c>
      <c r="B760" s="4">
        <v>45414</v>
      </c>
      <c r="C760" s="4">
        <v>45422</v>
      </c>
      <c r="D760" t="s">
        <v>2293</v>
      </c>
      <c r="E760" t="str">
        <f>PROPER(TRIM([1]raw_orders!E760))</f>
        <v>Aarav Sharma</v>
      </c>
      <c r="F760" t="str">
        <f>PROPER(TRIM([1]raw_orders!F760))</f>
        <v>Small Business</v>
      </c>
      <c r="G760" t="str">
        <f>IF('[1]Cleaned Text Field'!G760="","Unknown",'[1]Cleaned Text Field'!G760)</f>
        <v>South</v>
      </c>
      <c r="H760" t="str">
        <f>PROPER(TRIM([1]raw_orders!H760))</f>
        <v>Karnataka</v>
      </c>
      <c r="I760" t="str">
        <f>PROPER(TRIM([1]raw_orders!I760))</f>
        <v>Bengaluru</v>
      </c>
      <c r="J760" t="str">
        <f>PROPER(TRIM([1]raw_orders!J760))</f>
        <v>Furniture</v>
      </c>
      <c r="K760" t="str">
        <f>PROPER(TRIM([1]raw_orders!K760))</f>
        <v>Chairs</v>
      </c>
      <c r="L760" t="s">
        <v>2294</v>
      </c>
      <c r="M760" t="str">
        <f>IF('[1]Cleaned Text Field'!M760="","Unknown",'[1]Cleaned Text Field'!M760)</f>
        <v>Standard Class</v>
      </c>
      <c r="N760">
        <f>IF('[1]Cleaned Text Field'!N760="",0,'[1]Cleaned Text Field'!N760)</f>
        <v>1</v>
      </c>
      <c r="O760">
        <v>4166.91</v>
      </c>
      <c r="P760" s="5">
        <f>IF('[1]Cleaned Text Field'!P760="",0,'[1]Cleaned Text Field'!P760)</f>
        <v>0</v>
      </c>
      <c r="Q760">
        <v>4166.91</v>
      </c>
      <c r="R760">
        <v>3412.63</v>
      </c>
      <c r="S760">
        <v>754.28</v>
      </c>
      <c r="T760" t="str">
        <f>PROPER(TRIM([1]raw_orders!T760))</f>
        <v>Paid</v>
      </c>
      <c r="U760" t="str">
        <f>PROPER(TRIM([1]raw_orders!U760))</f>
        <v>Completed</v>
      </c>
      <c r="V760" s="6">
        <f t="shared" si="88"/>
        <v>0.18101662862888807</v>
      </c>
      <c r="W760" t="str">
        <f t="shared" si="89"/>
        <v>May</v>
      </c>
      <c r="X760">
        <f t="shared" si="90"/>
        <v>2024</v>
      </c>
      <c r="Y760">
        <f t="shared" si="91"/>
        <v>8</v>
      </c>
      <c r="Z760" s="7">
        <f t="shared" si="92"/>
        <v>0</v>
      </c>
      <c r="AA760">
        <f t="shared" si="93"/>
        <v>4166.91</v>
      </c>
      <c r="AB760">
        <f t="shared" si="94"/>
        <v>754.27999999999975</v>
      </c>
      <c r="AC760" t="str">
        <f t="shared" si="95"/>
        <v>Clean</v>
      </c>
    </row>
    <row r="761" spans="1:29">
      <c r="A761" t="s">
        <v>2295</v>
      </c>
      <c r="B761" s="4">
        <v>45492</v>
      </c>
      <c r="C761" s="4">
        <v>45499</v>
      </c>
      <c r="D761" t="s">
        <v>2296</v>
      </c>
      <c r="E761" t="str">
        <f>PROPER(TRIM([1]raw_orders!E761))</f>
        <v>Arjun Bose</v>
      </c>
      <c r="F761" t="str">
        <f>PROPER(TRIM([1]raw_orders!F761))</f>
        <v>Home Office</v>
      </c>
      <c r="G761" t="str">
        <f>IF('[1]Cleaned Text Field'!G761="","Unknown",'[1]Cleaned Text Field'!G761)</f>
        <v>South</v>
      </c>
      <c r="H761" t="str">
        <f>PROPER(TRIM([1]raw_orders!H761))</f>
        <v>Karnataka</v>
      </c>
      <c r="I761" t="str">
        <f>PROPER(TRIM([1]raw_orders!I761))</f>
        <v>Bengaluru</v>
      </c>
      <c r="J761" t="str">
        <f>PROPER(TRIM([1]raw_orders!J761))</f>
        <v>Furniture</v>
      </c>
      <c r="K761" t="str">
        <f>PROPER(TRIM([1]raw_orders!K761))</f>
        <v>Tables</v>
      </c>
      <c r="L761" t="s">
        <v>2297</v>
      </c>
      <c r="M761" t="str">
        <f>IF('[1]Cleaned Text Field'!M761="","Unknown",'[1]Cleaned Text Field'!M761)</f>
        <v>Second Class</v>
      </c>
      <c r="N761">
        <f>IF('[1]Cleaned Text Field'!N761="",0,'[1]Cleaned Text Field'!N761)</f>
        <v>5</v>
      </c>
      <c r="O761">
        <v>3986.01</v>
      </c>
      <c r="P761" s="5">
        <f>IF('[1]Cleaned Text Field'!P761="",0,'[1]Cleaned Text Field'!P761)</f>
        <v>0.25</v>
      </c>
      <c r="Q761">
        <v>14947.54</v>
      </c>
      <c r="R761">
        <v>9438.4599999999991</v>
      </c>
      <c r="S761">
        <v>5509.08</v>
      </c>
      <c r="T761" t="str">
        <f>PROPER(TRIM([1]raw_orders!T761))</f>
        <v>Paid</v>
      </c>
      <c r="U761" t="str">
        <f>PROPER(TRIM([1]raw_orders!U761))</f>
        <v>Completed</v>
      </c>
      <c r="V761" s="6">
        <f t="shared" si="88"/>
        <v>0.36856098060282827</v>
      </c>
      <c r="W761" t="str">
        <f t="shared" si="89"/>
        <v>July</v>
      </c>
      <c r="X761">
        <f t="shared" si="90"/>
        <v>2024</v>
      </c>
      <c r="Y761">
        <f t="shared" si="91"/>
        <v>7</v>
      </c>
      <c r="Z761" s="7">
        <f t="shared" si="92"/>
        <v>0.25</v>
      </c>
      <c r="AA761">
        <f t="shared" si="93"/>
        <v>14947.537500000002</v>
      </c>
      <c r="AB761">
        <f t="shared" si="94"/>
        <v>5509.0800000000017</v>
      </c>
      <c r="AC761" t="str">
        <f t="shared" si="95"/>
        <v>Clean</v>
      </c>
    </row>
    <row r="762" spans="1:29">
      <c r="A762" t="s">
        <v>2298</v>
      </c>
      <c r="B762" s="4">
        <v>45532</v>
      </c>
      <c r="C762" s="4">
        <v>45537</v>
      </c>
      <c r="D762" t="s">
        <v>2299</v>
      </c>
      <c r="E762" t="str">
        <f>PROPER(TRIM([1]raw_orders!E762))</f>
        <v>Aditi Sen</v>
      </c>
      <c r="F762" t="str">
        <f>PROPER(TRIM([1]raw_orders!F762))</f>
        <v>Home Office</v>
      </c>
      <c r="G762" t="str">
        <f>IF('[1]Cleaned Text Field'!G762="","Unknown",'[1]Cleaned Text Field'!G762)</f>
        <v>East</v>
      </c>
      <c r="H762" t="str">
        <f>PROPER(TRIM([1]raw_orders!H762))</f>
        <v>Assam</v>
      </c>
      <c r="I762" t="str">
        <f>PROPER(TRIM([1]raw_orders!I762))</f>
        <v>Guwahati</v>
      </c>
      <c r="J762" t="str">
        <f>PROPER(TRIM([1]raw_orders!J762))</f>
        <v>Office Supplies</v>
      </c>
      <c r="K762" t="str">
        <f>PROPER(TRIM([1]raw_orders!K762))</f>
        <v>Art</v>
      </c>
      <c r="L762" t="s">
        <v>2300</v>
      </c>
      <c r="M762" t="str">
        <f>IF('[1]Cleaned Text Field'!M762="","Unknown",'[1]Cleaned Text Field'!M762)</f>
        <v>Second Class</v>
      </c>
      <c r="N762">
        <f>IF('[1]Cleaned Text Field'!N762="",0,'[1]Cleaned Text Field'!N762)</f>
        <v>4</v>
      </c>
      <c r="O762">
        <v>3365.53</v>
      </c>
      <c r="P762" s="5">
        <f>IF('[1]Cleaned Text Field'!P762="",0,'[1]Cleaned Text Field'!P762)</f>
        <v>0</v>
      </c>
      <c r="Q762">
        <v>13462.12</v>
      </c>
      <c r="R762">
        <v>7600.63</v>
      </c>
      <c r="S762">
        <v>5861.49</v>
      </c>
      <c r="T762" t="str">
        <f>PROPER(TRIM([1]raw_orders!T762))</f>
        <v>Pending</v>
      </c>
      <c r="U762" t="str">
        <f>PROPER(TRIM([1]raw_orders!U762))</f>
        <v>Returned</v>
      </c>
      <c r="V762" s="6">
        <f t="shared" si="88"/>
        <v>0.43540616188237807</v>
      </c>
      <c r="W762" t="str">
        <f t="shared" si="89"/>
        <v>August</v>
      </c>
      <c r="X762">
        <f t="shared" si="90"/>
        <v>2024</v>
      </c>
      <c r="Y762">
        <f t="shared" si="91"/>
        <v>5</v>
      </c>
      <c r="Z762" s="7">
        <f t="shared" si="92"/>
        <v>0</v>
      </c>
      <c r="AA762">
        <f t="shared" si="93"/>
        <v>13462.12</v>
      </c>
      <c r="AB762">
        <f t="shared" si="94"/>
        <v>5861.4900000000007</v>
      </c>
      <c r="AC762" t="str">
        <f t="shared" si="95"/>
        <v>Clean</v>
      </c>
    </row>
    <row r="763" spans="1:29">
      <c r="A763" t="s">
        <v>2301</v>
      </c>
      <c r="B763" s="4">
        <v>45896</v>
      </c>
      <c r="C763" s="4">
        <v>45900</v>
      </c>
      <c r="D763" t="s">
        <v>2302</v>
      </c>
      <c r="E763" t="str">
        <f>PROPER(TRIM([1]raw_orders!E763))</f>
        <v>Isha Nair</v>
      </c>
      <c r="F763" t="str">
        <f>PROPER(TRIM([1]raw_orders!F763))</f>
        <v>Consumer</v>
      </c>
      <c r="G763" t="str">
        <f>IF('[1]Cleaned Text Field'!G763="","Unknown",'[1]Cleaned Text Field'!G763)</f>
        <v>South</v>
      </c>
      <c r="H763" t="str">
        <f>PROPER(TRIM([1]raw_orders!H763))</f>
        <v>Karnataka</v>
      </c>
      <c r="I763" t="str">
        <f>PROPER(TRIM([1]raw_orders!I763))</f>
        <v>Bengaluru</v>
      </c>
      <c r="J763" t="str">
        <f>PROPER(TRIM([1]raw_orders!J763))</f>
        <v>Technology</v>
      </c>
      <c r="K763" t="str">
        <f>PROPER(TRIM([1]raw_orders!K763))</f>
        <v>Machines</v>
      </c>
      <c r="L763" t="s">
        <v>2303</v>
      </c>
      <c r="M763" t="str">
        <f>IF('[1]Cleaned Text Field'!M763="","Unknown",'[1]Cleaned Text Field'!M763)</f>
        <v>First Class</v>
      </c>
      <c r="N763">
        <f>IF('[1]Cleaned Text Field'!N763="",0,'[1]Cleaned Text Field'!N763)</f>
        <v>3</v>
      </c>
      <c r="O763">
        <v>2489.12</v>
      </c>
      <c r="P763" s="5">
        <f>IF('[1]Cleaned Text Field'!P763="",0,'[1]Cleaned Text Field'!P763)</f>
        <v>0</v>
      </c>
      <c r="Q763">
        <v>7467.36</v>
      </c>
      <c r="R763">
        <v>5010.6099999999997</v>
      </c>
      <c r="S763">
        <v>2456.75</v>
      </c>
      <c r="T763" t="str">
        <f>PROPER(TRIM([1]raw_orders!T763))</f>
        <v>Paid</v>
      </c>
      <c r="U763" t="str">
        <f>PROPER(TRIM([1]raw_orders!U763))</f>
        <v>Completed</v>
      </c>
      <c r="V763" s="6">
        <f t="shared" si="88"/>
        <v>0.32899846799940008</v>
      </c>
      <c r="W763" t="str">
        <f t="shared" si="89"/>
        <v>August</v>
      </c>
      <c r="X763">
        <f t="shared" si="90"/>
        <v>2025</v>
      </c>
      <c r="Y763">
        <f t="shared" si="91"/>
        <v>4</v>
      </c>
      <c r="Z763" s="7">
        <f t="shared" si="92"/>
        <v>0</v>
      </c>
      <c r="AA763">
        <f t="shared" si="93"/>
        <v>7467.36</v>
      </c>
      <c r="AB763">
        <f t="shared" si="94"/>
        <v>2456.75</v>
      </c>
      <c r="AC763" t="str">
        <f t="shared" si="95"/>
        <v>Clean</v>
      </c>
    </row>
    <row r="764" spans="1:29">
      <c r="A764" t="s">
        <v>2304</v>
      </c>
      <c r="B764" s="4">
        <v>45292</v>
      </c>
      <c r="C764" s="4">
        <v>45296</v>
      </c>
      <c r="D764" t="s">
        <v>2305</v>
      </c>
      <c r="E764" t="str">
        <f>PROPER(TRIM([1]raw_orders!E764))</f>
        <v>Diya Patel</v>
      </c>
      <c r="F764" t="str">
        <f>PROPER(TRIM([1]raw_orders!F764))</f>
        <v>Corporate</v>
      </c>
      <c r="G764" t="str">
        <f>IF('[1]Cleaned Text Field'!G764="","Unknown",'[1]Cleaned Text Field'!G764)</f>
        <v>West</v>
      </c>
      <c r="H764" t="str">
        <f>PROPER(TRIM([1]raw_orders!H764))</f>
        <v>Madhya Pradesh</v>
      </c>
      <c r="I764" t="str">
        <f>PROPER(TRIM([1]raw_orders!I764))</f>
        <v>Indore</v>
      </c>
      <c r="J764" t="str">
        <f>PROPER(TRIM([1]raw_orders!J764))</f>
        <v>Technology</v>
      </c>
      <c r="K764" t="str">
        <f>PROPER(TRIM([1]raw_orders!K764))</f>
        <v>Machines</v>
      </c>
      <c r="L764" t="s">
        <v>2306</v>
      </c>
      <c r="M764" t="str">
        <f>IF('[1]Cleaned Text Field'!M764="","Unknown",'[1]Cleaned Text Field'!M764)</f>
        <v>Second Class</v>
      </c>
      <c r="N764">
        <f>IF('[1]Cleaned Text Field'!N764="",0,'[1]Cleaned Text Field'!N764)</f>
        <v>2</v>
      </c>
      <c r="O764">
        <v>3694.12</v>
      </c>
      <c r="P764" s="5">
        <f>IF('[1]Cleaned Text Field'!P764="",0,'[1]Cleaned Text Field'!P764)</f>
        <v>0.2</v>
      </c>
      <c r="Q764">
        <v>5910.59</v>
      </c>
      <c r="R764">
        <v>4775.4399999999996</v>
      </c>
      <c r="S764">
        <v>1135.1500000000001</v>
      </c>
      <c r="T764" t="str">
        <f>PROPER(TRIM([1]raw_orders!T764))</f>
        <v>Refunded</v>
      </c>
      <c r="U764" t="str">
        <f>PROPER(TRIM([1]raw_orders!U764))</f>
        <v>Returned</v>
      </c>
      <c r="V764" s="6">
        <f t="shared" si="88"/>
        <v>0.19205358517508406</v>
      </c>
      <c r="W764" t="str">
        <f t="shared" si="89"/>
        <v>January</v>
      </c>
      <c r="X764">
        <f t="shared" si="90"/>
        <v>2024</v>
      </c>
      <c r="Y764">
        <f t="shared" si="91"/>
        <v>4</v>
      </c>
      <c r="Z764" s="7">
        <f t="shared" si="92"/>
        <v>0.2</v>
      </c>
      <c r="AA764">
        <f t="shared" si="93"/>
        <v>5910.5920000000006</v>
      </c>
      <c r="AB764">
        <f t="shared" si="94"/>
        <v>1135.1500000000005</v>
      </c>
      <c r="AC764" t="str">
        <f t="shared" si="95"/>
        <v>Clean</v>
      </c>
    </row>
    <row r="765" spans="1:29">
      <c r="A765" t="s">
        <v>2307</v>
      </c>
      <c r="B765" s="4">
        <v>45892</v>
      </c>
      <c r="C765" s="4">
        <v>45894</v>
      </c>
      <c r="D765" t="s">
        <v>2308</v>
      </c>
      <c r="E765" t="str">
        <f>PROPER(TRIM([1]raw_orders!E765))</f>
        <v>Diya Patel</v>
      </c>
      <c r="F765" t="str">
        <f>PROPER(TRIM([1]raw_orders!F765))</f>
        <v>Consumer</v>
      </c>
      <c r="G765" t="str">
        <f>IF('[1]Cleaned Text Field'!G765="","Unknown",'[1]Cleaned Text Field'!G765)</f>
        <v>North</v>
      </c>
      <c r="H765" t="str">
        <f>PROPER(TRIM([1]raw_orders!H765))</f>
        <v>Rajasthan</v>
      </c>
      <c r="I765" t="str">
        <f>PROPER(TRIM([1]raw_orders!I765))</f>
        <v>Jaipur</v>
      </c>
      <c r="J765" t="str">
        <f>PROPER(TRIM([1]raw_orders!J765))</f>
        <v>Furniture</v>
      </c>
      <c r="K765" t="str">
        <f>PROPER(TRIM([1]raw_orders!K765))</f>
        <v>Furnishings</v>
      </c>
      <c r="L765" t="s">
        <v>2309</v>
      </c>
      <c r="M765" t="str">
        <f>IF('[1]Cleaned Text Field'!M765="","Unknown",'[1]Cleaned Text Field'!M765)</f>
        <v>Same Day</v>
      </c>
      <c r="N765">
        <f>IF('[1]Cleaned Text Field'!N765="",0,'[1]Cleaned Text Field'!N765)</f>
        <v>6</v>
      </c>
      <c r="O765">
        <v>2742.48</v>
      </c>
      <c r="P765" s="5">
        <f>IF('[1]Cleaned Text Field'!P765="",0,'[1]Cleaned Text Field'!P765)</f>
        <v>0</v>
      </c>
      <c r="Q765">
        <v>16454.88</v>
      </c>
      <c r="R765">
        <v>12081.54</v>
      </c>
      <c r="S765">
        <v>4373.34</v>
      </c>
      <c r="T765" t="str">
        <f>PROPER(TRIM([1]raw_orders!T765))</f>
        <v>Paid</v>
      </c>
      <c r="U765" t="str">
        <f>PROPER(TRIM([1]raw_orders!U765))</f>
        <v>Completed</v>
      </c>
      <c r="V765" s="6">
        <f t="shared" si="88"/>
        <v>0.26577769026574488</v>
      </c>
      <c r="W765" t="str">
        <f t="shared" si="89"/>
        <v>August</v>
      </c>
      <c r="X765">
        <f t="shared" si="90"/>
        <v>2025</v>
      </c>
      <c r="Y765">
        <f t="shared" si="91"/>
        <v>2</v>
      </c>
      <c r="Z765" s="7">
        <f t="shared" si="92"/>
        <v>0</v>
      </c>
      <c r="AA765">
        <f t="shared" si="93"/>
        <v>16454.88</v>
      </c>
      <c r="AB765">
        <f t="shared" si="94"/>
        <v>4373.34</v>
      </c>
      <c r="AC765" t="str">
        <f t="shared" si="95"/>
        <v>Clean</v>
      </c>
    </row>
    <row r="766" spans="1:29">
      <c r="A766" t="s">
        <v>2310</v>
      </c>
      <c r="B766" s="4">
        <v>45760</v>
      </c>
      <c r="C766" s="4">
        <v>45760</v>
      </c>
      <c r="D766" t="s">
        <v>827</v>
      </c>
      <c r="E766" t="str">
        <f>PROPER(TRIM([1]raw_orders!E766))</f>
        <v>Priya Menon</v>
      </c>
      <c r="F766" t="str">
        <f>PROPER(TRIM([1]raw_orders!F766))</f>
        <v>Corporate</v>
      </c>
      <c r="G766" t="str">
        <f>IF('[1]Cleaned Text Field'!G766="","Unknown",'[1]Cleaned Text Field'!G766)</f>
        <v>South</v>
      </c>
      <c r="H766" t="str">
        <f>PROPER(TRIM([1]raw_orders!H766))</f>
        <v>Kerala</v>
      </c>
      <c r="I766" t="str">
        <f>PROPER(TRIM([1]raw_orders!I766))</f>
        <v>Kochi</v>
      </c>
      <c r="J766" t="str">
        <f>PROPER(TRIM([1]raw_orders!J766))</f>
        <v>Furniture</v>
      </c>
      <c r="K766" t="str">
        <f>PROPER(TRIM([1]raw_orders!K766))</f>
        <v>Bookcases</v>
      </c>
      <c r="L766" t="s">
        <v>2311</v>
      </c>
      <c r="M766" t="str">
        <f>IF('[1]Cleaned Text Field'!M766="","Unknown",'[1]Cleaned Text Field'!M766)</f>
        <v>First Class</v>
      </c>
      <c r="N766">
        <f>IF('[1]Cleaned Text Field'!N766="",0,'[1]Cleaned Text Field'!N766)</f>
        <v>6</v>
      </c>
      <c r="O766">
        <v>4414</v>
      </c>
      <c r="P766" s="5">
        <f>IF('[1]Cleaned Text Field'!P766="",0,'[1]Cleaned Text Field'!P766)</f>
        <v>0.05</v>
      </c>
      <c r="Q766">
        <v>25159.8</v>
      </c>
      <c r="R766">
        <v>21606.83</v>
      </c>
      <c r="S766">
        <v>3552.97</v>
      </c>
      <c r="T766" t="str">
        <f>PROPER(TRIM([1]raw_orders!T766))</f>
        <v>Paid</v>
      </c>
      <c r="U766" t="str">
        <f>PROPER(TRIM([1]raw_orders!U766))</f>
        <v>Completed</v>
      </c>
      <c r="V766" s="6">
        <f t="shared" si="88"/>
        <v>0.14121614639226066</v>
      </c>
      <c r="W766" t="str">
        <f t="shared" si="89"/>
        <v>April</v>
      </c>
      <c r="X766">
        <f t="shared" si="90"/>
        <v>2025</v>
      </c>
      <c r="Y766">
        <f t="shared" si="91"/>
        <v>0</v>
      </c>
      <c r="Z766" s="7">
        <f t="shared" si="92"/>
        <v>0.05</v>
      </c>
      <c r="AA766">
        <f t="shared" si="93"/>
        <v>25159.8</v>
      </c>
      <c r="AB766">
        <f t="shared" si="94"/>
        <v>3552.9699999999975</v>
      </c>
      <c r="AC766" t="str">
        <f t="shared" si="95"/>
        <v>Clean</v>
      </c>
    </row>
    <row r="767" spans="1:29">
      <c r="A767" t="s">
        <v>2312</v>
      </c>
      <c r="B767" s="4">
        <v>45837</v>
      </c>
      <c r="C767" s="4">
        <v>45841</v>
      </c>
      <c r="D767" t="s">
        <v>2313</v>
      </c>
      <c r="E767" t="str">
        <f>PROPER(TRIM([1]raw_orders!E767))</f>
        <v>Vikram Iyer</v>
      </c>
      <c r="F767" t="str">
        <f>PROPER(TRIM([1]raw_orders!F767))</f>
        <v>Corporate</v>
      </c>
      <c r="G767" t="str">
        <f>IF('[1]Cleaned Text Field'!G767="","Unknown",'[1]Cleaned Text Field'!G767)</f>
        <v>East</v>
      </c>
      <c r="H767" t="str">
        <f>PROPER(TRIM([1]raw_orders!H767))</f>
        <v>Jharkhand</v>
      </c>
      <c r="I767" t="str">
        <f>PROPER(TRIM([1]raw_orders!I767))</f>
        <v>Ranchi</v>
      </c>
      <c r="J767" t="str">
        <f>PROPER(TRIM([1]raw_orders!J767))</f>
        <v>Office Supplies</v>
      </c>
      <c r="K767" t="str">
        <f>PROPER(TRIM([1]raw_orders!K767))</f>
        <v>Labels</v>
      </c>
      <c r="L767" t="s">
        <v>2314</v>
      </c>
      <c r="M767" t="str">
        <f>IF('[1]Cleaned Text Field'!M767="","Unknown",'[1]Cleaned Text Field'!M767)</f>
        <v>First Class</v>
      </c>
      <c r="N767">
        <f>IF('[1]Cleaned Text Field'!N767="",0,'[1]Cleaned Text Field'!N767)</f>
        <v>3</v>
      </c>
      <c r="O767">
        <v>608.14</v>
      </c>
      <c r="P767" s="5">
        <f>IF('[1]Cleaned Text Field'!P767="",0,'[1]Cleaned Text Field'!P767)</f>
        <v>0</v>
      </c>
      <c r="Q767">
        <v>1824.42</v>
      </c>
      <c r="R767">
        <v>1214.8699999999999</v>
      </c>
      <c r="S767">
        <v>609.54999999999995</v>
      </c>
      <c r="T767" t="str">
        <f>PROPER(TRIM([1]raw_orders!T767))</f>
        <v>Paid</v>
      </c>
      <c r="U767" t="str">
        <f>PROPER(TRIM([1]raw_orders!U767))</f>
        <v>Completed</v>
      </c>
      <c r="V767" s="6">
        <f t="shared" si="88"/>
        <v>0.33410618169061945</v>
      </c>
      <c r="W767" t="str">
        <f t="shared" si="89"/>
        <v>June</v>
      </c>
      <c r="X767">
        <f t="shared" si="90"/>
        <v>2025</v>
      </c>
      <c r="Y767">
        <f t="shared" si="91"/>
        <v>4</v>
      </c>
      <c r="Z767" s="7">
        <f t="shared" si="92"/>
        <v>0</v>
      </c>
      <c r="AA767">
        <f t="shared" si="93"/>
        <v>1824.42</v>
      </c>
      <c r="AB767">
        <f t="shared" si="94"/>
        <v>609.55000000000018</v>
      </c>
      <c r="AC767" t="str">
        <f t="shared" si="95"/>
        <v>Clean</v>
      </c>
    </row>
    <row r="768" spans="1:29">
      <c r="A768" t="s">
        <v>2315</v>
      </c>
      <c r="B768" s="4">
        <v>45552</v>
      </c>
      <c r="C768" s="4">
        <v>45559</v>
      </c>
      <c r="D768" t="s">
        <v>2316</v>
      </c>
      <c r="E768" t="str">
        <f>PROPER(TRIM([1]raw_orders!E768))</f>
        <v>Mira Das</v>
      </c>
      <c r="F768" t="str">
        <f>PROPER(TRIM([1]raw_orders!F768))</f>
        <v>Corporate</v>
      </c>
      <c r="G768" t="str">
        <f>IF('[1]Cleaned Text Field'!G768="","Unknown",'[1]Cleaned Text Field'!G768)</f>
        <v>West</v>
      </c>
      <c r="H768" t="str">
        <f>PROPER(TRIM([1]raw_orders!H768))</f>
        <v>Gujarat</v>
      </c>
      <c r="I768" t="str">
        <f>PROPER(TRIM([1]raw_orders!I768))</f>
        <v>Ahmedabad</v>
      </c>
      <c r="J768" t="str">
        <f>PROPER(TRIM([1]raw_orders!J768))</f>
        <v>Office Supplies</v>
      </c>
      <c r="K768" t="str">
        <f>PROPER(TRIM([1]raw_orders!K768))</f>
        <v>Art</v>
      </c>
      <c r="L768" t="s">
        <v>2317</v>
      </c>
      <c r="M768" t="str">
        <f>IF('[1]Cleaned Text Field'!M768="","Unknown",'[1]Cleaned Text Field'!M768)</f>
        <v>Second Class</v>
      </c>
      <c r="N768">
        <f>IF('[1]Cleaned Text Field'!N768="",0,'[1]Cleaned Text Field'!N768)</f>
        <v>9</v>
      </c>
      <c r="O768">
        <v>2307.96</v>
      </c>
      <c r="P768" s="5">
        <f>IF('[1]Cleaned Text Field'!P768="",0,'[1]Cleaned Text Field'!P768)</f>
        <v>0.2</v>
      </c>
      <c r="Q768">
        <v>16617.310000000001</v>
      </c>
      <c r="R768">
        <v>9195.73</v>
      </c>
      <c r="S768">
        <v>7421.58</v>
      </c>
      <c r="T768" t="str">
        <f>PROPER(TRIM([1]raw_orders!T768))</f>
        <v>Paid</v>
      </c>
      <c r="U768" t="str">
        <f>PROPER(TRIM([1]raw_orders!U768))</f>
        <v>Cancelled</v>
      </c>
      <c r="V768" s="6">
        <f t="shared" si="88"/>
        <v>0.44661741280628448</v>
      </c>
      <c r="W768" t="str">
        <f t="shared" si="89"/>
        <v>September</v>
      </c>
      <c r="X768">
        <f t="shared" si="90"/>
        <v>2024</v>
      </c>
      <c r="Y768">
        <f t="shared" si="91"/>
        <v>7</v>
      </c>
      <c r="Z768" s="7">
        <f t="shared" si="92"/>
        <v>0.2</v>
      </c>
      <c r="AA768">
        <f t="shared" si="93"/>
        <v>16617.312000000002</v>
      </c>
      <c r="AB768">
        <f t="shared" si="94"/>
        <v>7421.5800000000017</v>
      </c>
      <c r="AC768" t="str">
        <f t="shared" si="95"/>
        <v>Clean</v>
      </c>
    </row>
    <row r="769" spans="1:29">
      <c r="A769" t="s">
        <v>2318</v>
      </c>
      <c r="B769" s="4">
        <v>45415</v>
      </c>
      <c r="C769" s="4">
        <v>45418</v>
      </c>
      <c r="D769" t="s">
        <v>2319</v>
      </c>
      <c r="E769" t="str">
        <f>PROPER(TRIM([1]raw_orders!E769))</f>
        <v>Ananya Rao</v>
      </c>
      <c r="F769" t="str">
        <f>PROPER(TRIM([1]raw_orders!F769))</f>
        <v>Home Office</v>
      </c>
      <c r="G769" t="str">
        <f>IF('[1]Cleaned Text Field'!G769="","Unknown",'[1]Cleaned Text Field'!G769)</f>
        <v>North</v>
      </c>
      <c r="H769" t="str">
        <f>PROPER(TRIM([1]raw_orders!H769))</f>
        <v>Uttar Pradesh</v>
      </c>
      <c r="I769" t="str">
        <f>PROPER(TRIM([1]raw_orders!I769))</f>
        <v>Noida</v>
      </c>
      <c r="J769" t="str">
        <f>PROPER(TRIM([1]raw_orders!J769))</f>
        <v>Office Supplies</v>
      </c>
      <c r="K769" t="str">
        <f>PROPER(TRIM([1]raw_orders!K769))</f>
        <v>Binders</v>
      </c>
      <c r="L769" t="s">
        <v>2320</v>
      </c>
      <c r="M769" t="str">
        <f>IF('[1]Cleaned Text Field'!M769="","Unknown",'[1]Cleaned Text Field'!M769)</f>
        <v>Standard Class</v>
      </c>
      <c r="N769">
        <f>IF('[1]Cleaned Text Field'!N769="",0,'[1]Cleaned Text Field'!N769)</f>
        <v>1</v>
      </c>
      <c r="O769">
        <v>1244.58</v>
      </c>
      <c r="P769" s="5">
        <f>IF('[1]Cleaned Text Field'!P769="",0,'[1]Cleaned Text Field'!P769)</f>
        <v>0.25</v>
      </c>
      <c r="Q769">
        <v>933.43</v>
      </c>
      <c r="R769">
        <v>583.09</v>
      </c>
      <c r="S769">
        <v>350.34</v>
      </c>
      <c r="T769" t="str">
        <f>PROPER(TRIM([1]raw_orders!T769))</f>
        <v>Paid</v>
      </c>
      <c r="U769" t="str">
        <f>PROPER(TRIM([1]raw_orders!U769))</f>
        <v>Completed</v>
      </c>
      <c r="V769" s="6">
        <f t="shared" si="88"/>
        <v>0.37532541272511061</v>
      </c>
      <c r="W769" t="str">
        <f t="shared" si="89"/>
        <v>May</v>
      </c>
      <c r="X769">
        <f t="shared" si="90"/>
        <v>2024</v>
      </c>
      <c r="Y769">
        <f t="shared" si="91"/>
        <v>3</v>
      </c>
      <c r="Z769" s="7">
        <f t="shared" si="92"/>
        <v>0.25</v>
      </c>
      <c r="AA769">
        <f t="shared" si="93"/>
        <v>933.43499999999995</v>
      </c>
      <c r="AB769">
        <f t="shared" si="94"/>
        <v>350.33999999999992</v>
      </c>
      <c r="AC769" t="str">
        <f t="shared" si="95"/>
        <v>Clean</v>
      </c>
    </row>
    <row r="770" spans="1:29">
      <c r="A770" t="s">
        <v>2321</v>
      </c>
      <c r="B770" s="4">
        <v>45749</v>
      </c>
      <c r="C770" s="4">
        <v>45751</v>
      </c>
      <c r="D770" t="s">
        <v>2322</v>
      </c>
      <c r="E770" t="str">
        <f>PROPER(TRIM([1]raw_orders!E770))</f>
        <v>Sneha Kapoor</v>
      </c>
      <c r="F770" t="str">
        <f>PROPER(TRIM([1]raw_orders!F770))</f>
        <v>Home Office</v>
      </c>
      <c r="G770" t="str">
        <f>IF('[1]Cleaned Text Field'!G770="","Unknown",'[1]Cleaned Text Field'!G770)</f>
        <v>East</v>
      </c>
      <c r="H770" t="str">
        <f>PROPER(TRIM([1]raw_orders!H770))</f>
        <v>Jharkhand</v>
      </c>
      <c r="I770" t="str">
        <f>PROPER(TRIM([1]raw_orders!I770))</f>
        <v>Ranchi</v>
      </c>
      <c r="J770" t="str">
        <f>PROPER(TRIM([1]raw_orders!J770))</f>
        <v>Office Supplies</v>
      </c>
      <c r="K770" t="str">
        <f>PROPER(TRIM([1]raw_orders!K770))</f>
        <v>Paper</v>
      </c>
      <c r="L770" t="s">
        <v>2323</v>
      </c>
      <c r="M770" t="str">
        <f>IF('[1]Cleaned Text Field'!M770="","Unknown",'[1]Cleaned Text Field'!M770)</f>
        <v>Same Day</v>
      </c>
      <c r="N770">
        <f>IF('[1]Cleaned Text Field'!N770="",0,'[1]Cleaned Text Field'!N770)</f>
        <v>5</v>
      </c>
      <c r="O770">
        <v>3234.24</v>
      </c>
      <c r="P770" s="5">
        <f>IF('[1]Cleaned Text Field'!P770="",0,'[1]Cleaned Text Field'!P770)</f>
        <v>0.1</v>
      </c>
      <c r="Q770">
        <v>14554.08</v>
      </c>
      <c r="R770">
        <v>11166.84</v>
      </c>
      <c r="S770">
        <v>3387.24</v>
      </c>
      <c r="T770" t="str">
        <f>PROPER(TRIM([1]raw_orders!T770))</f>
        <v>Paid</v>
      </c>
      <c r="U770" t="str">
        <f>PROPER(TRIM([1]raw_orders!U770))</f>
        <v>Completed</v>
      </c>
      <c r="V770" s="6">
        <f t="shared" si="88"/>
        <v>0.23273473830018798</v>
      </c>
      <c r="W770" t="str">
        <f t="shared" si="89"/>
        <v>April</v>
      </c>
      <c r="X770">
        <f t="shared" si="90"/>
        <v>2025</v>
      </c>
      <c r="Y770">
        <f t="shared" si="91"/>
        <v>2</v>
      </c>
      <c r="Z770" s="7">
        <f t="shared" si="92"/>
        <v>0.1</v>
      </c>
      <c r="AA770">
        <f t="shared" si="93"/>
        <v>14554.08</v>
      </c>
      <c r="AB770">
        <f t="shared" si="94"/>
        <v>3387.24</v>
      </c>
      <c r="AC770" t="str">
        <f t="shared" si="95"/>
        <v>Clean</v>
      </c>
    </row>
    <row r="771" spans="1:29">
      <c r="A771" t="s">
        <v>2324</v>
      </c>
      <c r="B771" s="4">
        <v>45423</v>
      </c>
      <c r="C771" s="4">
        <v>45425</v>
      </c>
      <c r="D771" t="s">
        <v>2325</v>
      </c>
      <c r="E771" t="str">
        <f>PROPER(TRIM([1]raw_orders!E771))</f>
        <v>Priya Menon</v>
      </c>
      <c r="F771" t="str">
        <f>PROPER(TRIM([1]raw_orders!F771))</f>
        <v>Home Office</v>
      </c>
      <c r="G771" t="str">
        <f>IF('[1]Cleaned Text Field'!G771="","Unknown",'[1]Cleaned Text Field'!G771)</f>
        <v>West</v>
      </c>
      <c r="H771" t="str">
        <f>PROPER(TRIM([1]raw_orders!H771))</f>
        <v>Goa</v>
      </c>
      <c r="I771" t="str">
        <f>PROPER(TRIM([1]raw_orders!I771))</f>
        <v>Panaji</v>
      </c>
      <c r="J771" t="str">
        <f>PROPER(TRIM([1]raw_orders!J771))</f>
        <v>Furniture</v>
      </c>
      <c r="K771" t="str">
        <f>PROPER(TRIM([1]raw_orders!K771))</f>
        <v>Bookcases</v>
      </c>
      <c r="L771" t="s">
        <v>2326</v>
      </c>
      <c r="M771" t="str">
        <f>IF('[1]Cleaned Text Field'!M771="","Unknown",'[1]Cleaned Text Field'!M771)</f>
        <v>Same Day</v>
      </c>
      <c r="N771">
        <f>IF('[1]Cleaned Text Field'!N771="",0,'[1]Cleaned Text Field'!N771)</f>
        <v>3</v>
      </c>
      <c r="O771">
        <v>3612.75</v>
      </c>
      <c r="P771" s="5">
        <f>IF('[1]Cleaned Text Field'!P771="",0,'[1]Cleaned Text Field'!P771)</f>
        <v>0.25</v>
      </c>
      <c r="Q771">
        <v>8128.69</v>
      </c>
      <c r="R771">
        <v>5071.66</v>
      </c>
      <c r="S771">
        <v>3057.03</v>
      </c>
      <c r="T771" t="str">
        <f>PROPER(TRIM([1]raw_orders!T771))</f>
        <v>Paid</v>
      </c>
      <c r="U771" t="str">
        <f>PROPER(TRIM([1]raw_orders!U771))</f>
        <v>Completed</v>
      </c>
      <c r="V771" s="6">
        <f t="shared" ref="V771:V834" si="96">IF(Q771=0,0,S771/Q771)</f>
        <v>0.37607904840755402</v>
      </c>
      <c r="W771" t="str">
        <f t="shared" ref="W771:W834" si="97">TEXT(B771,"mmmm")</f>
        <v>May</v>
      </c>
      <c r="X771">
        <f t="shared" ref="X771:X834" si="98">YEAR(B771)</f>
        <v>2024</v>
      </c>
      <c r="Y771">
        <f t="shared" ref="Y771:Y834" si="99">C771-B771</f>
        <v>2</v>
      </c>
      <c r="Z771" s="7">
        <f t="shared" ref="Z771:Z834" si="100">P771</f>
        <v>0.25</v>
      </c>
      <c r="AA771">
        <f t="shared" ref="AA771:AA834" si="101">N771*O771*(1-P771)</f>
        <v>8128.6875</v>
      </c>
      <c r="AB771">
        <f t="shared" ref="AB771:AB834" si="102">Q771-R771</f>
        <v>3057.0299999999997</v>
      </c>
      <c r="AC771" t="str">
        <f t="shared" ref="AC771:AC834" si="103">IF(OR(B771="",C771="",AA771&lt;=0),"Invalid",IF(Y771&lt;0,"Warning",IF(Z771&gt;100%,"Warning","Clean")))</f>
        <v>Clean</v>
      </c>
    </row>
    <row r="772" spans="1:29">
      <c r="A772" t="s">
        <v>2327</v>
      </c>
      <c r="B772" s="4">
        <v>45337</v>
      </c>
      <c r="C772" s="4">
        <v>45339</v>
      </c>
      <c r="D772" t="s">
        <v>2328</v>
      </c>
      <c r="E772" t="str">
        <f>PROPER(TRIM([1]raw_orders!E772))</f>
        <v>Neha Gupta</v>
      </c>
      <c r="F772" t="str">
        <f>PROPER(TRIM([1]raw_orders!F772))</f>
        <v>Consumer</v>
      </c>
      <c r="G772" t="str">
        <f>IF('[1]Cleaned Text Field'!G772="","Unknown",'[1]Cleaned Text Field'!G772)</f>
        <v>North</v>
      </c>
      <c r="H772" t="str">
        <f>PROPER(TRIM([1]raw_orders!H772))</f>
        <v>Uttar Pradesh</v>
      </c>
      <c r="I772" t="str">
        <f>PROPER(TRIM([1]raw_orders!I772))</f>
        <v>Noida</v>
      </c>
      <c r="J772" t="str">
        <f>PROPER(TRIM([1]raw_orders!J772))</f>
        <v>Technology</v>
      </c>
      <c r="K772" t="str">
        <f>PROPER(TRIM([1]raw_orders!K772))</f>
        <v>Copiers</v>
      </c>
      <c r="L772" t="s">
        <v>2329</v>
      </c>
      <c r="M772" t="str">
        <f>IF('[1]Cleaned Text Field'!M772="","Unknown",'[1]Cleaned Text Field'!M772)</f>
        <v>First Class</v>
      </c>
      <c r="N772">
        <f>IF('[1]Cleaned Text Field'!N772="",0,'[1]Cleaned Text Field'!N772)</f>
        <v>4</v>
      </c>
      <c r="O772">
        <v>863</v>
      </c>
      <c r="P772" s="5">
        <f>IF('[1]Cleaned Text Field'!P772="",0,'[1]Cleaned Text Field'!P772)</f>
        <v>0</v>
      </c>
      <c r="Q772">
        <v>3106.8</v>
      </c>
      <c r="R772">
        <v>2376.62</v>
      </c>
      <c r="S772">
        <v>730.18</v>
      </c>
      <c r="T772" t="str">
        <f>PROPER(TRIM([1]raw_orders!T772))</f>
        <v>Paid</v>
      </c>
      <c r="U772" t="str">
        <f>PROPER(TRIM([1]raw_orders!U772))</f>
        <v>Completed</v>
      </c>
      <c r="V772" s="6">
        <f t="shared" si="96"/>
        <v>0.23502639371700781</v>
      </c>
      <c r="W772" t="str">
        <f t="shared" si="97"/>
        <v>February</v>
      </c>
      <c r="X772">
        <f t="shared" si="98"/>
        <v>2024</v>
      </c>
      <c r="Y772">
        <f t="shared" si="99"/>
        <v>2</v>
      </c>
      <c r="Z772" s="7">
        <f t="shared" si="100"/>
        <v>0</v>
      </c>
      <c r="AA772">
        <f t="shared" si="101"/>
        <v>3452</v>
      </c>
      <c r="AB772">
        <f t="shared" si="102"/>
        <v>730.18000000000029</v>
      </c>
      <c r="AC772" t="str">
        <f t="shared" si="103"/>
        <v>Clean</v>
      </c>
    </row>
    <row r="773" spans="1:29">
      <c r="A773" t="s">
        <v>2330</v>
      </c>
      <c r="B773" s="4">
        <v>45485</v>
      </c>
      <c r="C773" s="4">
        <v>45487</v>
      </c>
      <c r="D773" t="s">
        <v>410</v>
      </c>
      <c r="E773" t="str">
        <f>PROPER(TRIM([1]raw_orders!E773))</f>
        <v>Ananya Rao</v>
      </c>
      <c r="F773" t="str">
        <f>PROPER(TRIM([1]raw_orders!F773))</f>
        <v>Consumer</v>
      </c>
      <c r="G773" t="str">
        <f>IF('[1]Cleaned Text Field'!G773="","Unknown",'[1]Cleaned Text Field'!G773)</f>
        <v>North</v>
      </c>
      <c r="H773" t="str">
        <f>PROPER(TRIM([1]raw_orders!H773))</f>
        <v>Haryana</v>
      </c>
      <c r="I773" t="str">
        <f>PROPER(TRIM([1]raw_orders!I773))</f>
        <v>Gurugram</v>
      </c>
      <c r="J773" t="str">
        <f>PROPER(TRIM([1]raw_orders!J773))</f>
        <v>Technology</v>
      </c>
      <c r="K773" t="str">
        <f>PROPER(TRIM([1]raw_orders!K773))</f>
        <v>Machines</v>
      </c>
      <c r="L773" t="s">
        <v>2331</v>
      </c>
      <c r="M773" t="str">
        <f>IF('[1]Cleaned Text Field'!M773="","Unknown",'[1]Cleaned Text Field'!M773)</f>
        <v>Second Class</v>
      </c>
      <c r="N773">
        <f>IF('[1]Cleaned Text Field'!N773="",0,'[1]Cleaned Text Field'!N773)</f>
        <v>4</v>
      </c>
      <c r="O773">
        <v>2131.41</v>
      </c>
      <c r="P773" s="5">
        <f>IF('[1]Cleaned Text Field'!P773="",0,'[1]Cleaned Text Field'!P773)</f>
        <v>0</v>
      </c>
      <c r="Q773">
        <v>6394.23</v>
      </c>
      <c r="R773">
        <v>3520.69</v>
      </c>
      <c r="S773">
        <v>2873.54</v>
      </c>
      <c r="T773" t="str">
        <f>PROPER(TRIM([1]raw_orders!T773))</f>
        <v>Paid</v>
      </c>
      <c r="U773" t="str">
        <f>PROPER(TRIM([1]raw_orders!U773))</f>
        <v>Completed</v>
      </c>
      <c r="V773" s="6">
        <f t="shared" si="96"/>
        <v>0.44939578338595892</v>
      </c>
      <c r="W773" t="str">
        <f t="shared" si="97"/>
        <v>July</v>
      </c>
      <c r="X773">
        <f t="shared" si="98"/>
        <v>2024</v>
      </c>
      <c r="Y773">
        <f t="shared" si="99"/>
        <v>2</v>
      </c>
      <c r="Z773" s="7">
        <f t="shared" si="100"/>
        <v>0</v>
      </c>
      <c r="AA773">
        <f t="shared" si="101"/>
        <v>8525.64</v>
      </c>
      <c r="AB773">
        <f t="shared" si="102"/>
        <v>2873.5399999999995</v>
      </c>
      <c r="AC773" t="str">
        <f t="shared" si="103"/>
        <v>Clean</v>
      </c>
    </row>
    <row r="774" spans="1:29">
      <c r="A774" t="s">
        <v>2332</v>
      </c>
      <c r="B774" s="4">
        <v>45853</v>
      </c>
      <c r="C774" s="4">
        <v>45857</v>
      </c>
      <c r="D774" t="s">
        <v>2333</v>
      </c>
      <c r="E774" t="str">
        <f>PROPER(TRIM([1]raw_orders!E774))</f>
        <v>Diya Patel</v>
      </c>
      <c r="F774" t="str">
        <f>PROPER(TRIM([1]raw_orders!F774))</f>
        <v>Consumer</v>
      </c>
      <c r="G774" t="str">
        <f>IF('[1]Cleaned Text Field'!G774="","Unknown",'[1]Cleaned Text Field'!G774)</f>
        <v>South</v>
      </c>
      <c r="H774" t="str">
        <f>PROPER(TRIM([1]raw_orders!H774))</f>
        <v>Tamil Nadu</v>
      </c>
      <c r="I774" t="str">
        <f>PROPER(TRIM([1]raw_orders!I774))</f>
        <v>Chennai</v>
      </c>
      <c r="J774" t="str">
        <f>PROPER(TRIM([1]raw_orders!J774))</f>
        <v>Furniture</v>
      </c>
      <c r="K774" t="str">
        <f>PROPER(TRIM([1]raw_orders!K774))</f>
        <v>Chairs</v>
      </c>
      <c r="L774" t="s">
        <v>2334</v>
      </c>
      <c r="M774" t="str">
        <f>IF('[1]Cleaned Text Field'!M774="","Unknown",'[1]Cleaned Text Field'!M774)</f>
        <v>Same Day</v>
      </c>
      <c r="N774">
        <f>IF('[1]Cleaned Text Field'!N774="",0,'[1]Cleaned Text Field'!N774)</f>
        <v>1</v>
      </c>
      <c r="O774">
        <v>3903.22</v>
      </c>
      <c r="P774" s="5">
        <f>IF('[1]Cleaned Text Field'!P774="",0,'[1]Cleaned Text Field'!P774)</f>
        <v>0.05</v>
      </c>
      <c r="Q774">
        <v>3708.06</v>
      </c>
      <c r="R774">
        <v>2760.29</v>
      </c>
      <c r="S774">
        <v>947.77</v>
      </c>
      <c r="T774" t="str">
        <f>PROPER(TRIM([1]raw_orders!T774))</f>
        <v>Pending</v>
      </c>
      <c r="U774" t="str">
        <f>PROPER(TRIM([1]raw_orders!U774))</f>
        <v>Cancelled</v>
      </c>
      <c r="V774" s="6">
        <f t="shared" si="96"/>
        <v>0.25559726649514841</v>
      </c>
      <c r="W774" t="str">
        <f t="shared" si="97"/>
        <v>July</v>
      </c>
      <c r="X774">
        <f t="shared" si="98"/>
        <v>2025</v>
      </c>
      <c r="Y774">
        <f t="shared" si="99"/>
        <v>4</v>
      </c>
      <c r="Z774" s="7">
        <f t="shared" si="100"/>
        <v>0.05</v>
      </c>
      <c r="AA774">
        <f t="shared" si="101"/>
        <v>3708.0589999999997</v>
      </c>
      <c r="AB774">
        <f t="shared" si="102"/>
        <v>947.77</v>
      </c>
      <c r="AC774" t="str">
        <f t="shared" si="103"/>
        <v>Clean</v>
      </c>
    </row>
    <row r="775" spans="1:29">
      <c r="A775" t="s">
        <v>2335</v>
      </c>
      <c r="B775" s="4">
        <v>45709</v>
      </c>
      <c r="C775" s="4">
        <v>45709</v>
      </c>
      <c r="D775" t="s">
        <v>2336</v>
      </c>
      <c r="E775" t="str">
        <f>PROPER(TRIM([1]raw_orders!E775))</f>
        <v>Karan Malhotra</v>
      </c>
      <c r="F775" t="str">
        <f>PROPER(TRIM([1]raw_orders!F775))</f>
        <v>Home Office</v>
      </c>
      <c r="G775" t="str">
        <f>IF('[1]Cleaned Text Field'!G775="","Unknown",'[1]Cleaned Text Field'!G775)</f>
        <v>West</v>
      </c>
      <c r="H775" t="str">
        <f>PROPER(TRIM([1]raw_orders!H775))</f>
        <v>Gujarat</v>
      </c>
      <c r="I775" t="str">
        <f>PROPER(TRIM([1]raw_orders!I775))</f>
        <v>Ahmedabad</v>
      </c>
      <c r="J775" t="str">
        <f>PROPER(TRIM([1]raw_orders!J775))</f>
        <v>Technology</v>
      </c>
      <c r="K775" t="str">
        <f>PROPER(TRIM([1]raw_orders!K775))</f>
        <v>Phones</v>
      </c>
      <c r="L775" t="s">
        <v>2337</v>
      </c>
      <c r="M775" t="str">
        <f>IF('[1]Cleaned Text Field'!M775="","Unknown",'[1]Cleaned Text Field'!M775)</f>
        <v>Unknown</v>
      </c>
      <c r="N775">
        <f>IF('[1]Cleaned Text Field'!N775="",0,'[1]Cleaned Text Field'!N775)</f>
        <v>4</v>
      </c>
      <c r="O775">
        <v>2945.07</v>
      </c>
      <c r="P775" s="5">
        <f>IF('[1]Cleaned Text Field'!P775="",0,'[1]Cleaned Text Field'!P775)</f>
        <v>0.2</v>
      </c>
      <c r="Q775">
        <v>9424.2199999999993</v>
      </c>
      <c r="R775">
        <v>6178.92</v>
      </c>
      <c r="S775">
        <v>3245.3</v>
      </c>
      <c r="T775" t="str">
        <f>PROPER(TRIM([1]raw_orders!T775))</f>
        <v>Paid</v>
      </c>
      <c r="U775" t="str">
        <f>PROPER(TRIM([1]raw_orders!U775))</f>
        <v>Completed</v>
      </c>
      <c r="V775" s="6">
        <f t="shared" si="96"/>
        <v>0.3443574110112031</v>
      </c>
      <c r="W775" t="str">
        <f t="shared" si="97"/>
        <v>February</v>
      </c>
      <c r="X775">
        <f t="shared" si="98"/>
        <v>2025</v>
      </c>
      <c r="Y775">
        <f t="shared" si="99"/>
        <v>0</v>
      </c>
      <c r="Z775" s="7">
        <f t="shared" si="100"/>
        <v>0.2</v>
      </c>
      <c r="AA775">
        <f t="shared" si="101"/>
        <v>9424.2240000000002</v>
      </c>
      <c r="AB775">
        <f t="shared" si="102"/>
        <v>3245.2999999999993</v>
      </c>
      <c r="AC775" t="str">
        <f t="shared" si="103"/>
        <v>Clean</v>
      </c>
    </row>
    <row r="776" spans="1:29">
      <c r="A776" t="s">
        <v>2338</v>
      </c>
      <c r="B776" s="4">
        <v>45846</v>
      </c>
      <c r="C776" s="4">
        <v>45876</v>
      </c>
      <c r="D776" t="s">
        <v>2339</v>
      </c>
      <c r="E776" t="str">
        <f>PROPER(TRIM([1]raw_orders!E776))</f>
        <v>Kabir Singh</v>
      </c>
      <c r="F776" t="str">
        <f>PROPER(TRIM([1]raw_orders!F776))</f>
        <v>Consumer</v>
      </c>
      <c r="G776" t="str">
        <f>IF('[1]Cleaned Text Field'!G776="","Unknown",'[1]Cleaned Text Field'!G776)</f>
        <v>West</v>
      </c>
      <c r="H776" t="str">
        <f>PROPER(TRIM([1]raw_orders!H776))</f>
        <v>Rajasthan</v>
      </c>
      <c r="I776" t="str">
        <f>PROPER(TRIM([1]raw_orders!I776))</f>
        <v>Udaipur</v>
      </c>
      <c r="J776" t="str">
        <f>PROPER(TRIM([1]raw_orders!J776))</f>
        <v>Technology</v>
      </c>
      <c r="K776" t="str">
        <f>PROPER(TRIM([1]raw_orders!K776))</f>
        <v>Machines</v>
      </c>
      <c r="L776" t="s">
        <v>2340</v>
      </c>
      <c r="M776" t="str">
        <f>IF('[1]Cleaned Text Field'!M776="","Unknown",'[1]Cleaned Text Field'!M776)</f>
        <v>Unknown</v>
      </c>
      <c r="N776">
        <f>IF('[1]Cleaned Text Field'!N776="",0,'[1]Cleaned Text Field'!N776)</f>
        <v>9</v>
      </c>
      <c r="O776">
        <v>1076.75</v>
      </c>
      <c r="P776" s="5">
        <f>IF('[1]Cleaned Text Field'!P776="",0,'[1]Cleaned Text Field'!P776)</f>
        <v>0.2</v>
      </c>
      <c r="Q776">
        <v>7752.6</v>
      </c>
      <c r="R776">
        <v>4689.3</v>
      </c>
      <c r="S776">
        <v>3063.3</v>
      </c>
      <c r="T776" t="str">
        <f>PROPER(TRIM([1]raw_orders!T776))</f>
        <v>Paid</v>
      </c>
      <c r="U776" t="str">
        <f>PROPER(TRIM([1]raw_orders!U776))</f>
        <v>Completed</v>
      </c>
      <c r="V776" s="6">
        <f t="shared" si="96"/>
        <v>0.39513195573098059</v>
      </c>
      <c r="W776" t="str">
        <f t="shared" si="97"/>
        <v>July</v>
      </c>
      <c r="X776">
        <f t="shared" si="98"/>
        <v>2025</v>
      </c>
      <c r="Y776">
        <f t="shared" si="99"/>
        <v>30</v>
      </c>
      <c r="Z776" s="7">
        <f t="shared" si="100"/>
        <v>0.2</v>
      </c>
      <c r="AA776">
        <f t="shared" si="101"/>
        <v>7752.6</v>
      </c>
      <c r="AB776">
        <f t="shared" si="102"/>
        <v>3063.3</v>
      </c>
      <c r="AC776" t="str">
        <f t="shared" si="103"/>
        <v>Clean</v>
      </c>
    </row>
    <row r="777" spans="1:29">
      <c r="A777" t="s">
        <v>2341</v>
      </c>
      <c r="B777" s="4">
        <v>45396</v>
      </c>
      <c r="C777" s="4">
        <v>45404</v>
      </c>
      <c r="D777" t="s">
        <v>2342</v>
      </c>
      <c r="E777" t="str">
        <f>PROPER(TRIM([1]raw_orders!E777))</f>
        <v>Arjun Bose</v>
      </c>
      <c r="F777" t="str">
        <f>PROPER(TRIM([1]raw_orders!F777))</f>
        <v>Consumer</v>
      </c>
      <c r="G777" t="str">
        <f>IF('[1]Cleaned Text Field'!G777="","Unknown",'[1]Cleaned Text Field'!G777)</f>
        <v>North</v>
      </c>
      <c r="H777" t="str">
        <f>PROPER(TRIM([1]raw_orders!H777))</f>
        <v>Haryana</v>
      </c>
      <c r="I777" t="str">
        <f>PROPER(TRIM([1]raw_orders!I777))</f>
        <v>Gurugram</v>
      </c>
      <c r="J777" t="str">
        <f>PROPER(TRIM([1]raw_orders!J777))</f>
        <v>Technology</v>
      </c>
      <c r="K777" t="str">
        <f>PROPER(TRIM([1]raw_orders!K777))</f>
        <v>Accessories</v>
      </c>
      <c r="L777" t="s">
        <v>2343</v>
      </c>
      <c r="M777" t="str">
        <f>IF('[1]Cleaned Text Field'!M777="","Unknown",'[1]Cleaned Text Field'!M777)</f>
        <v>Standard Class</v>
      </c>
      <c r="N777">
        <f>IF('[1]Cleaned Text Field'!N777="",0,'[1]Cleaned Text Field'!N777)</f>
        <v>8</v>
      </c>
      <c r="O777">
        <v>3956.12</v>
      </c>
      <c r="P777" s="5">
        <f>IF('[1]Cleaned Text Field'!P777="",0,'[1]Cleaned Text Field'!P777)</f>
        <v>0.25</v>
      </c>
      <c r="Q777">
        <v>23736.720000000001</v>
      </c>
      <c r="R777">
        <v>13890.9</v>
      </c>
      <c r="S777">
        <v>9845.82</v>
      </c>
      <c r="T777" t="str">
        <f>PROPER(TRIM([1]raw_orders!T777))</f>
        <v>Paid</v>
      </c>
      <c r="U777" t="str">
        <f>PROPER(TRIM([1]raw_orders!U777))</f>
        <v>Completed</v>
      </c>
      <c r="V777" s="6">
        <f t="shared" si="96"/>
        <v>0.4147927767610689</v>
      </c>
      <c r="W777" t="str">
        <f t="shared" si="97"/>
        <v>April</v>
      </c>
      <c r="X777">
        <f t="shared" si="98"/>
        <v>2024</v>
      </c>
      <c r="Y777">
        <f t="shared" si="99"/>
        <v>8</v>
      </c>
      <c r="Z777" s="7">
        <f t="shared" si="100"/>
        <v>0.25</v>
      </c>
      <c r="AA777">
        <f t="shared" si="101"/>
        <v>23736.720000000001</v>
      </c>
      <c r="AB777">
        <f t="shared" si="102"/>
        <v>9845.8200000000015</v>
      </c>
      <c r="AC777" t="str">
        <f t="shared" si="103"/>
        <v>Clean</v>
      </c>
    </row>
    <row r="778" spans="1:29">
      <c r="A778" t="s">
        <v>2344</v>
      </c>
      <c r="B778" s="4">
        <v>45875</v>
      </c>
      <c r="C778" s="4">
        <v>45821</v>
      </c>
      <c r="D778" t="s">
        <v>2345</v>
      </c>
      <c r="E778" t="str">
        <f>PROPER(TRIM([1]raw_orders!E778))</f>
        <v>Aditi Sen</v>
      </c>
      <c r="F778" t="str">
        <f>PROPER(TRIM([1]raw_orders!F778))</f>
        <v>Small Business</v>
      </c>
      <c r="G778" t="str">
        <f>IF('[1]Cleaned Text Field'!G778="","Unknown",'[1]Cleaned Text Field'!G778)</f>
        <v>North</v>
      </c>
      <c r="H778" t="str">
        <f>PROPER(TRIM([1]raw_orders!H778))</f>
        <v>Rajasthan</v>
      </c>
      <c r="I778" t="str">
        <f>PROPER(TRIM([1]raw_orders!I778))</f>
        <v>Jaipur</v>
      </c>
      <c r="J778" t="str">
        <f>PROPER(TRIM([1]raw_orders!J778))</f>
        <v>Technology</v>
      </c>
      <c r="K778" t="str">
        <f>PROPER(TRIM([1]raw_orders!K778))</f>
        <v>Copiers</v>
      </c>
      <c r="L778" t="s">
        <v>2346</v>
      </c>
      <c r="M778" t="str">
        <f>IF('[1]Cleaned Text Field'!M778="","Unknown",'[1]Cleaned Text Field'!M778)</f>
        <v>Second Class</v>
      </c>
      <c r="N778">
        <f>IF('[1]Cleaned Text Field'!N778="",0,'[1]Cleaned Text Field'!N778)</f>
        <v>7</v>
      </c>
      <c r="O778">
        <v>3857.13</v>
      </c>
      <c r="P778" s="5">
        <f>IF('[1]Cleaned Text Field'!P778="",0,'[1]Cleaned Text Field'!P778)</f>
        <v>0</v>
      </c>
      <c r="Q778">
        <v>26999.91</v>
      </c>
      <c r="R778">
        <v>17815.98</v>
      </c>
      <c r="S778">
        <v>9183.93</v>
      </c>
      <c r="T778" t="str">
        <f>PROPER(TRIM([1]raw_orders!T778))</f>
        <v>Paid</v>
      </c>
      <c r="U778" t="str">
        <f>PROPER(TRIM([1]raw_orders!U778))</f>
        <v>Completed</v>
      </c>
      <c r="V778" s="6">
        <f t="shared" si="96"/>
        <v>0.34014668937785347</v>
      </c>
      <c r="W778" t="str">
        <f t="shared" si="97"/>
        <v>August</v>
      </c>
      <c r="X778">
        <f t="shared" si="98"/>
        <v>2025</v>
      </c>
      <c r="Y778">
        <f t="shared" si="99"/>
        <v>-54</v>
      </c>
      <c r="Z778" s="7">
        <f t="shared" si="100"/>
        <v>0</v>
      </c>
      <c r="AA778">
        <f t="shared" si="101"/>
        <v>26999.91</v>
      </c>
      <c r="AB778">
        <f t="shared" si="102"/>
        <v>9183.93</v>
      </c>
      <c r="AC778" t="str">
        <f t="shared" si="103"/>
        <v>Warning</v>
      </c>
    </row>
    <row r="779" spans="1:29">
      <c r="A779" t="s">
        <v>2347</v>
      </c>
      <c r="B779" s="4">
        <v>45384</v>
      </c>
      <c r="C779" s="4">
        <v>45328</v>
      </c>
      <c r="D779" t="s">
        <v>2348</v>
      </c>
      <c r="E779" t="str">
        <f>PROPER(TRIM([1]raw_orders!E779))</f>
        <v>Kabir Singh</v>
      </c>
      <c r="F779" t="str">
        <f>PROPER(TRIM([1]raw_orders!F779))</f>
        <v>Small Business</v>
      </c>
      <c r="G779" t="str">
        <f>IF('[1]Cleaned Text Field'!G779="","Unknown",'[1]Cleaned Text Field'!G779)</f>
        <v>West</v>
      </c>
      <c r="H779" t="str">
        <f>PROPER(TRIM([1]raw_orders!H779))</f>
        <v>Madhya Pradesh</v>
      </c>
      <c r="I779" t="str">
        <f>PROPER(TRIM([1]raw_orders!I779))</f>
        <v>Indore</v>
      </c>
      <c r="J779" t="str">
        <f>PROPER(TRIM([1]raw_orders!J779))</f>
        <v>Technology</v>
      </c>
      <c r="K779" t="str">
        <f>PROPER(TRIM([1]raw_orders!K779))</f>
        <v>Accessories</v>
      </c>
      <c r="L779" t="s">
        <v>2349</v>
      </c>
      <c r="M779" t="str">
        <f>IF('[1]Cleaned Text Field'!M779="","Unknown",'[1]Cleaned Text Field'!M779)</f>
        <v>Second Class</v>
      </c>
      <c r="N779">
        <f>IF('[1]Cleaned Text Field'!N779="",0,'[1]Cleaned Text Field'!N779)</f>
        <v>4</v>
      </c>
      <c r="O779">
        <v>1489.74</v>
      </c>
      <c r="P779" s="5">
        <f>IF('[1]Cleaned Text Field'!P779="",0,'[1]Cleaned Text Field'!P779)</f>
        <v>0.15</v>
      </c>
      <c r="Q779">
        <v>5065.12</v>
      </c>
      <c r="R779">
        <v>3530.12</v>
      </c>
      <c r="S779">
        <v>1535</v>
      </c>
      <c r="T779" t="str">
        <f>PROPER(TRIM([1]raw_orders!T779))</f>
        <v>Failed</v>
      </c>
      <c r="U779" t="str">
        <f>PROPER(TRIM([1]raw_orders!U779))</f>
        <v>Cancelled</v>
      </c>
      <c r="V779" s="6">
        <f t="shared" si="96"/>
        <v>0.30305303724294785</v>
      </c>
      <c r="W779" t="str">
        <f t="shared" si="97"/>
        <v>April</v>
      </c>
      <c r="X779">
        <f t="shared" si="98"/>
        <v>2024</v>
      </c>
      <c r="Y779">
        <f t="shared" si="99"/>
        <v>-56</v>
      </c>
      <c r="Z779" s="7">
        <f t="shared" si="100"/>
        <v>0.15</v>
      </c>
      <c r="AA779">
        <f t="shared" si="101"/>
        <v>5065.116</v>
      </c>
      <c r="AB779">
        <f t="shared" si="102"/>
        <v>1535</v>
      </c>
      <c r="AC779" t="str">
        <f t="shared" si="103"/>
        <v>Warning</v>
      </c>
    </row>
    <row r="780" spans="1:29">
      <c r="A780" t="s">
        <v>2350</v>
      </c>
      <c r="B780" s="4">
        <v>45497</v>
      </c>
      <c r="C780" s="4">
        <v>45497</v>
      </c>
      <c r="D780" t="s">
        <v>2351</v>
      </c>
      <c r="E780" t="str">
        <f>PROPER(TRIM([1]raw_orders!E780))</f>
        <v>Karan Malhotra</v>
      </c>
      <c r="F780" t="str">
        <f>PROPER(TRIM([1]raw_orders!F780))</f>
        <v>Small Business</v>
      </c>
      <c r="G780" t="str">
        <f>IF('[1]Cleaned Text Field'!G780="","Unknown",'[1]Cleaned Text Field'!G780)</f>
        <v>North</v>
      </c>
      <c r="H780" t="str">
        <f>PROPER(TRIM([1]raw_orders!H780))</f>
        <v>Haryana</v>
      </c>
      <c r="I780" t="str">
        <f>PROPER(TRIM([1]raw_orders!I780))</f>
        <v>Gurugram</v>
      </c>
      <c r="J780" t="str">
        <f>PROPER(TRIM([1]raw_orders!J780))</f>
        <v>Technology</v>
      </c>
      <c r="K780" t="str">
        <f>PROPER(TRIM([1]raw_orders!K780))</f>
        <v>Copiers</v>
      </c>
      <c r="L780" t="s">
        <v>2352</v>
      </c>
      <c r="M780" t="str">
        <f>IF('[1]Cleaned Text Field'!M780="","Unknown",'[1]Cleaned Text Field'!M780)</f>
        <v>Second Class</v>
      </c>
      <c r="N780">
        <f>IF('[1]Cleaned Text Field'!N780="",0,'[1]Cleaned Text Field'!N780)</f>
        <v>4</v>
      </c>
      <c r="O780">
        <v>1676.88</v>
      </c>
      <c r="P780" s="5">
        <f>IF('[1]Cleaned Text Field'!P780="",0,'[1]Cleaned Text Field'!P780)</f>
        <v>0</v>
      </c>
      <c r="Q780">
        <v>6707.52</v>
      </c>
      <c r="R780">
        <v>5672.57</v>
      </c>
      <c r="S780">
        <v>1034.95</v>
      </c>
      <c r="T780" t="str">
        <f>PROPER(TRIM([1]raw_orders!T780))</f>
        <v>Paid</v>
      </c>
      <c r="U780" t="str">
        <f>PROPER(TRIM([1]raw_orders!U780))</f>
        <v>Completed</v>
      </c>
      <c r="V780" s="6">
        <f t="shared" si="96"/>
        <v>0.1542969681789991</v>
      </c>
      <c r="W780" t="str">
        <f t="shared" si="97"/>
        <v>July</v>
      </c>
      <c r="X780">
        <f t="shared" si="98"/>
        <v>2024</v>
      </c>
      <c r="Y780">
        <f t="shared" si="99"/>
        <v>0</v>
      </c>
      <c r="Z780" s="7">
        <f t="shared" si="100"/>
        <v>0</v>
      </c>
      <c r="AA780">
        <f t="shared" si="101"/>
        <v>6707.52</v>
      </c>
      <c r="AB780">
        <f t="shared" si="102"/>
        <v>1034.9500000000007</v>
      </c>
      <c r="AC780" t="str">
        <f t="shared" si="103"/>
        <v>Clean</v>
      </c>
    </row>
    <row r="781" spans="1:29">
      <c r="A781" t="s">
        <v>2353</v>
      </c>
      <c r="B781" s="4">
        <v>45306</v>
      </c>
      <c r="C781" s="4">
        <v>45311</v>
      </c>
      <c r="D781" t="s">
        <v>2354</v>
      </c>
      <c r="E781" t="str">
        <f>PROPER(TRIM([1]raw_orders!E781))</f>
        <v>Priya Menon</v>
      </c>
      <c r="F781" t="str">
        <f>PROPER(TRIM([1]raw_orders!F781))</f>
        <v>Small Business</v>
      </c>
      <c r="G781" t="str">
        <f>IF('[1]Cleaned Text Field'!G781="","Unknown",'[1]Cleaned Text Field'!G781)</f>
        <v>South</v>
      </c>
      <c r="H781" t="str">
        <f>PROPER(TRIM([1]raw_orders!H781))</f>
        <v>Andhra Pradesh</v>
      </c>
      <c r="I781" t="str">
        <f>PROPER(TRIM([1]raw_orders!I781))</f>
        <v>Vijayawada</v>
      </c>
      <c r="J781" t="str">
        <f>PROPER(TRIM([1]raw_orders!J781))</f>
        <v>Furniture</v>
      </c>
      <c r="K781" t="str">
        <f>PROPER(TRIM([1]raw_orders!K781))</f>
        <v>Chairs</v>
      </c>
      <c r="L781" t="s">
        <v>2355</v>
      </c>
      <c r="M781" t="str">
        <f>IF('[1]Cleaned Text Field'!M781="","Unknown",'[1]Cleaned Text Field'!M781)</f>
        <v>Standard Class</v>
      </c>
      <c r="N781">
        <f>IF('[1]Cleaned Text Field'!N781="",0,'[1]Cleaned Text Field'!N781)</f>
        <v>4</v>
      </c>
      <c r="O781">
        <v>3153.54</v>
      </c>
      <c r="P781" s="5">
        <f>IF('[1]Cleaned Text Field'!P781="",0,'[1]Cleaned Text Field'!P781)</f>
        <v>0.05</v>
      </c>
      <c r="Q781">
        <v>11983.45</v>
      </c>
      <c r="R781">
        <v>8572.9</v>
      </c>
      <c r="S781">
        <v>3410.55</v>
      </c>
      <c r="T781" t="str">
        <f>PROPER(TRIM([1]raw_orders!T781))</f>
        <v>Paid</v>
      </c>
      <c r="U781" t="str">
        <f>PROPER(TRIM([1]raw_orders!U781))</f>
        <v>Completed</v>
      </c>
      <c r="V781" s="6">
        <f t="shared" si="96"/>
        <v>0.28460501775365193</v>
      </c>
      <c r="W781" t="str">
        <f t="shared" si="97"/>
        <v>January</v>
      </c>
      <c r="X781">
        <f t="shared" si="98"/>
        <v>2024</v>
      </c>
      <c r="Y781">
        <f t="shared" si="99"/>
        <v>5</v>
      </c>
      <c r="Z781" s="7">
        <f t="shared" si="100"/>
        <v>0.05</v>
      </c>
      <c r="AA781">
        <f t="shared" si="101"/>
        <v>11983.451999999999</v>
      </c>
      <c r="AB781">
        <f t="shared" si="102"/>
        <v>3410.5500000000011</v>
      </c>
      <c r="AC781" t="str">
        <f t="shared" si="103"/>
        <v>Clean</v>
      </c>
    </row>
    <row r="782" spans="1:29">
      <c r="A782" t="s">
        <v>2356</v>
      </c>
      <c r="B782" s="4">
        <v>45508</v>
      </c>
      <c r="C782" s="4">
        <v>45514</v>
      </c>
      <c r="D782" t="s">
        <v>2357</v>
      </c>
      <c r="E782" t="str">
        <f>PROPER(TRIM([1]raw_orders!E782))</f>
        <v>Diya Patel</v>
      </c>
      <c r="F782" t="str">
        <f>PROPER(TRIM([1]raw_orders!F782))</f>
        <v>Small Business</v>
      </c>
      <c r="G782" t="str">
        <f>IF('[1]Cleaned Text Field'!G782="","Unknown",'[1]Cleaned Text Field'!G782)</f>
        <v>West</v>
      </c>
      <c r="H782" t="str">
        <f>PROPER(TRIM([1]raw_orders!H782))</f>
        <v>Rajasthan</v>
      </c>
      <c r="I782" t="str">
        <f>PROPER(TRIM([1]raw_orders!I782))</f>
        <v>Udaipur</v>
      </c>
      <c r="J782" t="str">
        <f>PROPER(TRIM([1]raw_orders!J782))</f>
        <v>Furniture</v>
      </c>
      <c r="K782" t="str">
        <f>PROPER(TRIM([1]raw_orders!K782))</f>
        <v>Chairs</v>
      </c>
      <c r="L782" t="s">
        <v>2358</v>
      </c>
      <c r="M782" t="str">
        <f>IF('[1]Cleaned Text Field'!M782="","Unknown",'[1]Cleaned Text Field'!M782)</f>
        <v>Same Day</v>
      </c>
      <c r="N782">
        <f>IF('[1]Cleaned Text Field'!N782="",0,'[1]Cleaned Text Field'!N782)</f>
        <v>4</v>
      </c>
      <c r="O782">
        <v>426.43</v>
      </c>
      <c r="P782" s="5">
        <f>IF('[1]Cleaned Text Field'!P782="",0,'[1]Cleaned Text Field'!P782)</f>
        <v>0.2</v>
      </c>
      <c r="Q782">
        <v>1364.58</v>
      </c>
      <c r="R782">
        <v>978.16</v>
      </c>
      <c r="S782">
        <v>386.42</v>
      </c>
      <c r="T782" t="str">
        <f>PROPER(TRIM([1]raw_orders!T782))</f>
        <v>Paid</v>
      </c>
      <c r="U782" t="str">
        <f>PROPER(TRIM([1]raw_orders!U782))</f>
        <v>Completed</v>
      </c>
      <c r="V782" s="6">
        <f t="shared" si="96"/>
        <v>0.28317870700142173</v>
      </c>
      <c r="W782" t="str">
        <f t="shared" si="97"/>
        <v>August</v>
      </c>
      <c r="X782">
        <f t="shared" si="98"/>
        <v>2024</v>
      </c>
      <c r="Y782">
        <f t="shared" si="99"/>
        <v>6</v>
      </c>
      <c r="Z782" s="7">
        <f t="shared" si="100"/>
        <v>0.2</v>
      </c>
      <c r="AA782">
        <f t="shared" si="101"/>
        <v>1364.576</v>
      </c>
      <c r="AB782">
        <f t="shared" si="102"/>
        <v>386.41999999999996</v>
      </c>
      <c r="AC782" t="str">
        <f t="shared" si="103"/>
        <v>Clean</v>
      </c>
    </row>
    <row r="783" spans="1:29">
      <c r="A783" t="s">
        <v>2359</v>
      </c>
      <c r="B783" s="4">
        <v>45324</v>
      </c>
      <c r="C783" s="4">
        <v>45332</v>
      </c>
      <c r="D783" t="s">
        <v>2360</v>
      </c>
      <c r="E783" t="str">
        <f>PROPER(TRIM([1]raw_orders!E783))</f>
        <v>Karan Malhotra</v>
      </c>
      <c r="F783" t="str">
        <f>PROPER(TRIM([1]raw_orders!F783))</f>
        <v>Home Office</v>
      </c>
      <c r="G783" t="str">
        <f>IF('[1]Cleaned Text Field'!G783="","Unknown",'[1]Cleaned Text Field'!G783)</f>
        <v>West</v>
      </c>
      <c r="H783" t="str">
        <f>PROPER(TRIM([1]raw_orders!H783))</f>
        <v>Rajasthan</v>
      </c>
      <c r="I783" t="str">
        <f>PROPER(TRIM([1]raw_orders!I783))</f>
        <v>Udaipur</v>
      </c>
      <c r="J783" t="str">
        <f>PROPER(TRIM([1]raw_orders!J783))</f>
        <v>Office Supplies</v>
      </c>
      <c r="K783" t="str">
        <f>PROPER(TRIM([1]raw_orders!K783))</f>
        <v>Labels</v>
      </c>
      <c r="L783" t="s">
        <v>2361</v>
      </c>
      <c r="M783" t="str">
        <f>IF('[1]Cleaned Text Field'!M783="","Unknown",'[1]Cleaned Text Field'!M783)</f>
        <v>First Class</v>
      </c>
      <c r="N783">
        <f>IF('[1]Cleaned Text Field'!N783="",0,'[1]Cleaned Text Field'!N783)</f>
        <v>3</v>
      </c>
      <c r="O783">
        <v>383.4</v>
      </c>
      <c r="P783" s="5">
        <f>IF('[1]Cleaned Text Field'!P783="",0,'[1]Cleaned Text Field'!P783)</f>
        <v>0.25</v>
      </c>
      <c r="Q783">
        <v>862.65</v>
      </c>
      <c r="R783">
        <v>603.73</v>
      </c>
      <c r="S783">
        <v>258.92</v>
      </c>
      <c r="T783" t="str">
        <f>PROPER(TRIM([1]raw_orders!T783))</f>
        <v>Pending</v>
      </c>
      <c r="U783" t="str">
        <f>PROPER(TRIM([1]raw_orders!U783))</f>
        <v>Returned</v>
      </c>
      <c r="V783" s="6">
        <f t="shared" si="96"/>
        <v>0.30014490233582569</v>
      </c>
      <c r="W783" t="str">
        <f t="shared" si="97"/>
        <v>February</v>
      </c>
      <c r="X783">
        <f t="shared" si="98"/>
        <v>2024</v>
      </c>
      <c r="Y783">
        <f t="shared" si="99"/>
        <v>8</v>
      </c>
      <c r="Z783" s="7">
        <f t="shared" si="100"/>
        <v>0.25</v>
      </c>
      <c r="AA783">
        <f t="shared" si="101"/>
        <v>862.64999999999986</v>
      </c>
      <c r="AB783">
        <f t="shared" si="102"/>
        <v>258.91999999999996</v>
      </c>
      <c r="AC783" t="str">
        <f t="shared" si="103"/>
        <v>Clean</v>
      </c>
    </row>
    <row r="784" spans="1:29">
      <c r="A784" t="s">
        <v>2362</v>
      </c>
      <c r="B784" s="4">
        <v>45730</v>
      </c>
      <c r="C784" s="4">
        <v>45738</v>
      </c>
      <c r="D784" t="s">
        <v>2363</v>
      </c>
      <c r="E784" t="str">
        <f>PROPER(TRIM([1]raw_orders!E784))</f>
        <v>Mira Das</v>
      </c>
      <c r="F784" t="str">
        <f>PROPER(TRIM([1]raw_orders!F784))</f>
        <v>Corporate</v>
      </c>
      <c r="G784" t="str">
        <f>IF('[1]Cleaned Text Field'!G784="","Unknown",'[1]Cleaned Text Field'!G784)</f>
        <v>East</v>
      </c>
      <c r="H784" t="str">
        <f>PROPER(TRIM([1]raw_orders!H784))</f>
        <v>West Bengal</v>
      </c>
      <c r="I784" t="str">
        <f>PROPER(TRIM([1]raw_orders!I784))</f>
        <v>Kolkata</v>
      </c>
      <c r="J784" t="str">
        <f>PROPER(TRIM([1]raw_orders!J784))</f>
        <v>Technology</v>
      </c>
      <c r="K784" t="str">
        <f>PROPER(TRIM([1]raw_orders!K784))</f>
        <v>Copiers</v>
      </c>
      <c r="L784" t="s">
        <v>2364</v>
      </c>
      <c r="M784" t="str">
        <f>IF('[1]Cleaned Text Field'!M784="","Unknown",'[1]Cleaned Text Field'!M784)</f>
        <v>Standard Class</v>
      </c>
      <c r="N784">
        <f>IF('[1]Cleaned Text Field'!N784="",0,'[1]Cleaned Text Field'!N784)</f>
        <v>2</v>
      </c>
      <c r="O784">
        <v>669.63</v>
      </c>
      <c r="P784" s="5">
        <f>IF('[1]Cleaned Text Field'!P784="",0,'[1]Cleaned Text Field'!P784)</f>
        <v>0.15</v>
      </c>
      <c r="Q784">
        <v>1138.3699999999999</v>
      </c>
      <c r="R784">
        <v>797.34</v>
      </c>
      <c r="S784">
        <v>341.03</v>
      </c>
      <c r="T784" t="str">
        <f>PROPER(TRIM([1]raw_orders!T784))</f>
        <v>Paid</v>
      </c>
      <c r="U784" t="str">
        <f>PROPER(TRIM([1]raw_orders!U784))</f>
        <v>Completed</v>
      </c>
      <c r="V784" s="6">
        <f t="shared" si="96"/>
        <v>0.29957746602598451</v>
      </c>
      <c r="W784" t="str">
        <f t="shared" si="97"/>
        <v>March</v>
      </c>
      <c r="X784">
        <f t="shared" si="98"/>
        <v>2025</v>
      </c>
      <c r="Y784">
        <f t="shared" si="99"/>
        <v>8</v>
      </c>
      <c r="Z784" s="7">
        <f t="shared" si="100"/>
        <v>0.15</v>
      </c>
      <c r="AA784">
        <f t="shared" si="101"/>
        <v>1138.3709999999999</v>
      </c>
      <c r="AB784">
        <f t="shared" si="102"/>
        <v>341.02999999999986</v>
      </c>
      <c r="AC784" t="str">
        <f t="shared" si="103"/>
        <v>Clean</v>
      </c>
    </row>
    <row r="785" spans="1:29">
      <c r="A785" t="s">
        <v>2365</v>
      </c>
      <c r="B785" s="4">
        <v>45450</v>
      </c>
      <c r="C785" s="4">
        <v>45450</v>
      </c>
      <c r="D785" t="s">
        <v>2366</v>
      </c>
      <c r="E785" t="str">
        <f>PROPER(TRIM([1]raw_orders!E785))</f>
        <v>Aarav Sharma</v>
      </c>
      <c r="F785" t="str">
        <f>PROPER(TRIM([1]raw_orders!F785))</f>
        <v>Small Business</v>
      </c>
      <c r="G785" t="str">
        <f>IF('[1]Cleaned Text Field'!G785="","Unknown",'[1]Cleaned Text Field'!G785)</f>
        <v>East</v>
      </c>
      <c r="H785" t="str">
        <f>PROPER(TRIM([1]raw_orders!H785))</f>
        <v>Bihar</v>
      </c>
      <c r="I785" t="str">
        <f>PROPER(TRIM([1]raw_orders!I785))</f>
        <v>Patna</v>
      </c>
      <c r="J785" t="str">
        <f>PROPER(TRIM([1]raw_orders!J785))</f>
        <v>Office Supplies</v>
      </c>
      <c r="K785" t="str">
        <f>PROPER(TRIM([1]raw_orders!K785))</f>
        <v>Art</v>
      </c>
      <c r="L785" t="s">
        <v>2367</v>
      </c>
      <c r="M785" t="str">
        <f>IF('[1]Cleaned Text Field'!M785="","Unknown",'[1]Cleaned Text Field'!M785)</f>
        <v>Second Class</v>
      </c>
      <c r="N785">
        <f>IF('[1]Cleaned Text Field'!N785="",0,'[1]Cleaned Text Field'!N785)</f>
        <v>1</v>
      </c>
      <c r="O785">
        <v>2581.9299999999998</v>
      </c>
      <c r="P785" s="5">
        <f>IF('[1]Cleaned Text Field'!P785="",0,'[1]Cleaned Text Field'!P785)</f>
        <v>0.05</v>
      </c>
      <c r="Q785">
        <v>2452.83</v>
      </c>
      <c r="R785">
        <v>1906.7</v>
      </c>
      <c r="S785">
        <v>546.13</v>
      </c>
      <c r="T785" t="str">
        <f>PROPER(TRIM([1]raw_orders!T785))</f>
        <v>Paid</v>
      </c>
      <c r="U785" t="str">
        <f>PROPER(TRIM([1]raw_orders!U785))</f>
        <v>Completed</v>
      </c>
      <c r="V785" s="6">
        <f t="shared" si="96"/>
        <v>0.22265301712715516</v>
      </c>
      <c r="W785" t="str">
        <f t="shared" si="97"/>
        <v>June</v>
      </c>
      <c r="X785">
        <f t="shared" si="98"/>
        <v>2024</v>
      </c>
      <c r="Y785">
        <f t="shared" si="99"/>
        <v>0</v>
      </c>
      <c r="Z785" s="7">
        <f t="shared" si="100"/>
        <v>0.05</v>
      </c>
      <c r="AA785">
        <f t="shared" si="101"/>
        <v>2452.8334999999997</v>
      </c>
      <c r="AB785">
        <f t="shared" si="102"/>
        <v>546.12999999999988</v>
      </c>
      <c r="AC785" t="str">
        <f t="shared" si="103"/>
        <v>Clean</v>
      </c>
    </row>
    <row r="786" spans="1:29">
      <c r="A786" t="s">
        <v>2368</v>
      </c>
      <c r="B786" s="4">
        <v>45934</v>
      </c>
      <c r="C786" s="4">
        <v>45935</v>
      </c>
      <c r="D786" t="s">
        <v>2369</v>
      </c>
      <c r="E786" t="str">
        <f>PROPER(TRIM([1]raw_orders!E786))</f>
        <v>Priya Menon</v>
      </c>
      <c r="F786" t="str">
        <f>PROPER(TRIM([1]raw_orders!F786))</f>
        <v>Corporate</v>
      </c>
      <c r="G786" t="str">
        <f>IF('[1]Cleaned Text Field'!G786="","Unknown",'[1]Cleaned Text Field'!G786)</f>
        <v>North</v>
      </c>
      <c r="H786" t="str">
        <f>PROPER(TRIM([1]raw_orders!H786))</f>
        <v>Punjab</v>
      </c>
      <c r="I786" t="str">
        <f>PROPER(TRIM([1]raw_orders!I786))</f>
        <v>Ludhiana</v>
      </c>
      <c r="J786" t="str">
        <f>PROPER(TRIM([1]raw_orders!J786))</f>
        <v>Technology</v>
      </c>
      <c r="K786" t="str">
        <f>PROPER(TRIM([1]raw_orders!K786))</f>
        <v>Copiers</v>
      </c>
      <c r="L786" t="s">
        <v>2370</v>
      </c>
      <c r="M786" t="str">
        <f>IF('[1]Cleaned Text Field'!M786="","Unknown",'[1]Cleaned Text Field'!M786)</f>
        <v>First Class</v>
      </c>
      <c r="N786">
        <f>IF('[1]Cleaned Text Field'!N786="",0,'[1]Cleaned Text Field'!N786)</f>
        <v>4</v>
      </c>
      <c r="O786">
        <v>418.18</v>
      </c>
      <c r="P786" s="5">
        <f>IF('[1]Cleaned Text Field'!P786="",0,'[1]Cleaned Text Field'!P786)</f>
        <v>0.05</v>
      </c>
      <c r="Q786">
        <v>1589.08</v>
      </c>
      <c r="R786">
        <v>1084.6600000000001</v>
      </c>
      <c r="S786">
        <v>504.42</v>
      </c>
      <c r="T786" t="str">
        <f>PROPER(TRIM([1]raw_orders!T786))</f>
        <v>Paid</v>
      </c>
      <c r="U786" t="str">
        <f>PROPER(TRIM([1]raw_orders!U786))</f>
        <v>Completed</v>
      </c>
      <c r="V786" s="6">
        <f t="shared" si="96"/>
        <v>0.31742895260150528</v>
      </c>
      <c r="W786" t="str">
        <f t="shared" si="97"/>
        <v>October</v>
      </c>
      <c r="X786">
        <f t="shared" si="98"/>
        <v>2025</v>
      </c>
      <c r="Y786">
        <f t="shared" si="99"/>
        <v>1</v>
      </c>
      <c r="Z786" s="7">
        <f t="shared" si="100"/>
        <v>0.05</v>
      </c>
      <c r="AA786">
        <f t="shared" si="101"/>
        <v>1589.0840000000001</v>
      </c>
      <c r="AB786">
        <f t="shared" si="102"/>
        <v>504.41999999999985</v>
      </c>
      <c r="AC786" t="str">
        <f t="shared" si="103"/>
        <v>Clean</v>
      </c>
    </row>
    <row r="787" spans="1:29">
      <c r="A787" t="s">
        <v>2371</v>
      </c>
      <c r="B787" s="4">
        <v>45435</v>
      </c>
      <c r="C787" s="4">
        <v>45441</v>
      </c>
      <c r="D787" t="s">
        <v>2372</v>
      </c>
      <c r="E787" t="str">
        <f>PROPER(TRIM([1]raw_orders!E787))</f>
        <v>Diya Patel</v>
      </c>
      <c r="F787" t="str">
        <f>PROPER(TRIM([1]raw_orders!F787))</f>
        <v>Small Business</v>
      </c>
      <c r="G787" t="str">
        <f>IF('[1]Cleaned Text Field'!G787="","Unknown",'[1]Cleaned Text Field'!G787)</f>
        <v>North</v>
      </c>
      <c r="H787" t="str">
        <f>PROPER(TRIM([1]raw_orders!H787))</f>
        <v>Haryana</v>
      </c>
      <c r="I787" t="str">
        <f>PROPER(TRIM([1]raw_orders!I787))</f>
        <v>Gurugram</v>
      </c>
      <c r="J787" t="str">
        <f>PROPER(TRIM([1]raw_orders!J787))</f>
        <v>Office Supplies</v>
      </c>
      <c r="K787" t="str">
        <f>PROPER(TRIM([1]raw_orders!K787))</f>
        <v>Storage</v>
      </c>
      <c r="L787" t="s">
        <v>2373</v>
      </c>
      <c r="M787" t="str">
        <f>IF('[1]Cleaned Text Field'!M787="","Unknown",'[1]Cleaned Text Field'!M787)</f>
        <v>Same Day</v>
      </c>
      <c r="N787">
        <f>IF('[1]Cleaned Text Field'!N787="",0,'[1]Cleaned Text Field'!N787)</f>
        <v>2</v>
      </c>
      <c r="O787">
        <v>3012.94</v>
      </c>
      <c r="P787" s="5">
        <f>IF('[1]Cleaned Text Field'!P787="",0,'[1]Cleaned Text Field'!P787)</f>
        <v>0.25</v>
      </c>
      <c r="Q787">
        <v>4519.41</v>
      </c>
      <c r="R787">
        <v>3504.16</v>
      </c>
      <c r="S787">
        <v>1275.55</v>
      </c>
      <c r="T787" t="str">
        <f>PROPER(TRIM([1]raw_orders!T787))</f>
        <v>Failed</v>
      </c>
      <c r="U787" t="str">
        <f>PROPER(TRIM([1]raw_orders!U787))</f>
        <v>Cancelled</v>
      </c>
      <c r="V787" s="6">
        <f t="shared" si="96"/>
        <v>0.28223816825647596</v>
      </c>
      <c r="W787" t="str">
        <f t="shared" si="97"/>
        <v>May</v>
      </c>
      <c r="X787">
        <f t="shared" si="98"/>
        <v>2024</v>
      </c>
      <c r="Y787">
        <f t="shared" si="99"/>
        <v>6</v>
      </c>
      <c r="Z787" s="7">
        <f t="shared" si="100"/>
        <v>0.25</v>
      </c>
      <c r="AA787">
        <f t="shared" si="101"/>
        <v>4519.41</v>
      </c>
      <c r="AB787">
        <f t="shared" si="102"/>
        <v>1015.25</v>
      </c>
      <c r="AC787" t="str">
        <f t="shared" si="103"/>
        <v>Clean</v>
      </c>
    </row>
    <row r="788" spans="1:29">
      <c r="A788" t="s">
        <v>2374</v>
      </c>
      <c r="B788" s="4">
        <v>45844</v>
      </c>
      <c r="C788" s="4">
        <v>45846</v>
      </c>
      <c r="D788" t="s">
        <v>2375</v>
      </c>
      <c r="E788" t="str">
        <f>PROPER(TRIM([1]raw_orders!E788))</f>
        <v>Ananya Rao</v>
      </c>
      <c r="F788" t="str">
        <f>PROPER(TRIM([1]raw_orders!F788))</f>
        <v>Corporate</v>
      </c>
      <c r="G788" t="str">
        <f>IF('[1]Cleaned Text Field'!G788="","Unknown",'[1]Cleaned Text Field'!G788)</f>
        <v>North</v>
      </c>
      <c r="H788" t="str">
        <f>PROPER(TRIM([1]raw_orders!H788))</f>
        <v>Rajasthan</v>
      </c>
      <c r="I788" t="str">
        <f>PROPER(TRIM([1]raw_orders!I788))</f>
        <v>Jaipur</v>
      </c>
      <c r="J788" t="str">
        <f>PROPER(TRIM([1]raw_orders!J788))</f>
        <v>Furniture</v>
      </c>
      <c r="K788" t="str">
        <f>PROPER(TRIM([1]raw_orders!K788))</f>
        <v>Furnishings</v>
      </c>
      <c r="L788" t="s">
        <v>2376</v>
      </c>
      <c r="M788" t="str">
        <f>IF('[1]Cleaned Text Field'!M788="","Unknown",'[1]Cleaned Text Field'!M788)</f>
        <v>Unknown</v>
      </c>
      <c r="N788">
        <f>IF('[1]Cleaned Text Field'!N788="",0,'[1]Cleaned Text Field'!N788)</f>
        <v>4</v>
      </c>
      <c r="O788">
        <v>715.45</v>
      </c>
      <c r="P788" s="5">
        <f>IF('[1]Cleaned Text Field'!P788="",0,'[1]Cleaned Text Field'!P788)</f>
        <v>0.05</v>
      </c>
      <c r="Q788">
        <v>2718.71</v>
      </c>
      <c r="R788">
        <v>2065.0500000000002</v>
      </c>
      <c r="S788">
        <v>653.66</v>
      </c>
      <c r="T788" t="str">
        <f>PROPER(TRIM([1]raw_orders!T788))</f>
        <v>Refunded</v>
      </c>
      <c r="U788" t="str">
        <f>PROPER(TRIM([1]raw_orders!U788))</f>
        <v>Returned</v>
      </c>
      <c r="V788" s="6">
        <f t="shared" si="96"/>
        <v>0.24043020403058801</v>
      </c>
      <c r="W788" t="str">
        <f t="shared" si="97"/>
        <v>July</v>
      </c>
      <c r="X788">
        <f t="shared" si="98"/>
        <v>2025</v>
      </c>
      <c r="Y788">
        <f t="shared" si="99"/>
        <v>2</v>
      </c>
      <c r="Z788" s="7">
        <f t="shared" si="100"/>
        <v>0.05</v>
      </c>
      <c r="AA788">
        <f t="shared" si="101"/>
        <v>2718.71</v>
      </c>
      <c r="AB788">
        <f t="shared" si="102"/>
        <v>653.65999999999985</v>
      </c>
      <c r="AC788" t="str">
        <f t="shared" si="103"/>
        <v>Clean</v>
      </c>
    </row>
    <row r="789" spans="1:29">
      <c r="A789" t="s">
        <v>2377</v>
      </c>
      <c r="B789" s="4">
        <v>45547</v>
      </c>
      <c r="C789" s="4">
        <v>45553</v>
      </c>
      <c r="D789" t="s">
        <v>2378</v>
      </c>
      <c r="E789" t="str">
        <f>PROPER(TRIM([1]raw_orders!E789))</f>
        <v>Ananya Rao</v>
      </c>
      <c r="F789" t="str">
        <f>PROPER(TRIM([1]raw_orders!F789))</f>
        <v>Home Office</v>
      </c>
      <c r="G789" t="str">
        <f>IF('[1]Cleaned Text Field'!G789="","Unknown",'[1]Cleaned Text Field'!G789)</f>
        <v>East</v>
      </c>
      <c r="H789" t="str">
        <f>PROPER(TRIM([1]raw_orders!H789))</f>
        <v>Bihar</v>
      </c>
      <c r="I789" t="str">
        <f>PROPER(TRIM([1]raw_orders!I789))</f>
        <v>Patna</v>
      </c>
      <c r="J789" t="str">
        <f>PROPER(TRIM([1]raw_orders!J789))</f>
        <v>Office Supplies</v>
      </c>
      <c r="K789" t="str">
        <f>PROPER(TRIM([1]raw_orders!K789))</f>
        <v>Paper</v>
      </c>
      <c r="L789" t="s">
        <v>2379</v>
      </c>
      <c r="M789" t="str">
        <f>IF('[1]Cleaned Text Field'!M789="","Unknown",'[1]Cleaned Text Field'!M789)</f>
        <v>Second Class</v>
      </c>
      <c r="N789">
        <f>IF('[1]Cleaned Text Field'!N789="",0,'[1]Cleaned Text Field'!N789)</f>
        <v>2</v>
      </c>
      <c r="O789">
        <v>3718.77</v>
      </c>
      <c r="P789" s="5">
        <f>IF('[1]Cleaned Text Field'!P789="",0,'[1]Cleaned Text Field'!P789)</f>
        <v>0.05</v>
      </c>
      <c r="Q789">
        <v>7065.66</v>
      </c>
      <c r="R789">
        <v>4915.2700000000004</v>
      </c>
      <c r="S789">
        <v>2150.39</v>
      </c>
      <c r="T789" t="str">
        <f>PROPER(TRIM([1]raw_orders!T789))</f>
        <v>Paid</v>
      </c>
      <c r="U789" t="str">
        <f>PROPER(TRIM([1]raw_orders!U789))</f>
        <v>Completed</v>
      </c>
      <c r="V789" s="6">
        <f t="shared" si="96"/>
        <v>0.30434382633752544</v>
      </c>
      <c r="W789" t="str">
        <f t="shared" si="97"/>
        <v>September</v>
      </c>
      <c r="X789">
        <f t="shared" si="98"/>
        <v>2024</v>
      </c>
      <c r="Y789">
        <f t="shared" si="99"/>
        <v>6</v>
      </c>
      <c r="Z789" s="7">
        <f t="shared" si="100"/>
        <v>0.05</v>
      </c>
      <c r="AA789">
        <f t="shared" si="101"/>
        <v>7065.6629999999996</v>
      </c>
      <c r="AB789">
        <f t="shared" si="102"/>
        <v>2150.3899999999994</v>
      </c>
      <c r="AC789" t="str">
        <f t="shared" si="103"/>
        <v>Clean</v>
      </c>
    </row>
    <row r="790" spans="1:29">
      <c r="A790" t="s">
        <v>2380</v>
      </c>
      <c r="B790" s="4">
        <v>45505</v>
      </c>
      <c r="C790" s="4">
        <v>45330</v>
      </c>
      <c r="D790" t="s">
        <v>2381</v>
      </c>
      <c r="E790" t="str">
        <f>PROPER(TRIM([1]raw_orders!E790))</f>
        <v>Isha Nair</v>
      </c>
      <c r="F790" t="str">
        <f>PROPER(TRIM([1]raw_orders!F790))</f>
        <v>Corporate</v>
      </c>
      <c r="G790" t="str">
        <f>IF('[1]Cleaned Text Field'!G790="","Unknown",'[1]Cleaned Text Field'!G790)</f>
        <v>North</v>
      </c>
      <c r="H790" t="str">
        <f>PROPER(TRIM([1]raw_orders!H790))</f>
        <v>Uttar Pradesh</v>
      </c>
      <c r="I790" t="str">
        <f>PROPER(TRIM([1]raw_orders!I790))</f>
        <v>Noida</v>
      </c>
      <c r="J790" t="str">
        <f>PROPER(TRIM([1]raw_orders!J790))</f>
        <v>Furniture</v>
      </c>
      <c r="K790" t="str">
        <f>PROPER(TRIM([1]raw_orders!K790))</f>
        <v>Chairs</v>
      </c>
      <c r="L790" t="s">
        <v>2382</v>
      </c>
      <c r="M790" t="str">
        <f>IF('[1]Cleaned Text Field'!M790="","Unknown",'[1]Cleaned Text Field'!M790)</f>
        <v>Standard Class</v>
      </c>
      <c r="N790">
        <f>IF('[1]Cleaned Text Field'!N790="",0,'[1]Cleaned Text Field'!N790)</f>
        <v>8</v>
      </c>
      <c r="O790">
        <v>2487.64</v>
      </c>
      <c r="P790" s="5">
        <f>IF('[1]Cleaned Text Field'!P790="",0,'[1]Cleaned Text Field'!P790)</f>
        <v>0.1</v>
      </c>
      <c r="Q790">
        <v>17911.009999999998</v>
      </c>
      <c r="R790">
        <v>11546.05</v>
      </c>
      <c r="S790">
        <v>6364.96</v>
      </c>
      <c r="T790" t="str">
        <f>PROPER(TRIM([1]raw_orders!T790))</f>
        <v>Failed</v>
      </c>
      <c r="U790" t="str">
        <f>PROPER(TRIM([1]raw_orders!U790))</f>
        <v>Returned</v>
      </c>
      <c r="V790" s="6">
        <f t="shared" si="96"/>
        <v>0.35536577780929163</v>
      </c>
      <c r="W790" t="str">
        <f t="shared" si="97"/>
        <v>August</v>
      </c>
      <c r="X790">
        <f t="shared" si="98"/>
        <v>2024</v>
      </c>
      <c r="Y790">
        <f t="shared" si="99"/>
        <v>-175</v>
      </c>
      <c r="Z790" s="7">
        <f t="shared" si="100"/>
        <v>0.1</v>
      </c>
      <c r="AA790">
        <f t="shared" si="101"/>
        <v>17911.007999999998</v>
      </c>
      <c r="AB790">
        <f t="shared" si="102"/>
        <v>6364.9599999999991</v>
      </c>
      <c r="AC790" t="str">
        <f t="shared" si="103"/>
        <v>Warning</v>
      </c>
    </row>
    <row r="791" spans="1:29">
      <c r="A791" t="s">
        <v>2383</v>
      </c>
      <c r="B791" s="4">
        <v>45723</v>
      </c>
      <c r="C791" s="4">
        <v>45724</v>
      </c>
      <c r="D791" t="s">
        <v>2384</v>
      </c>
      <c r="E791" t="str">
        <f>PROPER(TRIM([1]raw_orders!E791))</f>
        <v>Priya Menon</v>
      </c>
      <c r="F791" t="str">
        <f>PROPER(TRIM([1]raw_orders!F791))</f>
        <v>Home Office</v>
      </c>
      <c r="G791" t="str">
        <f>IF('[1]Cleaned Text Field'!G791="","Unknown",'[1]Cleaned Text Field'!G791)</f>
        <v>Unknown</v>
      </c>
      <c r="H791" t="str">
        <f>PROPER(TRIM([1]raw_orders!H791))</f>
        <v>Rajasthan</v>
      </c>
      <c r="I791" t="str">
        <f>PROPER(TRIM([1]raw_orders!I791))</f>
        <v>Udaipur</v>
      </c>
      <c r="J791" t="str">
        <f>PROPER(TRIM([1]raw_orders!J791))</f>
        <v>Technology</v>
      </c>
      <c r="K791" t="str">
        <f>PROPER(TRIM([1]raw_orders!K791))</f>
        <v>Copiers</v>
      </c>
      <c r="L791" t="s">
        <v>2385</v>
      </c>
      <c r="M791" t="str">
        <f>IF('[1]Cleaned Text Field'!M791="","Unknown",'[1]Cleaned Text Field'!M791)</f>
        <v>Same Day</v>
      </c>
      <c r="N791">
        <f>IF('[1]Cleaned Text Field'!N791="",0,'[1]Cleaned Text Field'!N791)</f>
        <v>4</v>
      </c>
      <c r="O791">
        <v>3537.48</v>
      </c>
      <c r="P791" s="5">
        <f>IF('[1]Cleaned Text Field'!P791="",0,'[1]Cleaned Text Field'!P791)</f>
        <v>0</v>
      </c>
      <c r="Q791">
        <v>14149.92</v>
      </c>
      <c r="R791">
        <v>9466.51</v>
      </c>
      <c r="S791">
        <v>4683.41</v>
      </c>
      <c r="T791" t="str">
        <f>PROPER(TRIM([1]raw_orders!T791))</f>
        <v>Paid</v>
      </c>
      <c r="U791" t="str">
        <f>PROPER(TRIM([1]raw_orders!U791))</f>
        <v>Completed</v>
      </c>
      <c r="V791" s="6">
        <f t="shared" si="96"/>
        <v>0.33098491016203624</v>
      </c>
      <c r="W791" t="str">
        <f t="shared" si="97"/>
        <v>March</v>
      </c>
      <c r="X791">
        <f t="shared" si="98"/>
        <v>2025</v>
      </c>
      <c r="Y791">
        <f t="shared" si="99"/>
        <v>1</v>
      </c>
      <c r="Z791" s="7">
        <f t="shared" si="100"/>
        <v>0</v>
      </c>
      <c r="AA791">
        <f t="shared" si="101"/>
        <v>14149.92</v>
      </c>
      <c r="AB791">
        <f t="shared" si="102"/>
        <v>4683.41</v>
      </c>
      <c r="AC791" t="str">
        <f t="shared" si="103"/>
        <v>Clean</v>
      </c>
    </row>
    <row r="792" spans="1:29">
      <c r="A792" t="s">
        <v>2386</v>
      </c>
      <c r="B792" s="4">
        <v>45443</v>
      </c>
      <c r="C792" s="4">
        <v>45445</v>
      </c>
      <c r="D792" t="s">
        <v>2387</v>
      </c>
      <c r="E792" t="str">
        <f>PROPER(TRIM([1]raw_orders!E792))</f>
        <v>Rahul Verma</v>
      </c>
      <c r="F792" t="str">
        <f>PROPER(TRIM([1]raw_orders!F792))</f>
        <v>Corporate</v>
      </c>
      <c r="G792" t="str">
        <f>IF('[1]Cleaned Text Field'!G792="","Unknown",'[1]Cleaned Text Field'!G792)</f>
        <v>South</v>
      </c>
      <c r="H792" t="str">
        <f>PROPER(TRIM([1]raw_orders!H792))</f>
        <v>Andhra Pradesh</v>
      </c>
      <c r="I792" t="str">
        <f>PROPER(TRIM([1]raw_orders!I792))</f>
        <v>Vijayawada</v>
      </c>
      <c r="J792" t="str">
        <f>PROPER(TRIM([1]raw_orders!J792))</f>
        <v>Office Supplies</v>
      </c>
      <c r="K792" t="str">
        <f>PROPER(TRIM([1]raw_orders!K792))</f>
        <v>Art</v>
      </c>
      <c r="L792" t="s">
        <v>2388</v>
      </c>
      <c r="M792" t="str">
        <f>IF('[1]Cleaned Text Field'!M792="","Unknown",'[1]Cleaned Text Field'!M792)</f>
        <v>Standard Class</v>
      </c>
      <c r="N792">
        <f>IF('[1]Cleaned Text Field'!N792="",0,'[1]Cleaned Text Field'!N792)</f>
        <v>8</v>
      </c>
      <c r="O792">
        <v>667.59</v>
      </c>
      <c r="P792" s="5">
        <f>IF('[1]Cleaned Text Field'!P792="",0,'[1]Cleaned Text Field'!P792)</f>
        <v>0.2</v>
      </c>
      <c r="Q792">
        <v>4272.58</v>
      </c>
      <c r="R792">
        <v>3328.92</v>
      </c>
      <c r="S792">
        <v>943.66</v>
      </c>
      <c r="T792" t="str">
        <f>PROPER(TRIM([1]raw_orders!T792))</f>
        <v>Paid</v>
      </c>
      <c r="U792" t="str">
        <f>PROPER(TRIM([1]raw_orders!U792))</f>
        <v>Completed</v>
      </c>
      <c r="V792" s="6">
        <f t="shared" si="96"/>
        <v>0.22086420851101676</v>
      </c>
      <c r="W792" t="str">
        <f t="shared" si="97"/>
        <v>May</v>
      </c>
      <c r="X792">
        <f t="shared" si="98"/>
        <v>2024</v>
      </c>
      <c r="Y792">
        <f t="shared" si="99"/>
        <v>2</v>
      </c>
      <c r="Z792" s="7">
        <f t="shared" si="100"/>
        <v>0.2</v>
      </c>
      <c r="AA792">
        <f t="shared" si="101"/>
        <v>4272.576</v>
      </c>
      <c r="AB792">
        <f t="shared" si="102"/>
        <v>943.65999999999985</v>
      </c>
      <c r="AC792" t="str">
        <f t="shared" si="103"/>
        <v>Clean</v>
      </c>
    </row>
    <row r="793" spans="1:29">
      <c r="A793" t="s">
        <v>2389</v>
      </c>
      <c r="B793" s="4">
        <v>45567</v>
      </c>
      <c r="C793" s="4">
        <v>45571</v>
      </c>
      <c r="D793" t="s">
        <v>2390</v>
      </c>
      <c r="E793" t="str">
        <f>PROPER(TRIM([1]raw_orders!E793))</f>
        <v>Rahul Verma</v>
      </c>
      <c r="F793" t="str">
        <f>PROPER(TRIM([1]raw_orders!F793))</f>
        <v>Home Office</v>
      </c>
      <c r="G793" t="str">
        <f>IF('[1]Cleaned Text Field'!G793="","Unknown",'[1]Cleaned Text Field'!G793)</f>
        <v>South</v>
      </c>
      <c r="H793" t="str">
        <f>PROPER(TRIM([1]raw_orders!H793))</f>
        <v>Karnataka</v>
      </c>
      <c r="I793" t="str">
        <f>PROPER(TRIM([1]raw_orders!I793))</f>
        <v>Bengaluru</v>
      </c>
      <c r="J793" t="str">
        <f>PROPER(TRIM([1]raw_orders!J793))</f>
        <v>Furniture</v>
      </c>
      <c r="K793" t="str">
        <f>PROPER(TRIM([1]raw_orders!K793))</f>
        <v>Bookcases</v>
      </c>
      <c r="L793" t="s">
        <v>2391</v>
      </c>
      <c r="M793" t="str">
        <f>IF('[1]Cleaned Text Field'!M793="","Unknown",'[1]Cleaned Text Field'!M793)</f>
        <v>Same Day</v>
      </c>
      <c r="N793">
        <f>IF('[1]Cleaned Text Field'!N793="",0,'[1]Cleaned Text Field'!N793)</f>
        <v>8</v>
      </c>
      <c r="O793">
        <v>1558.77</v>
      </c>
      <c r="P793" s="5">
        <f>IF('[1]Cleaned Text Field'!P793="",0,'[1]Cleaned Text Field'!P793)</f>
        <v>0.25</v>
      </c>
      <c r="Q793">
        <v>9352.6200000000008</v>
      </c>
      <c r="R793">
        <v>5269.41</v>
      </c>
      <c r="S793">
        <v>4083.21</v>
      </c>
      <c r="T793" t="str">
        <f>PROPER(TRIM([1]raw_orders!T793))</f>
        <v>Paid</v>
      </c>
      <c r="U793" t="str">
        <f>PROPER(TRIM([1]raw_orders!U793))</f>
        <v>Completed</v>
      </c>
      <c r="V793" s="6">
        <f t="shared" si="96"/>
        <v>0.43658461479243243</v>
      </c>
      <c r="W793" t="str">
        <f t="shared" si="97"/>
        <v>October</v>
      </c>
      <c r="X793">
        <f t="shared" si="98"/>
        <v>2024</v>
      </c>
      <c r="Y793">
        <f t="shared" si="99"/>
        <v>4</v>
      </c>
      <c r="Z793" s="7">
        <f t="shared" si="100"/>
        <v>0.25</v>
      </c>
      <c r="AA793">
        <f t="shared" si="101"/>
        <v>9352.619999999999</v>
      </c>
      <c r="AB793">
        <f t="shared" si="102"/>
        <v>4083.2100000000009</v>
      </c>
      <c r="AC793" t="str">
        <f t="shared" si="103"/>
        <v>Clean</v>
      </c>
    </row>
    <row r="794" spans="1:29">
      <c r="A794" t="s">
        <v>2392</v>
      </c>
      <c r="B794" s="4">
        <v>45812</v>
      </c>
      <c r="C794" s="4">
        <v>45816</v>
      </c>
      <c r="D794" t="s">
        <v>2393</v>
      </c>
      <c r="E794" t="str">
        <f>PROPER(TRIM([1]raw_orders!E794))</f>
        <v>Arjun Bose</v>
      </c>
      <c r="F794" t="str">
        <f>PROPER(TRIM([1]raw_orders!F794))</f>
        <v>Small Business</v>
      </c>
      <c r="G794" t="str">
        <f>IF('[1]Cleaned Text Field'!G794="","Unknown",'[1]Cleaned Text Field'!G794)</f>
        <v>East</v>
      </c>
      <c r="H794" t="str">
        <f>PROPER(TRIM([1]raw_orders!H794))</f>
        <v>Assam</v>
      </c>
      <c r="I794" t="str">
        <f>PROPER(TRIM([1]raw_orders!I794))</f>
        <v>Guwahati</v>
      </c>
      <c r="J794" t="str">
        <f>PROPER(TRIM([1]raw_orders!J794))</f>
        <v>Furniture</v>
      </c>
      <c r="K794" t="str">
        <f>PROPER(TRIM([1]raw_orders!K794))</f>
        <v>Furnishings</v>
      </c>
      <c r="L794" t="s">
        <v>2394</v>
      </c>
      <c r="M794" t="str">
        <f>IF('[1]Cleaned Text Field'!M794="","Unknown",'[1]Cleaned Text Field'!M794)</f>
        <v>Second Class</v>
      </c>
      <c r="N794">
        <f>IF('[1]Cleaned Text Field'!N794="",0,'[1]Cleaned Text Field'!N794)</f>
        <v>1</v>
      </c>
      <c r="O794">
        <v>3501.12</v>
      </c>
      <c r="P794" s="5">
        <f>IF('[1]Cleaned Text Field'!P794="",0,'[1]Cleaned Text Field'!P794)</f>
        <v>0.2</v>
      </c>
      <c r="Q794">
        <v>2800.9</v>
      </c>
      <c r="R794">
        <v>1735.98</v>
      </c>
      <c r="S794">
        <v>1064.92</v>
      </c>
      <c r="T794" t="str">
        <f>PROPER(TRIM([1]raw_orders!T794))</f>
        <v>Paid</v>
      </c>
      <c r="U794" t="str">
        <f>PROPER(TRIM([1]raw_orders!U794))</f>
        <v>Returned</v>
      </c>
      <c r="V794" s="6">
        <f t="shared" si="96"/>
        <v>0.38020636224070836</v>
      </c>
      <c r="W794" t="str">
        <f t="shared" si="97"/>
        <v>June</v>
      </c>
      <c r="X794">
        <f t="shared" si="98"/>
        <v>2025</v>
      </c>
      <c r="Y794">
        <f t="shared" si="99"/>
        <v>4</v>
      </c>
      <c r="Z794" s="7">
        <f t="shared" si="100"/>
        <v>0.2</v>
      </c>
      <c r="AA794">
        <f t="shared" si="101"/>
        <v>2800.8960000000002</v>
      </c>
      <c r="AB794">
        <f t="shared" si="102"/>
        <v>1064.92</v>
      </c>
      <c r="AC794" t="str">
        <f t="shared" si="103"/>
        <v>Clean</v>
      </c>
    </row>
    <row r="795" spans="1:29">
      <c r="A795" t="s">
        <v>2395</v>
      </c>
      <c r="B795" s="4">
        <v>45440</v>
      </c>
      <c r="C795" s="4">
        <v>45446</v>
      </c>
      <c r="D795" t="s">
        <v>2396</v>
      </c>
      <c r="E795" t="str">
        <f>PROPER(TRIM([1]raw_orders!E795))</f>
        <v>Vikram Iyer</v>
      </c>
      <c r="F795" t="str">
        <f>PROPER(TRIM([1]raw_orders!F795))</f>
        <v>Corporate</v>
      </c>
      <c r="G795" t="str">
        <f>IF('[1]Cleaned Text Field'!G795="","Unknown",'[1]Cleaned Text Field'!G795)</f>
        <v>North</v>
      </c>
      <c r="H795" t="str">
        <f>PROPER(TRIM([1]raw_orders!H795))</f>
        <v>Rajasthan</v>
      </c>
      <c r="I795" t="str">
        <f>PROPER(TRIM([1]raw_orders!I795))</f>
        <v>Jaipur</v>
      </c>
      <c r="J795" t="str">
        <f>PROPER(TRIM([1]raw_orders!J795))</f>
        <v>Technology</v>
      </c>
      <c r="K795" t="str">
        <f>PROPER(TRIM([1]raw_orders!K795))</f>
        <v>Copiers</v>
      </c>
      <c r="L795" t="s">
        <v>2397</v>
      </c>
      <c r="M795" t="str">
        <f>IF('[1]Cleaned Text Field'!M795="","Unknown",'[1]Cleaned Text Field'!M795)</f>
        <v>Second Class</v>
      </c>
      <c r="N795">
        <f>IF('[1]Cleaned Text Field'!N795="",0,'[1]Cleaned Text Field'!N795)</f>
        <v>5</v>
      </c>
      <c r="O795">
        <v>4302.32</v>
      </c>
      <c r="P795" s="5">
        <f>IF('[1]Cleaned Text Field'!P795="",0,'[1]Cleaned Text Field'!P795)</f>
        <v>0</v>
      </c>
      <c r="Q795">
        <v>21511.599999999999</v>
      </c>
      <c r="R795">
        <v>15408.47</v>
      </c>
      <c r="S795">
        <v>6103.13</v>
      </c>
      <c r="T795" t="str">
        <f>PROPER(TRIM([1]raw_orders!T795))</f>
        <v>Paid</v>
      </c>
      <c r="U795" t="str">
        <f>PROPER(TRIM([1]raw_orders!U795))</f>
        <v>Completed</v>
      </c>
      <c r="V795" s="6">
        <f t="shared" si="96"/>
        <v>0.28371343833094703</v>
      </c>
      <c r="W795" t="str">
        <f t="shared" si="97"/>
        <v>May</v>
      </c>
      <c r="X795">
        <f t="shared" si="98"/>
        <v>2024</v>
      </c>
      <c r="Y795">
        <f t="shared" si="99"/>
        <v>6</v>
      </c>
      <c r="Z795" s="7">
        <f t="shared" si="100"/>
        <v>0</v>
      </c>
      <c r="AA795">
        <f t="shared" si="101"/>
        <v>21511.599999999999</v>
      </c>
      <c r="AB795">
        <f t="shared" si="102"/>
        <v>6103.1299999999992</v>
      </c>
      <c r="AC795" t="str">
        <f t="shared" si="103"/>
        <v>Clean</v>
      </c>
    </row>
    <row r="796" spans="1:29">
      <c r="A796" t="s">
        <v>2398</v>
      </c>
      <c r="B796" s="4">
        <v>45830</v>
      </c>
      <c r="C796" s="4">
        <v>45832</v>
      </c>
      <c r="D796" t="s">
        <v>2399</v>
      </c>
      <c r="E796" t="str">
        <f>PROPER(TRIM([1]raw_orders!E796))</f>
        <v>Sneha Kapoor</v>
      </c>
      <c r="F796" t="str">
        <f>PROPER(TRIM([1]raw_orders!F796))</f>
        <v>Corporate</v>
      </c>
      <c r="G796" t="str">
        <f>IF('[1]Cleaned Text Field'!G796="","Unknown",'[1]Cleaned Text Field'!G796)</f>
        <v>East</v>
      </c>
      <c r="H796" t="str">
        <f>PROPER(TRIM([1]raw_orders!H796))</f>
        <v>Assam</v>
      </c>
      <c r="I796" t="str">
        <f>PROPER(TRIM([1]raw_orders!I796))</f>
        <v>Guwahati</v>
      </c>
      <c r="J796" t="str">
        <f>PROPER(TRIM([1]raw_orders!J796))</f>
        <v>Office Supplies</v>
      </c>
      <c r="K796" t="str">
        <f>PROPER(TRIM([1]raw_orders!K796))</f>
        <v>Paper</v>
      </c>
      <c r="L796" t="s">
        <v>2400</v>
      </c>
      <c r="M796" t="str">
        <f>IF('[1]Cleaned Text Field'!M796="","Unknown",'[1]Cleaned Text Field'!M796)</f>
        <v>Standard Class</v>
      </c>
      <c r="N796">
        <f>IF('[1]Cleaned Text Field'!N796="",0,'[1]Cleaned Text Field'!N796)</f>
        <v>9</v>
      </c>
      <c r="O796">
        <v>951.55</v>
      </c>
      <c r="P796" s="5">
        <f>IF('[1]Cleaned Text Field'!P796="",0,'[1]Cleaned Text Field'!P796)</f>
        <v>0.15</v>
      </c>
      <c r="Q796">
        <v>7279.36</v>
      </c>
      <c r="R796">
        <v>4870.3900000000003</v>
      </c>
      <c r="S796">
        <v>2408.9699999999998</v>
      </c>
      <c r="T796" t="str">
        <f>PROPER(TRIM([1]raw_orders!T796))</f>
        <v>Paid</v>
      </c>
      <c r="U796" t="str">
        <f>PROPER(TRIM([1]raw_orders!U796))</f>
        <v>Completed</v>
      </c>
      <c r="V796" s="6">
        <f t="shared" si="96"/>
        <v>0.33093156541234392</v>
      </c>
      <c r="W796" t="str">
        <f t="shared" si="97"/>
        <v>June</v>
      </c>
      <c r="X796">
        <f t="shared" si="98"/>
        <v>2025</v>
      </c>
      <c r="Y796">
        <f t="shared" si="99"/>
        <v>2</v>
      </c>
      <c r="Z796" s="7">
        <f t="shared" si="100"/>
        <v>0.15</v>
      </c>
      <c r="AA796">
        <f t="shared" si="101"/>
        <v>7279.3574999999992</v>
      </c>
      <c r="AB796">
        <f t="shared" si="102"/>
        <v>2408.9699999999993</v>
      </c>
      <c r="AC796" t="str">
        <f t="shared" si="103"/>
        <v>Clean</v>
      </c>
    </row>
    <row r="797" spans="1:29">
      <c r="A797" t="s">
        <v>2401</v>
      </c>
      <c r="B797" s="4">
        <v>45503</v>
      </c>
      <c r="C797" s="4">
        <v>45503</v>
      </c>
      <c r="D797" t="s">
        <v>2402</v>
      </c>
      <c r="E797" t="str">
        <f>PROPER(TRIM([1]raw_orders!E797))</f>
        <v>Diya Patel</v>
      </c>
      <c r="F797" t="str">
        <f>PROPER(TRIM([1]raw_orders!F797))</f>
        <v>Home Office</v>
      </c>
      <c r="G797" t="str">
        <f>IF('[1]Cleaned Text Field'!G797="","Unknown",'[1]Cleaned Text Field'!G797)</f>
        <v>East</v>
      </c>
      <c r="H797" t="str">
        <f>PROPER(TRIM([1]raw_orders!H797))</f>
        <v>Odisha</v>
      </c>
      <c r="I797" t="str">
        <f>PROPER(TRIM([1]raw_orders!I797))</f>
        <v>Bhubaneswar</v>
      </c>
      <c r="J797" t="str">
        <f>PROPER(TRIM([1]raw_orders!J797))</f>
        <v>Technology</v>
      </c>
      <c r="K797" t="str">
        <f>PROPER(TRIM([1]raw_orders!K797))</f>
        <v>Copiers</v>
      </c>
      <c r="L797" t="s">
        <v>2403</v>
      </c>
      <c r="M797" t="str">
        <f>IF('[1]Cleaned Text Field'!M797="","Unknown",'[1]Cleaned Text Field'!M797)</f>
        <v>Same Day</v>
      </c>
      <c r="N797">
        <f>IF('[1]Cleaned Text Field'!N797="",0,'[1]Cleaned Text Field'!N797)</f>
        <v>9</v>
      </c>
      <c r="O797">
        <v>2894.66</v>
      </c>
      <c r="P797" s="5">
        <f>IF('[1]Cleaned Text Field'!P797="",0,'[1]Cleaned Text Field'!P797)</f>
        <v>0</v>
      </c>
      <c r="Q797">
        <v>26051.94</v>
      </c>
      <c r="R797">
        <v>16883.59</v>
      </c>
      <c r="S797">
        <v>9168.35</v>
      </c>
      <c r="T797" t="str">
        <f>PROPER(TRIM([1]raw_orders!T797))</f>
        <v>Refunded</v>
      </c>
      <c r="U797" t="str">
        <f>PROPER(TRIM([1]raw_orders!U797))</f>
        <v>Cancelled</v>
      </c>
      <c r="V797" s="6">
        <f t="shared" si="96"/>
        <v>0.35192580667696921</v>
      </c>
      <c r="W797" t="str">
        <f t="shared" si="97"/>
        <v>July</v>
      </c>
      <c r="X797">
        <f t="shared" si="98"/>
        <v>2024</v>
      </c>
      <c r="Y797">
        <f t="shared" si="99"/>
        <v>0</v>
      </c>
      <c r="Z797" s="7">
        <f t="shared" si="100"/>
        <v>0</v>
      </c>
      <c r="AA797">
        <f t="shared" si="101"/>
        <v>26051.94</v>
      </c>
      <c r="AB797">
        <f t="shared" si="102"/>
        <v>9168.3499999999985</v>
      </c>
      <c r="AC797" t="str">
        <f t="shared" si="103"/>
        <v>Clean</v>
      </c>
    </row>
    <row r="798" spans="1:29">
      <c r="A798" t="s">
        <v>2404</v>
      </c>
      <c r="B798" s="4">
        <v>45374</v>
      </c>
      <c r="C798" s="4">
        <v>45381</v>
      </c>
      <c r="D798" t="s">
        <v>2405</v>
      </c>
      <c r="E798" t="str">
        <f>PROPER(TRIM([1]raw_orders!E798))</f>
        <v>Rohan Mehta</v>
      </c>
      <c r="F798" t="str">
        <f>PROPER(TRIM([1]raw_orders!F798))</f>
        <v>Small Business</v>
      </c>
      <c r="G798" t="str">
        <f>IF('[1]Cleaned Text Field'!G798="","Unknown",'[1]Cleaned Text Field'!G798)</f>
        <v>South</v>
      </c>
      <c r="H798" t="str">
        <f>PROPER(TRIM([1]raw_orders!H798))</f>
        <v>Andhra Pradesh</v>
      </c>
      <c r="I798" t="str">
        <f>PROPER(TRIM([1]raw_orders!I798))</f>
        <v>Vijayawada</v>
      </c>
      <c r="J798" t="str">
        <f>PROPER(TRIM([1]raw_orders!J798))</f>
        <v>Technology</v>
      </c>
      <c r="K798" t="str">
        <f>PROPER(TRIM([1]raw_orders!K798))</f>
        <v>Machines</v>
      </c>
      <c r="L798" t="s">
        <v>2406</v>
      </c>
      <c r="M798" t="str">
        <f>IF('[1]Cleaned Text Field'!M798="","Unknown",'[1]Cleaned Text Field'!M798)</f>
        <v>First Class</v>
      </c>
      <c r="N798">
        <f>IF('[1]Cleaned Text Field'!N798="",0,'[1]Cleaned Text Field'!N798)</f>
        <v>6</v>
      </c>
      <c r="O798">
        <v>1894.44</v>
      </c>
      <c r="P798" s="5">
        <f>IF('[1]Cleaned Text Field'!P798="",0,'[1]Cleaned Text Field'!P798)</f>
        <v>0.15</v>
      </c>
      <c r="Q798">
        <v>9661.64</v>
      </c>
      <c r="R798">
        <v>6303.77</v>
      </c>
      <c r="S798">
        <v>3357.87</v>
      </c>
      <c r="T798" t="str">
        <f>PROPER(TRIM([1]raw_orders!T798))</f>
        <v>Paid</v>
      </c>
      <c r="U798" t="str">
        <f>PROPER(TRIM([1]raw_orders!U798))</f>
        <v>Completed</v>
      </c>
      <c r="V798" s="6">
        <f t="shared" si="96"/>
        <v>0.34754658629383833</v>
      </c>
      <c r="W798" t="str">
        <f t="shared" si="97"/>
        <v>March</v>
      </c>
      <c r="X798">
        <f t="shared" si="98"/>
        <v>2024</v>
      </c>
      <c r="Y798">
        <f t="shared" si="99"/>
        <v>7</v>
      </c>
      <c r="Z798" s="7">
        <f t="shared" si="100"/>
        <v>0.15</v>
      </c>
      <c r="AA798">
        <f t="shared" si="101"/>
        <v>9661.6439999999984</v>
      </c>
      <c r="AB798">
        <f t="shared" si="102"/>
        <v>3357.869999999999</v>
      </c>
      <c r="AC798" t="str">
        <f t="shared" si="103"/>
        <v>Clean</v>
      </c>
    </row>
    <row r="799" spans="1:29">
      <c r="A799" t="s">
        <v>2407</v>
      </c>
      <c r="B799" s="4">
        <v>45400</v>
      </c>
      <c r="C799" s="4">
        <v>45404</v>
      </c>
      <c r="D799" t="s">
        <v>2408</v>
      </c>
      <c r="E799" t="str">
        <f>PROPER(TRIM([1]raw_orders!E799))</f>
        <v>Aarav Sharma</v>
      </c>
      <c r="F799" t="str">
        <f>PROPER(TRIM([1]raw_orders!F799))</f>
        <v>Consumer</v>
      </c>
      <c r="G799" t="str">
        <f>IF('[1]Cleaned Text Field'!G799="","Unknown",'[1]Cleaned Text Field'!G799)</f>
        <v>East</v>
      </c>
      <c r="H799" t="str">
        <f>PROPER(TRIM([1]raw_orders!H799))</f>
        <v>Odisha</v>
      </c>
      <c r="I799" t="str">
        <f>PROPER(TRIM([1]raw_orders!I799))</f>
        <v>Bhubaneswar</v>
      </c>
      <c r="J799" t="str">
        <f>PROPER(TRIM([1]raw_orders!J799))</f>
        <v>Office Supplies</v>
      </c>
      <c r="K799" t="str">
        <f>PROPER(TRIM([1]raw_orders!K799))</f>
        <v>Binders</v>
      </c>
      <c r="L799" t="s">
        <v>2409</v>
      </c>
      <c r="M799" t="str">
        <f>IF('[1]Cleaned Text Field'!M799="","Unknown",'[1]Cleaned Text Field'!M799)</f>
        <v>First Class</v>
      </c>
      <c r="N799">
        <f>IF('[1]Cleaned Text Field'!N799="",0,'[1]Cleaned Text Field'!N799)</f>
        <v>8</v>
      </c>
      <c r="O799">
        <v>1714.37</v>
      </c>
      <c r="P799" s="5">
        <f>IF('[1]Cleaned Text Field'!P799="",0,'[1]Cleaned Text Field'!P799)</f>
        <v>0</v>
      </c>
      <c r="Q799">
        <v>13714.96</v>
      </c>
      <c r="R799">
        <v>10550.47</v>
      </c>
      <c r="S799">
        <v>3164.49</v>
      </c>
      <c r="T799" t="str">
        <f>PROPER(TRIM([1]raw_orders!T799))</f>
        <v>Failed</v>
      </c>
      <c r="U799" t="str">
        <f>PROPER(TRIM([1]raw_orders!U799))</f>
        <v>Cancelled</v>
      </c>
      <c r="V799" s="6">
        <f t="shared" si="96"/>
        <v>0.23073271814135804</v>
      </c>
      <c r="W799" t="str">
        <f t="shared" si="97"/>
        <v>April</v>
      </c>
      <c r="X799">
        <f t="shared" si="98"/>
        <v>2024</v>
      </c>
      <c r="Y799">
        <f t="shared" si="99"/>
        <v>4</v>
      </c>
      <c r="Z799" s="7">
        <f t="shared" si="100"/>
        <v>0</v>
      </c>
      <c r="AA799">
        <f t="shared" si="101"/>
        <v>13714.96</v>
      </c>
      <c r="AB799">
        <f t="shared" si="102"/>
        <v>3164.49</v>
      </c>
      <c r="AC799" t="str">
        <f t="shared" si="103"/>
        <v>Clean</v>
      </c>
    </row>
    <row r="800" spans="1:29">
      <c r="A800" t="s">
        <v>2410</v>
      </c>
      <c r="B800" s="4">
        <v>45849</v>
      </c>
      <c r="C800" s="4">
        <v>45907</v>
      </c>
      <c r="D800" t="s">
        <v>2411</v>
      </c>
      <c r="E800" t="str">
        <f>PROPER(TRIM([1]raw_orders!E800))</f>
        <v>Aditi Sen</v>
      </c>
      <c r="F800" t="str">
        <f>PROPER(TRIM([1]raw_orders!F800))</f>
        <v>Corporate</v>
      </c>
      <c r="G800" t="str">
        <f>IF('[1]Cleaned Text Field'!G800="","Unknown",'[1]Cleaned Text Field'!G800)</f>
        <v>North</v>
      </c>
      <c r="H800" t="str">
        <f>PROPER(TRIM([1]raw_orders!H800))</f>
        <v>Delhi</v>
      </c>
      <c r="I800" t="str">
        <f>PROPER(TRIM([1]raw_orders!I800))</f>
        <v>New Delhi</v>
      </c>
      <c r="J800" t="str">
        <f>PROPER(TRIM([1]raw_orders!J800))</f>
        <v>Furniture</v>
      </c>
      <c r="K800" t="str">
        <f>PROPER(TRIM([1]raw_orders!K800))</f>
        <v>Furnishings</v>
      </c>
      <c r="L800" t="s">
        <v>2412</v>
      </c>
      <c r="M800" t="str">
        <f>IF('[1]Cleaned Text Field'!M800="","Unknown",'[1]Cleaned Text Field'!M800)</f>
        <v>Standard Class</v>
      </c>
      <c r="N800">
        <f>IF('[1]Cleaned Text Field'!N800="",0,'[1]Cleaned Text Field'!N800)</f>
        <v>9</v>
      </c>
      <c r="O800">
        <v>1706.05</v>
      </c>
      <c r="P800" s="5">
        <f>IF('[1]Cleaned Text Field'!P800="",0,'[1]Cleaned Text Field'!P800)</f>
        <v>0</v>
      </c>
      <c r="Q800">
        <v>15354.45</v>
      </c>
      <c r="R800">
        <v>9656.5</v>
      </c>
      <c r="S800">
        <v>5697.95</v>
      </c>
      <c r="T800" t="str">
        <f>PROPER(TRIM([1]raw_orders!T800))</f>
        <v>Paid</v>
      </c>
      <c r="U800" t="str">
        <f>PROPER(TRIM([1]raw_orders!U800))</f>
        <v>Completed</v>
      </c>
      <c r="V800" s="6">
        <f t="shared" si="96"/>
        <v>0.37109437329243311</v>
      </c>
      <c r="W800" t="str">
        <f t="shared" si="97"/>
        <v>July</v>
      </c>
      <c r="X800">
        <f t="shared" si="98"/>
        <v>2025</v>
      </c>
      <c r="Y800">
        <f t="shared" si="99"/>
        <v>58</v>
      </c>
      <c r="Z800" s="7">
        <f t="shared" si="100"/>
        <v>0</v>
      </c>
      <c r="AA800">
        <f t="shared" si="101"/>
        <v>15354.449999999999</v>
      </c>
      <c r="AB800">
        <f t="shared" si="102"/>
        <v>5697.9500000000007</v>
      </c>
      <c r="AC800" t="str">
        <f t="shared" si="103"/>
        <v>Clean</v>
      </c>
    </row>
    <row r="801" spans="1:29">
      <c r="A801" t="s">
        <v>2413</v>
      </c>
      <c r="B801" s="4">
        <v>45575</v>
      </c>
      <c r="C801" s="4">
        <v>45582</v>
      </c>
      <c r="D801" t="s">
        <v>2414</v>
      </c>
      <c r="E801" t="str">
        <f>PROPER(TRIM([1]raw_orders!E801))</f>
        <v>Isha Nair</v>
      </c>
      <c r="F801" t="str">
        <f>PROPER(TRIM([1]raw_orders!F801))</f>
        <v>Home Office</v>
      </c>
      <c r="G801" t="str">
        <f>IF('[1]Cleaned Text Field'!G801="","Unknown",'[1]Cleaned Text Field'!G801)</f>
        <v>North</v>
      </c>
      <c r="H801" t="str">
        <f>PROPER(TRIM([1]raw_orders!H801))</f>
        <v>Haryana</v>
      </c>
      <c r="I801" t="str">
        <f>PROPER(TRIM([1]raw_orders!I801))</f>
        <v>Gurugram</v>
      </c>
      <c r="J801" t="str">
        <f>PROPER(TRIM([1]raw_orders!J801))</f>
        <v>Technology</v>
      </c>
      <c r="K801" t="str">
        <f>PROPER(TRIM([1]raw_orders!K801))</f>
        <v>Accessories</v>
      </c>
      <c r="L801" t="s">
        <v>2415</v>
      </c>
      <c r="M801" t="str">
        <f>IF('[1]Cleaned Text Field'!M801="","Unknown",'[1]Cleaned Text Field'!M801)</f>
        <v>Unknown</v>
      </c>
      <c r="N801">
        <f>IF('[1]Cleaned Text Field'!N801="",0,'[1]Cleaned Text Field'!N801)</f>
        <v>5</v>
      </c>
      <c r="O801">
        <v>967.41</v>
      </c>
      <c r="P801" s="5">
        <f>IF('[1]Cleaned Text Field'!P801="",0,'[1]Cleaned Text Field'!P801)</f>
        <v>0.05</v>
      </c>
      <c r="Q801">
        <v>4595.2</v>
      </c>
      <c r="R801">
        <v>3887.41</v>
      </c>
      <c r="S801">
        <v>707.79</v>
      </c>
      <c r="T801" t="str">
        <f>PROPER(TRIM([1]raw_orders!T801))</f>
        <v>Paid</v>
      </c>
      <c r="U801" t="str">
        <f>PROPER(TRIM([1]raw_orders!U801))</f>
        <v>Returned</v>
      </c>
      <c r="V801" s="6">
        <f t="shared" si="96"/>
        <v>0.15402811629526461</v>
      </c>
      <c r="W801" t="str">
        <f t="shared" si="97"/>
        <v>October</v>
      </c>
      <c r="X801">
        <f t="shared" si="98"/>
        <v>2024</v>
      </c>
      <c r="Y801">
        <f t="shared" si="99"/>
        <v>7</v>
      </c>
      <c r="Z801" s="7">
        <f t="shared" si="100"/>
        <v>0.05</v>
      </c>
      <c r="AA801">
        <f t="shared" si="101"/>
        <v>4595.1975000000002</v>
      </c>
      <c r="AB801">
        <f t="shared" si="102"/>
        <v>707.79</v>
      </c>
      <c r="AC801" t="str">
        <f t="shared" si="103"/>
        <v>Clean</v>
      </c>
    </row>
    <row r="802" spans="1:29">
      <c r="A802" t="s">
        <v>2416</v>
      </c>
      <c r="B802" s="4">
        <v>45352</v>
      </c>
      <c r="C802" s="4">
        <v>45358</v>
      </c>
      <c r="D802" t="s">
        <v>2417</v>
      </c>
      <c r="E802" t="str">
        <f>PROPER(TRIM([1]raw_orders!E802))</f>
        <v>Vikram Iyer</v>
      </c>
      <c r="F802" t="str">
        <f>PROPER(TRIM([1]raw_orders!F802))</f>
        <v>Small Business</v>
      </c>
      <c r="G802" t="str">
        <f>IF('[1]Cleaned Text Field'!G802="","Unknown",'[1]Cleaned Text Field'!G802)</f>
        <v>West</v>
      </c>
      <c r="H802" t="str">
        <f>PROPER(TRIM([1]raw_orders!H802))</f>
        <v>Maharashtra</v>
      </c>
      <c r="I802" t="str">
        <f>PROPER(TRIM([1]raw_orders!I802))</f>
        <v>Mumbai</v>
      </c>
      <c r="J802" t="str">
        <f>PROPER(TRIM([1]raw_orders!J802))</f>
        <v>Office Supplies</v>
      </c>
      <c r="K802" t="str">
        <f>PROPER(TRIM([1]raw_orders!K802))</f>
        <v>Storage</v>
      </c>
      <c r="L802" t="s">
        <v>2418</v>
      </c>
      <c r="M802" t="str">
        <f>IF('[1]Cleaned Text Field'!M802="","Unknown",'[1]Cleaned Text Field'!M802)</f>
        <v>Second Class</v>
      </c>
      <c r="N802">
        <f>IF('[1]Cleaned Text Field'!N802="",0,'[1]Cleaned Text Field'!N802)</f>
        <v>6</v>
      </c>
      <c r="O802">
        <v>4163.72</v>
      </c>
      <c r="P802" s="5">
        <f>IF('[1]Cleaned Text Field'!P802="",0,'[1]Cleaned Text Field'!P802)</f>
        <v>0.15</v>
      </c>
      <c r="Q802">
        <v>21234.97</v>
      </c>
      <c r="R802">
        <v>16736.09</v>
      </c>
      <c r="S802">
        <v>4498.88</v>
      </c>
      <c r="T802" t="str">
        <f>PROPER(TRIM([1]raw_orders!T802))</f>
        <v>Paid</v>
      </c>
      <c r="U802" t="str">
        <f>PROPER(TRIM([1]raw_orders!U802))</f>
        <v>Completed</v>
      </c>
      <c r="V802" s="6">
        <f t="shared" si="96"/>
        <v>0.21186184863929641</v>
      </c>
      <c r="W802" t="str">
        <f t="shared" si="97"/>
        <v>March</v>
      </c>
      <c r="X802">
        <f t="shared" si="98"/>
        <v>2024</v>
      </c>
      <c r="Y802">
        <f t="shared" si="99"/>
        <v>6</v>
      </c>
      <c r="Z802" s="7">
        <f t="shared" si="100"/>
        <v>0.15</v>
      </c>
      <c r="AA802">
        <f t="shared" si="101"/>
        <v>21234.971999999998</v>
      </c>
      <c r="AB802">
        <f t="shared" si="102"/>
        <v>4498.880000000001</v>
      </c>
      <c r="AC802" t="str">
        <f t="shared" si="103"/>
        <v>Clean</v>
      </c>
    </row>
    <row r="803" spans="1:29">
      <c r="A803" t="s">
        <v>2419</v>
      </c>
      <c r="B803" s="4">
        <v>45938</v>
      </c>
      <c r="C803" s="4">
        <v>45945</v>
      </c>
      <c r="D803" t="s">
        <v>2420</v>
      </c>
      <c r="E803" t="str">
        <f>PROPER(TRIM([1]raw_orders!E803))</f>
        <v>Aarav Sharma</v>
      </c>
      <c r="F803" t="str">
        <f>PROPER(TRIM([1]raw_orders!F803))</f>
        <v>Home Office</v>
      </c>
      <c r="G803" t="str">
        <f>IF('[1]Cleaned Text Field'!G803="","Unknown",'[1]Cleaned Text Field'!G803)</f>
        <v>East</v>
      </c>
      <c r="H803" t="str">
        <f>PROPER(TRIM([1]raw_orders!H803))</f>
        <v>Odisha</v>
      </c>
      <c r="I803" t="str">
        <f>PROPER(TRIM([1]raw_orders!I803))</f>
        <v>Bhubaneswar</v>
      </c>
      <c r="J803" t="str">
        <f>PROPER(TRIM([1]raw_orders!J803))</f>
        <v>Technology</v>
      </c>
      <c r="K803" t="str">
        <f>PROPER(TRIM([1]raw_orders!K803))</f>
        <v>Accessories</v>
      </c>
      <c r="L803" t="s">
        <v>2421</v>
      </c>
      <c r="M803" t="str">
        <f>IF('[1]Cleaned Text Field'!M803="","Unknown",'[1]Cleaned Text Field'!M803)</f>
        <v>Second Class</v>
      </c>
      <c r="N803">
        <f>IF('[1]Cleaned Text Field'!N803="",0,'[1]Cleaned Text Field'!N803)</f>
        <v>3</v>
      </c>
      <c r="O803">
        <v>3372.21</v>
      </c>
      <c r="P803" s="5">
        <f>IF('[1]Cleaned Text Field'!P803="",0,'[1]Cleaned Text Field'!P803)</f>
        <v>0.2</v>
      </c>
      <c r="Q803">
        <v>8093.3</v>
      </c>
      <c r="R803">
        <v>6052.43</v>
      </c>
      <c r="S803">
        <v>2040.87</v>
      </c>
      <c r="T803" t="str">
        <f>PROPER(TRIM([1]raw_orders!T803))</f>
        <v>Pending</v>
      </c>
      <c r="U803" t="str">
        <f>PROPER(TRIM([1]raw_orders!U803))</f>
        <v>Cancelled</v>
      </c>
      <c r="V803" s="6">
        <f t="shared" si="96"/>
        <v>0.252167842536419</v>
      </c>
      <c r="W803" t="str">
        <f t="shared" si="97"/>
        <v>October</v>
      </c>
      <c r="X803">
        <f t="shared" si="98"/>
        <v>2025</v>
      </c>
      <c r="Y803">
        <f t="shared" si="99"/>
        <v>7</v>
      </c>
      <c r="Z803" s="7">
        <f t="shared" si="100"/>
        <v>0.2</v>
      </c>
      <c r="AA803">
        <f t="shared" si="101"/>
        <v>8093.304000000001</v>
      </c>
      <c r="AB803">
        <f t="shared" si="102"/>
        <v>2040.87</v>
      </c>
      <c r="AC803" t="str">
        <f t="shared" si="103"/>
        <v>Clean</v>
      </c>
    </row>
    <row r="804" spans="1:29">
      <c r="A804" t="s">
        <v>2422</v>
      </c>
      <c r="B804" s="4">
        <v>45704</v>
      </c>
      <c r="C804" s="4">
        <v>45704</v>
      </c>
      <c r="D804" t="s">
        <v>2423</v>
      </c>
      <c r="E804" t="str">
        <f>PROPER(TRIM([1]raw_orders!E804))</f>
        <v>Rohan Mehta</v>
      </c>
      <c r="F804" t="str">
        <f>PROPER(TRIM([1]raw_orders!F804))</f>
        <v>Small Business</v>
      </c>
      <c r="G804" t="str">
        <f>IF('[1]Cleaned Text Field'!G804="","Unknown",'[1]Cleaned Text Field'!G804)</f>
        <v>East</v>
      </c>
      <c r="H804" t="str">
        <f>PROPER(TRIM([1]raw_orders!H804))</f>
        <v>Assam</v>
      </c>
      <c r="I804" t="str">
        <f>PROPER(TRIM([1]raw_orders!I804))</f>
        <v>Guwahati</v>
      </c>
      <c r="J804" t="str">
        <f>PROPER(TRIM([1]raw_orders!J804))</f>
        <v>Furniture</v>
      </c>
      <c r="K804" t="str">
        <f>PROPER(TRIM([1]raw_orders!K804))</f>
        <v>Furnishings</v>
      </c>
      <c r="L804" t="s">
        <v>2424</v>
      </c>
      <c r="M804" t="str">
        <f>IF('[1]Cleaned Text Field'!M804="","Unknown",'[1]Cleaned Text Field'!M804)</f>
        <v>Second Class</v>
      </c>
      <c r="N804">
        <f>IF('[1]Cleaned Text Field'!N804="",0,'[1]Cleaned Text Field'!N804)</f>
        <v>6</v>
      </c>
      <c r="O804">
        <v>1441.91</v>
      </c>
      <c r="P804" s="5">
        <f>IF('[1]Cleaned Text Field'!P804="",0,'[1]Cleaned Text Field'!P804)</f>
        <v>0</v>
      </c>
      <c r="Q804">
        <v>8651.4599999999991</v>
      </c>
      <c r="R804">
        <v>5254.62</v>
      </c>
      <c r="S804">
        <v>3396.84</v>
      </c>
      <c r="T804" t="str">
        <f>PROPER(TRIM([1]raw_orders!T804))</f>
        <v>Failed</v>
      </c>
      <c r="U804" t="str">
        <f>PROPER(TRIM([1]raw_orders!U804))</f>
        <v>Returned</v>
      </c>
      <c r="V804" s="6">
        <f t="shared" si="96"/>
        <v>0.39263199506210517</v>
      </c>
      <c r="W804" t="str">
        <f t="shared" si="97"/>
        <v>February</v>
      </c>
      <c r="X804">
        <f t="shared" si="98"/>
        <v>2025</v>
      </c>
      <c r="Y804">
        <f t="shared" si="99"/>
        <v>0</v>
      </c>
      <c r="Z804" s="7">
        <f t="shared" si="100"/>
        <v>0</v>
      </c>
      <c r="AA804">
        <f t="shared" si="101"/>
        <v>8651.4600000000009</v>
      </c>
      <c r="AB804">
        <f t="shared" si="102"/>
        <v>3396.8399999999992</v>
      </c>
      <c r="AC804" t="str">
        <f t="shared" si="103"/>
        <v>Clean</v>
      </c>
    </row>
    <row r="805" spans="1:29">
      <c r="A805" t="s">
        <v>2425</v>
      </c>
      <c r="B805" s="4">
        <v>45635</v>
      </c>
      <c r="C805" s="4">
        <v>45639</v>
      </c>
      <c r="D805" t="s">
        <v>2426</v>
      </c>
      <c r="E805" t="str">
        <f>PROPER(TRIM([1]raw_orders!E805))</f>
        <v>Rohan Mehta</v>
      </c>
      <c r="F805" t="str">
        <f>PROPER(TRIM([1]raw_orders!F805))</f>
        <v>Consumer</v>
      </c>
      <c r="G805" t="str">
        <f>IF('[1]Cleaned Text Field'!G805="","Unknown",'[1]Cleaned Text Field'!G805)</f>
        <v>Unknown</v>
      </c>
      <c r="H805" t="str">
        <f>PROPER(TRIM([1]raw_orders!H805))</f>
        <v>Jharkhand</v>
      </c>
      <c r="I805" t="str">
        <f>PROPER(TRIM([1]raw_orders!I805))</f>
        <v>Ranchi</v>
      </c>
      <c r="J805" t="str">
        <f>PROPER(TRIM([1]raw_orders!J805))</f>
        <v>Office Supplies</v>
      </c>
      <c r="K805" t="str">
        <f>PROPER(TRIM([1]raw_orders!K805))</f>
        <v>Labels</v>
      </c>
      <c r="L805" t="s">
        <v>2427</v>
      </c>
      <c r="M805" t="str">
        <f>IF('[1]Cleaned Text Field'!M805="","Unknown",'[1]Cleaned Text Field'!M805)</f>
        <v>First Class</v>
      </c>
      <c r="N805">
        <f>IF('[1]Cleaned Text Field'!N805="",0,'[1]Cleaned Text Field'!N805)</f>
        <v>1</v>
      </c>
      <c r="O805">
        <v>4306.6499999999996</v>
      </c>
      <c r="P805" s="5">
        <f>IF('[1]Cleaned Text Field'!P805="",0,'[1]Cleaned Text Field'!P805)</f>
        <v>0</v>
      </c>
      <c r="Q805">
        <v>4306.6499999999996</v>
      </c>
      <c r="R805">
        <v>2568.8200000000002</v>
      </c>
      <c r="S805">
        <v>1737.83</v>
      </c>
      <c r="T805" t="str">
        <f>PROPER(TRIM([1]raw_orders!T805))</f>
        <v>Paid</v>
      </c>
      <c r="U805" t="str">
        <f>PROPER(TRIM([1]raw_orders!U805))</f>
        <v>Completed</v>
      </c>
      <c r="V805" s="6">
        <f t="shared" si="96"/>
        <v>0.40352245945224247</v>
      </c>
      <c r="W805" t="str">
        <f t="shared" si="97"/>
        <v>December</v>
      </c>
      <c r="X805">
        <f t="shared" si="98"/>
        <v>2024</v>
      </c>
      <c r="Y805">
        <f t="shared" si="99"/>
        <v>4</v>
      </c>
      <c r="Z805" s="7">
        <f t="shared" si="100"/>
        <v>0</v>
      </c>
      <c r="AA805">
        <f t="shared" si="101"/>
        <v>4306.6499999999996</v>
      </c>
      <c r="AB805">
        <f t="shared" si="102"/>
        <v>1737.8299999999995</v>
      </c>
      <c r="AC805" t="str">
        <f t="shared" si="103"/>
        <v>Clean</v>
      </c>
    </row>
    <row r="806" spans="1:29">
      <c r="A806" t="s">
        <v>2428</v>
      </c>
      <c r="B806" s="4">
        <v>45939</v>
      </c>
      <c r="C806" s="4">
        <v>45918</v>
      </c>
      <c r="D806" t="s">
        <v>2429</v>
      </c>
      <c r="E806" t="str">
        <f>PROPER(TRIM([1]raw_orders!E806))</f>
        <v>Rahul Verma</v>
      </c>
      <c r="F806" t="str">
        <f>PROPER(TRIM([1]raw_orders!F806))</f>
        <v>Home Office</v>
      </c>
      <c r="G806" t="str">
        <f>IF('[1]Cleaned Text Field'!G806="","Unknown",'[1]Cleaned Text Field'!G806)</f>
        <v>South</v>
      </c>
      <c r="H806" t="str">
        <f>PROPER(TRIM([1]raw_orders!H806))</f>
        <v>Telangana</v>
      </c>
      <c r="I806" t="str">
        <f>PROPER(TRIM([1]raw_orders!I806))</f>
        <v>Hyderabad</v>
      </c>
      <c r="J806" t="str">
        <f>PROPER(TRIM([1]raw_orders!J806))</f>
        <v>Furniture</v>
      </c>
      <c r="K806" t="str">
        <f>PROPER(TRIM([1]raw_orders!K806))</f>
        <v>Furnishings</v>
      </c>
      <c r="L806" t="s">
        <v>2430</v>
      </c>
      <c r="M806" t="str">
        <f>IF('[1]Cleaned Text Field'!M806="","Unknown",'[1]Cleaned Text Field'!M806)</f>
        <v>Standard Class</v>
      </c>
      <c r="N806">
        <f>IF('[1]Cleaned Text Field'!N806="",0,'[1]Cleaned Text Field'!N806)</f>
        <v>1</v>
      </c>
      <c r="O806">
        <v>2050.62</v>
      </c>
      <c r="P806" s="5">
        <f>IF('[1]Cleaned Text Field'!P806="",0,'[1]Cleaned Text Field'!P806)</f>
        <v>0.05</v>
      </c>
      <c r="Q806">
        <v>1948.09</v>
      </c>
      <c r="R806">
        <v>1507.08</v>
      </c>
      <c r="S806">
        <v>441.01</v>
      </c>
      <c r="T806" t="str">
        <f>PROPER(TRIM([1]raw_orders!T806))</f>
        <v>Paid</v>
      </c>
      <c r="U806" t="str">
        <f>PROPER(TRIM([1]raw_orders!U806))</f>
        <v>Completed</v>
      </c>
      <c r="V806" s="6">
        <f t="shared" si="96"/>
        <v>0.22638071136343804</v>
      </c>
      <c r="W806" t="str">
        <f t="shared" si="97"/>
        <v>October</v>
      </c>
      <c r="X806">
        <f t="shared" si="98"/>
        <v>2025</v>
      </c>
      <c r="Y806">
        <f t="shared" si="99"/>
        <v>-21</v>
      </c>
      <c r="Z806" s="7">
        <f t="shared" si="100"/>
        <v>0.05</v>
      </c>
      <c r="AA806">
        <f t="shared" si="101"/>
        <v>1948.0889999999997</v>
      </c>
      <c r="AB806">
        <f t="shared" si="102"/>
        <v>441.01</v>
      </c>
      <c r="AC806" t="str">
        <f t="shared" si="103"/>
        <v>Warning</v>
      </c>
    </row>
    <row r="807" spans="1:29">
      <c r="A807" t="s">
        <v>2431</v>
      </c>
      <c r="B807" s="4">
        <v>45753</v>
      </c>
      <c r="C807" s="4">
        <v>45842</v>
      </c>
      <c r="D807" t="s">
        <v>2296</v>
      </c>
      <c r="E807" t="str">
        <f>PROPER(TRIM([1]raw_orders!E807))</f>
        <v>Priya Menon</v>
      </c>
      <c r="F807" t="str">
        <f>PROPER(TRIM([1]raw_orders!F807))</f>
        <v>Home Office</v>
      </c>
      <c r="G807" t="str">
        <f>IF('[1]Cleaned Text Field'!G807="","Unknown",'[1]Cleaned Text Field'!G807)</f>
        <v>East</v>
      </c>
      <c r="H807" t="str">
        <f>PROPER(TRIM([1]raw_orders!H807))</f>
        <v>Assam</v>
      </c>
      <c r="I807" t="str">
        <f>PROPER(TRIM([1]raw_orders!I807))</f>
        <v>Guwahati</v>
      </c>
      <c r="J807" t="str">
        <f>PROPER(TRIM([1]raw_orders!J807))</f>
        <v>Office Supplies</v>
      </c>
      <c r="K807" t="str">
        <f>PROPER(TRIM([1]raw_orders!K807))</f>
        <v>Binders</v>
      </c>
      <c r="L807" t="s">
        <v>2432</v>
      </c>
      <c r="M807" t="str">
        <f>IF('[1]Cleaned Text Field'!M807="","Unknown",'[1]Cleaned Text Field'!M807)</f>
        <v>Second Class</v>
      </c>
      <c r="N807">
        <f>IF('[1]Cleaned Text Field'!N807="",0,'[1]Cleaned Text Field'!N807)</f>
        <v>2</v>
      </c>
      <c r="O807">
        <v>2030.06</v>
      </c>
      <c r="P807" s="5">
        <f>IF('[1]Cleaned Text Field'!P807="",0,'[1]Cleaned Text Field'!P807)</f>
        <v>0.25</v>
      </c>
      <c r="Q807">
        <v>3045.09</v>
      </c>
      <c r="R807">
        <v>2601.09</v>
      </c>
      <c r="S807">
        <v>444</v>
      </c>
      <c r="T807" t="str">
        <f>PROPER(TRIM([1]raw_orders!T807))</f>
        <v>Paid</v>
      </c>
      <c r="U807" t="str">
        <f>PROPER(TRIM([1]raw_orders!U807))</f>
        <v>Completed</v>
      </c>
      <c r="V807" s="6">
        <f t="shared" si="96"/>
        <v>0.14580849827098705</v>
      </c>
      <c r="W807" t="str">
        <f t="shared" si="97"/>
        <v>April</v>
      </c>
      <c r="X807">
        <f t="shared" si="98"/>
        <v>2025</v>
      </c>
      <c r="Y807">
        <f t="shared" si="99"/>
        <v>89</v>
      </c>
      <c r="Z807" s="7">
        <f t="shared" si="100"/>
        <v>0.25</v>
      </c>
      <c r="AA807">
        <f t="shared" si="101"/>
        <v>3045.09</v>
      </c>
      <c r="AB807">
        <f t="shared" si="102"/>
        <v>444</v>
      </c>
      <c r="AC807" t="str">
        <f t="shared" si="103"/>
        <v>Clean</v>
      </c>
    </row>
    <row r="808" spans="1:29">
      <c r="A808" t="s">
        <v>2433</v>
      </c>
      <c r="B808" s="4">
        <v>45546</v>
      </c>
      <c r="C808" s="4">
        <v>45611</v>
      </c>
      <c r="D808" t="s">
        <v>2434</v>
      </c>
      <c r="E808" t="str">
        <f>PROPER(TRIM([1]raw_orders!E808))</f>
        <v>Isha Nair</v>
      </c>
      <c r="F808" t="str">
        <f>PROPER(TRIM([1]raw_orders!F808))</f>
        <v>Home Office</v>
      </c>
      <c r="G808" t="str">
        <f>IF('[1]Cleaned Text Field'!G808="","Unknown",'[1]Cleaned Text Field'!G808)</f>
        <v>North</v>
      </c>
      <c r="H808" t="str">
        <f>PROPER(TRIM([1]raw_orders!H808))</f>
        <v>Rajasthan</v>
      </c>
      <c r="I808" t="str">
        <f>PROPER(TRIM([1]raw_orders!I808))</f>
        <v>Jaipur</v>
      </c>
      <c r="J808" t="str">
        <f>PROPER(TRIM([1]raw_orders!J808))</f>
        <v>Technology</v>
      </c>
      <c r="K808" t="str">
        <f>PROPER(TRIM([1]raw_orders!K808))</f>
        <v>Copiers</v>
      </c>
      <c r="L808" t="s">
        <v>2435</v>
      </c>
      <c r="M808" t="str">
        <f>IF('[1]Cleaned Text Field'!M808="","Unknown",'[1]Cleaned Text Field'!M808)</f>
        <v>Standard Class</v>
      </c>
      <c r="N808">
        <f>IF('[1]Cleaned Text Field'!N808="",0,'[1]Cleaned Text Field'!N808)</f>
        <v>1</v>
      </c>
      <c r="O808">
        <v>3665.97</v>
      </c>
      <c r="P808" s="5">
        <f>IF('[1]Cleaned Text Field'!P808="",0,'[1]Cleaned Text Field'!P808)</f>
        <v>0.2</v>
      </c>
      <c r="Q808">
        <v>2932.78</v>
      </c>
      <c r="R808">
        <v>1900.35</v>
      </c>
      <c r="S808">
        <v>1032.43</v>
      </c>
      <c r="T808" t="str">
        <f>PROPER(TRIM([1]raw_orders!T808))</f>
        <v>Failed</v>
      </c>
      <c r="U808" t="str">
        <f>PROPER(TRIM([1]raw_orders!U808))</f>
        <v>Cancelled</v>
      </c>
      <c r="V808" s="6">
        <f t="shared" si="96"/>
        <v>0.3520311786086921</v>
      </c>
      <c r="W808" t="str">
        <f t="shared" si="97"/>
        <v>September</v>
      </c>
      <c r="X808">
        <f t="shared" si="98"/>
        <v>2024</v>
      </c>
      <c r="Y808">
        <f t="shared" si="99"/>
        <v>65</v>
      </c>
      <c r="Z808" s="7">
        <f t="shared" si="100"/>
        <v>0.2</v>
      </c>
      <c r="AA808">
        <f t="shared" si="101"/>
        <v>2932.7759999999998</v>
      </c>
      <c r="AB808">
        <f t="shared" si="102"/>
        <v>1032.4300000000003</v>
      </c>
      <c r="AC808" t="str">
        <f t="shared" si="103"/>
        <v>Clean</v>
      </c>
    </row>
    <row r="809" spans="1:29">
      <c r="A809" t="s">
        <v>2436</v>
      </c>
      <c r="B809" s="4">
        <v>45695</v>
      </c>
      <c r="C809" s="4">
        <v>45696</v>
      </c>
      <c r="D809" t="s">
        <v>2437</v>
      </c>
      <c r="E809" t="str">
        <f>PROPER(TRIM([1]raw_orders!E809))</f>
        <v>Karan Malhotra</v>
      </c>
      <c r="F809" t="str">
        <f>PROPER(TRIM([1]raw_orders!F809))</f>
        <v>Small Business</v>
      </c>
      <c r="G809" t="str">
        <f>IF('[1]Cleaned Text Field'!G809="","Unknown",'[1]Cleaned Text Field'!G809)</f>
        <v>South</v>
      </c>
      <c r="H809" t="str">
        <f>PROPER(TRIM([1]raw_orders!H809))</f>
        <v>Telangana</v>
      </c>
      <c r="I809" t="str">
        <f>PROPER(TRIM([1]raw_orders!I809))</f>
        <v>Hyderabad</v>
      </c>
      <c r="J809" t="str">
        <f>PROPER(TRIM([1]raw_orders!J809))</f>
        <v>Office Supplies</v>
      </c>
      <c r="K809" t="str">
        <f>PROPER(TRIM([1]raw_orders!K809))</f>
        <v>Labels</v>
      </c>
      <c r="L809" t="s">
        <v>2438</v>
      </c>
      <c r="M809" t="str">
        <f>IF('[1]Cleaned Text Field'!M809="","Unknown",'[1]Cleaned Text Field'!M809)</f>
        <v>Standard Class</v>
      </c>
      <c r="N809">
        <f>IF('[1]Cleaned Text Field'!N809="",0,'[1]Cleaned Text Field'!N809)</f>
        <v>2</v>
      </c>
      <c r="O809">
        <v>2432.98</v>
      </c>
      <c r="P809" s="5">
        <f>IF('[1]Cleaned Text Field'!P809="",0,'[1]Cleaned Text Field'!P809)</f>
        <v>0.1</v>
      </c>
      <c r="Q809">
        <v>4379.3599999999997</v>
      </c>
      <c r="R809">
        <v>3723.93</v>
      </c>
      <c r="S809">
        <v>655.43</v>
      </c>
      <c r="T809" t="str">
        <f>PROPER(TRIM([1]raw_orders!T809))</f>
        <v>Paid</v>
      </c>
      <c r="U809" t="str">
        <f>PROPER(TRIM([1]raw_orders!U809))</f>
        <v>Completed</v>
      </c>
      <c r="V809" s="6">
        <f t="shared" si="96"/>
        <v>0.1496634211391619</v>
      </c>
      <c r="W809" t="str">
        <f t="shared" si="97"/>
        <v>February</v>
      </c>
      <c r="X809">
        <f t="shared" si="98"/>
        <v>2025</v>
      </c>
      <c r="Y809">
        <f t="shared" si="99"/>
        <v>1</v>
      </c>
      <c r="Z809" s="7">
        <f t="shared" si="100"/>
        <v>0.1</v>
      </c>
      <c r="AA809">
        <f t="shared" si="101"/>
        <v>4379.3640000000005</v>
      </c>
      <c r="AB809">
        <f t="shared" si="102"/>
        <v>655.42999999999984</v>
      </c>
      <c r="AC809" t="str">
        <f t="shared" si="103"/>
        <v>Clean</v>
      </c>
    </row>
    <row r="810" spans="1:29">
      <c r="A810" t="s">
        <v>2439</v>
      </c>
      <c r="B810" s="4">
        <v>45900</v>
      </c>
      <c r="C810" s="4">
        <v>45897</v>
      </c>
      <c r="D810" t="s">
        <v>2440</v>
      </c>
      <c r="E810" t="str">
        <f>PROPER(TRIM([1]raw_orders!E810))</f>
        <v>Aarav Sharma</v>
      </c>
      <c r="F810" t="str">
        <f>PROPER(TRIM([1]raw_orders!F810))</f>
        <v>Small Business</v>
      </c>
      <c r="G810" t="str">
        <f>IF('[1]Cleaned Text Field'!G810="","Unknown",'[1]Cleaned Text Field'!G810)</f>
        <v>South</v>
      </c>
      <c r="H810" t="str">
        <f>PROPER(TRIM([1]raw_orders!H810))</f>
        <v>Tamil Nadu</v>
      </c>
      <c r="I810" t="str">
        <f>PROPER(TRIM([1]raw_orders!I810))</f>
        <v>Chennai</v>
      </c>
      <c r="J810" t="str">
        <f>PROPER(TRIM([1]raw_orders!J810))</f>
        <v>Furniture</v>
      </c>
      <c r="K810" t="str">
        <f>PROPER(TRIM([1]raw_orders!K810))</f>
        <v>Furnishings</v>
      </c>
      <c r="L810" t="s">
        <v>2441</v>
      </c>
      <c r="M810" t="str">
        <f>IF('[1]Cleaned Text Field'!M810="","Unknown",'[1]Cleaned Text Field'!M810)</f>
        <v>First Class</v>
      </c>
      <c r="N810">
        <f>IF('[1]Cleaned Text Field'!N810="",0,'[1]Cleaned Text Field'!N810)</f>
        <v>7</v>
      </c>
      <c r="O810">
        <v>977.28</v>
      </c>
      <c r="P810" s="5">
        <f>IF('[1]Cleaned Text Field'!P810="",0,'[1]Cleaned Text Field'!P810)</f>
        <v>0.2</v>
      </c>
      <c r="Q810">
        <v>5472.77</v>
      </c>
      <c r="R810">
        <v>4477.33</v>
      </c>
      <c r="S810">
        <v>995.44</v>
      </c>
      <c r="T810" t="str">
        <f>PROPER(TRIM([1]raw_orders!T810))</f>
        <v>Paid</v>
      </c>
      <c r="U810" t="str">
        <f>PROPER(TRIM([1]raw_orders!U810))</f>
        <v>Completed</v>
      </c>
      <c r="V810" s="6">
        <f t="shared" si="96"/>
        <v>0.18188960983194982</v>
      </c>
      <c r="W810" t="str">
        <f t="shared" si="97"/>
        <v>August</v>
      </c>
      <c r="X810">
        <f t="shared" si="98"/>
        <v>2025</v>
      </c>
      <c r="Y810">
        <f t="shared" si="99"/>
        <v>-3</v>
      </c>
      <c r="Z810" s="7">
        <f t="shared" si="100"/>
        <v>0.2</v>
      </c>
      <c r="AA810">
        <f t="shared" si="101"/>
        <v>5472.768</v>
      </c>
      <c r="AB810">
        <f t="shared" si="102"/>
        <v>995.44000000000051</v>
      </c>
      <c r="AC810" t="str">
        <f t="shared" si="103"/>
        <v>Warning</v>
      </c>
    </row>
    <row r="811" spans="1:29">
      <c r="A811" t="s">
        <v>2442</v>
      </c>
      <c r="B811" s="4">
        <v>45833</v>
      </c>
      <c r="C811" s="4">
        <v>45833</v>
      </c>
      <c r="D811" t="s">
        <v>2443</v>
      </c>
      <c r="E811" t="str">
        <f>PROPER(TRIM([1]raw_orders!E811))</f>
        <v>Arjun Bose</v>
      </c>
      <c r="F811" t="str">
        <f>PROPER(TRIM([1]raw_orders!F811))</f>
        <v>Small Business</v>
      </c>
      <c r="G811" t="str">
        <f>IF('[1]Cleaned Text Field'!G811="","Unknown",'[1]Cleaned Text Field'!G811)</f>
        <v>Unknown</v>
      </c>
      <c r="H811" t="str">
        <f>PROPER(TRIM([1]raw_orders!H811))</f>
        <v>Punjab</v>
      </c>
      <c r="I811" t="str">
        <f>PROPER(TRIM([1]raw_orders!I811))</f>
        <v>Ludhiana</v>
      </c>
      <c r="J811" t="str">
        <f>PROPER(TRIM([1]raw_orders!J811))</f>
        <v>Office Supplies</v>
      </c>
      <c r="K811" t="str">
        <f>PROPER(TRIM([1]raw_orders!K811))</f>
        <v>Binders</v>
      </c>
      <c r="L811" t="s">
        <v>2444</v>
      </c>
      <c r="M811" t="str">
        <f>IF('[1]Cleaned Text Field'!M811="","Unknown",'[1]Cleaned Text Field'!M811)</f>
        <v>Second Class</v>
      </c>
      <c r="N811">
        <f>IF('[1]Cleaned Text Field'!N811="",0,'[1]Cleaned Text Field'!N811)</f>
        <v>6</v>
      </c>
      <c r="O811">
        <v>1366.13</v>
      </c>
      <c r="P811" s="5">
        <f>IF('[1]Cleaned Text Field'!P811="",0,'[1]Cleaned Text Field'!P811)</f>
        <v>0.1</v>
      </c>
      <c r="Q811">
        <v>7377.1</v>
      </c>
      <c r="R811">
        <v>5085.21</v>
      </c>
      <c r="S811">
        <v>2291.89</v>
      </c>
      <c r="T811" t="str">
        <f>PROPER(TRIM([1]raw_orders!T811))</f>
        <v>Paid</v>
      </c>
      <c r="U811" t="str">
        <f>PROPER(TRIM([1]raw_orders!U811))</f>
        <v>Completed</v>
      </c>
      <c r="V811" s="6">
        <f t="shared" si="96"/>
        <v>0.31067628200783504</v>
      </c>
      <c r="W811" t="str">
        <f t="shared" si="97"/>
        <v>June</v>
      </c>
      <c r="X811">
        <f t="shared" si="98"/>
        <v>2025</v>
      </c>
      <c r="Y811">
        <f t="shared" si="99"/>
        <v>0</v>
      </c>
      <c r="Z811" s="7">
        <f t="shared" si="100"/>
        <v>0.1</v>
      </c>
      <c r="AA811">
        <f t="shared" si="101"/>
        <v>7377.1020000000008</v>
      </c>
      <c r="AB811">
        <f t="shared" si="102"/>
        <v>2291.8900000000003</v>
      </c>
      <c r="AC811" t="str">
        <f t="shared" si="103"/>
        <v>Clean</v>
      </c>
    </row>
    <row r="812" spans="1:29">
      <c r="A812" t="s">
        <v>2445</v>
      </c>
      <c r="B812" s="4">
        <v>45385</v>
      </c>
      <c r="C812" s="4">
        <v>45508</v>
      </c>
      <c r="D812" t="s">
        <v>1609</v>
      </c>
      <c r="E812" t="str">
        <f>PROPER(TRIM([1]raw_orders!E812))</f>
        <v>Kabir Singh</v>
      </c>
      <c r="F812" t="str">
        <f>PROPER(TRIM([1]raw_orders!F812))</f>
        <v>Home Office</v>
      </c>
      <c r="G812" t="str">
        <f>IF('[1]Cleaned Text Field'!G812="","Unknown",'[1]Cleaned Text Field'!G812)</f>
        <v>West</v>
      </c>
      <c r="H812" t="str">
        <f>PROPER(TRIM([1]raw_orders!H812))</f>
        <v>Gujarat</v>
      </c>
      <c r="I812" t="str">
        <f>PROPER(TRIM([1]raw_orders!I812))</f>
        <v>Ahmedabad</v>
      </c>
      <c r="J812" t="str">
        <f>PROPER(TRIM([1]raw_orders!J812))</f>
        <v>Technology</v>
      </c>
      <c r="K812" t="str">
        <f>PROPER(TRIM([1]raw_orders!K812))</f>
        <v>Copiers</v>
      </c>
      <c r="L812" t="s">
        <v>2446</v>
      </c>
      <c r="M812" t="str">
        <f>IF('[1]Cleaned Text Field'!M812="","Unknown",'[1]Cleaned Text Field'!M812)</f>
        <v>First Class</v>
      </c>
      <c r="N812">
        <f>IF('[1]Cleaned Text Field'!N812="",0,'[1]Cleaned Text Field'!N812)</f>
        <v>1</v>
      </c>
      <c r="O812">
        <v>3151.85</v>
      </c>
      <c r="P812" s="5">
        <f>IF('[1]Cleaned Text Field'!P812="",0,'[1]Cleaned Text Field'!P812)</f>
        <v>0.25</v>
      </c>
      <c r="Q812">
        <v>2363.89</v>
      </c>
      <c r="R812">
        <v>1471.51</v>
      </c>
      <c r="S812">
        <v>892.38</v>
      </c>
      <c r="T812" t="str">
        <f>PROPER(TRIM([1]raw_orders!T812))</f>
        <v>Paid</v>
      </c>
      <c r="U812" t="str">
        <f>PROPER(TRIM([1]raw_orders!U812))</f>
        <v>Completed</v>
      </c>
      <c r="V812" s="6">
        <f t="shared" si="96"/>
        <v>0.37750487543836642</v>
      </c>
      <c r="W812" t="str">
        <f t="shared" si="97"/>
        <v>April</v>
      </c>
      <c r="X812">
        <f t="shared" si="98"/>
        <v>2024</v>
      </c>
      <c r="Y812">
        <f t="shared" si="99"/>
        <v>123</v>
      </c>
      <c r="Z812" s="7">
        <f t="shared" si="100"/>
        <v>0.25</v>
      </c>
      <c r="AA812">
        <f t="shared" si="101"/>
        <v>2363.8874999999998</v>
      </c>
      <c r="AB812">
        <f t="shared" si="102"/>
        <v>892.37999999999988</v>
      </c>
      <c r="AC812" t="str">
        <f t="shared" si="103"/>
        <v>Clean</v>
      </c>
    </row>
    <row r="813" spans="1:29">
      <c r="A813" t="s">
        <v>2447</v>
      </c>
      <c r="B813" s="4">
        <v>45638</v>
      </c>
      <c r="C813" s="4">
        <v>45645</v>
      </c>
      <c r="D813" t="s">
        <v>2448</v>
      </c>
      <c r="E813" t="str">
        <f>PROPER(TRIM([1]raw_orders!E813))</f>
        <v>Rohan Mehta</v>
      </c>
      <c r="F813" t="str">
        <f>PROPER(TRIM([1]raw_orders!F813))</f>
        <v>Home Office</v>
      </c>
      <c r="G813" t="str">
        <f>IF('[1]Cleaned Text Field'!G813="","Unknown",'[1]Cleaned Text Field'!G813)</f>
        <v>North</v>
      </c>
      <c r="H813" t="str">
        <f>PROPER(TRIM([1]raw_orders!H813))</f>
        <v>Haryana</v>
      </c>
      <c r="I813" t="str">
        <f>PROPER(TRIM([1]raw_orders!I813))</f>
        <v>Gurugram</v>
      </c>
      <c r="J813" t="str">
        <f>PROPER(TRIM([1]raw_orders!J813))</f>
        <v>Technology</v>
      </c>
      <c r="K813" t="str">
        <f>PROPER(TRIM([1]raw_orders!K813))</f>
        <v>Accessories</v>
      </c>
      <c r="L813" t="s">
        <v>2449</v>
      </c>
      <c r="M813" t="str">
        <f>IF('[1]Cleaned Text Field'!M813="","Unknown",'[1]Cleaned Text Field'!M813)</f>
        <v>First Class</v>
      </c>
      <c r="N813">
        <f>IF('[1]Cleaned Text Field'!N813="",0,'[1]Cleaned Text Field'!N813)</f>
        <v>2</v>
      </c>
      <c r="O813">
        <v>1610.75</v>
      </c>
      <c r="P813" s="5">
        <f>IF('[1]Cleaned Text Field'!P813="",0,'[1]Cleaned Text Field'!P813)</f>
        <v>0.2</v>
      </c>
      <c r="Q813">
        <v>2577.1999999999998</v>
      </c>
      <c r="R813">
        <v>1475.87</v>
      </c>
      <c r="S813">
        <v>1101.33</v>
      </c>
      <c r="T813" t="str">
        <f>PROPER(TRIM([1]raw_orders!T813))</f>
        <v>Paid</v>
      </c>
      <c r="U813" t="str">
        <f>PROPER(TRIM([1]raw_orders!U813))</f>
        <v>Completed</v>
      </c>
      <c r="V813" s="6">
        <f t="shared" si="96"/>
        <v>0.42733586838429305</v>
      </c>
      <c r="W813" t="str">
        <f t="shared" si="97"/>
        <v>December</v>
      </c>
      <c r="X813">
        <f t="shared" si="98"/>
        <v>2024</v>
      </c>
      <c r="Y813">
        <f t="shared" si="99"/>
        <v>7</v>
      </c>
      <c r="Z813" s="7">
        <f t="shared" si="100"/>
        <v>0.2</v>
      </c>
      <c r="AA813">
        <f t="shared" si="101"/>
        <v>2577.2000000000003</v>
      </c>
      <c r="AB813">
        <f t="shared" si="102"/>
        <v>1101.33</v>
      </c>
      <c r="AC813" t="str">
        <f t="shared" si="103"/>
        <v>Clean</v>
      </c>
    </row>
    <row r="814" spans="1:29">
      <c r="A814" t="s">
        <v>2450</v>
      </c>
      <c r="B814" s="4">
        <v>45458</v>
      </c>
      <c r="C814" s="4">
        <v>45463</v>
      </c>
      <c r="D814" t="s">
        <v>2451</v>
      </c>
      <c r="E814" t="str">
        <f>PROPER(TRIM([1]raw_orders!E814))</f>
        <v>Sneha Kapoor</v>
      </c>
      <c r="F814" t="str">
        <f>PROPER(TRIM([1]raw_orders!F814))</f>
        <v>Small Business</v>
      </c>
      <c r="G814" t="str">
        <f>IF('[1]Cleaned Text Field'!G814="","Unknown",'[1]Cleaned Text Field'!G814)</f>
        <v>East</v>
      </c>
      <c r="H814" t="str">
        <f>PROPER(TRIM([1]raw_orders!H814))</f>
        <v>Jharkhand</v>
      </c>
      <c r="I814" t="str">
        <f>PROPER(TRIM([1]raw_orders!I814))</f>
        <v>Ranchi</v>
      </c>
      <c r="J814" t="str">
        <f>PROPER(TRIM([1]raw_orders!J814))</f>
        <v>Furniture</v>
      </c>
      <c r="K814" t="str">
        <f>PROPER(TRIM([1]raw_orders!K814))</f>
        <v>Tables</v>
      </c>
      <c r="L814" t="s">
        <v>2452</v>
      </c>
      <c r="M814" t="str">
        <f>IF('[1]Cleaned Text Field'!M814="","Unknown",'[1]Cleaned Text Field'!M814)</f>
        <v>First Class</v>
      </c>
      <c r="N814">
        <f>IF('[1]Cleaned Text Field'!N814="",0,'[1]Cleaned Text Field'!N814)</f>
        <v>8</v>
      </c>
      <c r="O814">
        <v>2228.4699999999998</v>
      </c>
      <c r="P814" s="5">
        <f>IF('[1]Cleaned Text Field'!P814="",0,'[1]Cleaned Text Field'!P814)</f>
        <v>0</v>
      </c>
      <c r="Q814">
        <v>17827.759999999998</v>
      </c>
      <c r="R814">
        <v>14122.13</v>
      </c>
      <c r="S814">
        <v>3705.63</v>
      </c>
      <c r="T814" t="str">
        <f>PROPER(TRIM([1]raw_orders!T814))</f>
        <v>Paid</v>
      </c>
      <c r="U814" t="str">
        <f>PROPER(TRIM([1]raw_orders!U814))</f>
        <v>Completed</v>
      </c>
      <c r="V814" s="6">
        <f t="shared" si="96"/>
        <v>0.20785729671029901</v>
      </c>
      <c r="W814" t="str">
        <f t="shared" si="97"/>
        <v>June</v>
      </c>
      <c r="X814">
        <f t="shared" si="98"/>
        <v>2024</v>
      </c>
      <c r="Y814">
        <f t="shared" si="99"/>
        <v>5</v>
      </c>
      <c r="Z814" s="7">
        <f t="shared" si="100"/>
        <v>0</v>
      </c>
      <c r="AA814">
        <f t="shared" si="101"/>
        <v>17827.759999999998</v>
      </c>
      <c r="AB814">
        <f t="shared" si="102"/>
        <v>3705.6299999999992</v>
      </c>
      <c r="AC814" t="str">
        <f t="shared" si="103"/>
        <v>Clean</v>
      </c>
    </row>
    <row r="815" spans="1:29">
      <c r="A815" t="s">
        <v>2453</v>
      </c>
      <c r="B815" s="4">
        <v>45753</v>
      </c>
      <c r="C815" s="4">
        <v>45757</v>
      </c>
      <c r="D815" t="s">
        <v>2454</v>
      </c>
      <c r="E815" t="str">
        <f>PROPER(TRIM([1]raw_orders!E815))</f>
        <v>Rohan Mehta</v>
      </c>
      <c r="F815" t="str">
        <f>PROPER(TRIM([1]raw_orders!F815))</f>
        <v>Consumer</v>
      </c>
      <c r="G815" t="str">
        <f>IF('[1]Cleaned Text Field'!G815="","Unknown",'[1]Cleaned Text Field'!G815)</f>
        <v>East</v>
      </c>
      <c r="H815" t="str">
        <f>PROPER(TRIM([1]raw_orders!H815))</f>
        <v>Odisha</v>
      </c>
      <c r="I815" t="str">
        <f>PROPER(TRIM([1]raw_orders!I815))</f>
        <v>Bhubaneswar</v>
      </c>
      <c r="J815" t="str">
        <f>PROPER(TRIM([1]raw_orders!J815))</f>
        <v>Furniture</v>
      </c>
      <c r="K815" t="str">
        <f>PROPER(TRIM([1]raw_orders!K815))</f>
        <v>Bookcases</v>
      </c>
      <c r="L815" t="s">
        <v>1064</v>
      </c>
      <c r="M815" t="str">
        <f>IF('[1]Cleaned Text Field'!M815="","Unknown",'[1]Cleaned Text Field'!M815)</f>
        <v>Standard Class</v>
      </c>
      <c r="N815">
        <f>IF('[1]Cleaned Text Field'!N815="",0,'[1]Cleaned Text Field'!N815)</f>
        <v>2</v>
      </c>
      <c r="O815">
        <v>1337.67</v>
      </c>
      <c r="P815" s="5">
        <f>IF('[1]Cleaned Text Field'!P815="",0,'[1]Cleaned Text Field'!P815)</f>
        <v>0</v>
      </c>
      <c r="Q815">
        <v>2675.34</v>
      </c>
      <c r="R815">
        <v>1595.87</v>
      </c>
      <c r="S815">
        <v>1079.47</v>
      </c>
      <c r="T815" t="str">
        <f>PROPER(TRIM([1]raw_orders!T815))</f>
        <v>Paid</v>
      </c>
      <c r="U815" t="str">
        <f>PROPER(TRIM([1]raw_orders!U815))</f>
        <v>Completed</v>
      </c>
      <c r="V815" s="6">
        <f t="shared" si="96"/>
        <v>0.40348890234512247</v>
      </c>
      <c r="W815" t="str">
        <f t="shared" si="97"/>
        <v>April</v>
      </c>
      <c r="X815">
        <f t="shared" si="98"/>
        <v>2025</v>
      </c>
      <c r="Y815">
        <f t="shared" si="99"/>
        <v>4</v>
      </c>
      <c r="Z815" s="7">
        <f t="shared" si="100"/>
        <v>0</v>
      </c>
      <c r="AA815">
        <f t="shared" si="101"/>
        <v>2675.34</v>
      </c>
      <c r="AB815">
        <f t="shared" si="102"/>
        <v>1079.4700000000003</v>
      </c>
      <c r="AC815" t="str">
        <f t="shared" si="103"/>
        <v>Clean</v>
      </c>
    </row>
    <row r="816" spans="1:29">
      <c r="A816" t="s">
        <v>2455</v>
      </c>
      <c r="B816" s="4">
        <v>45875</v>
      </c>
      <c r="C816" s="4">
        <v>45880</v>
      </c>
      <c r="D816" t="s">
        <v>2456</v>
      </c>
      <c r="E816" t="str">
        <f>PROPER(TRIM([1]raw_orders!E816))</f>
        <v>Arjun Bose</v>
      </c>
      <c r="F816" t="str">
        <f>PROPER(TRIM([1]raw_orders!F816))</f>
        <v>Consumer</v>
      </c>
      <c r="G816" t="str">
        <f>IF('[1]Cleaned Text Field'!G816="","Unknown",'[1]Cleaned Text Field'!G816)</f>
        <v>West</v>
      </c>
      <c r="H816" t="str">
        <f>PROPER(TRIM([1]raw_orders!H816))</f>
        <v>Madhya Pradesh</v>
      </c>
      <c r="I816" t="str">
        <f>PROPER(TRIM([1]raw_orders!I816))</f>
        <v>Indore</v>
      </c>
      <c r="J816" t="str">
        <f>PROPER(TRIM([1]raw_orders!J816))</f>
        <v>Office Supplies</v>
      </c>
      <c r="K816" t="str">
        <f>PROPER(TRIM([1]raw_orders!K816))</f>
        <v>Labels</v>
      </c>
      <c r="L816" t="s">
        <v>2457</v>
      </c>
      <c r="M816" t="str">
        <f>IF('[1]Cleaned Text Field'!M816="","Unknown",'[1]Cleaned Text Field'!M816)</f>
        <v>First Class</v>
      </c>
      <c r="N816">
        <f>IF('[1]Cleaned Text Field'!N816="",0,'[1]Cleaned Text Field'!N816)</f>
        <v>2</v>
      </c>
      <c r="O816">
        <v>2375.94</v>
      </c>
      <c r="P816" s="5">
        <f>IF('[1]Cleaned Text Field'!P816="",0,'[1]Cleaned Text Field'!P816)</f>
        <v>0.25</v>
      </c>
      <c r="Q816">
        <v>3563.91</v>
      </c>
      <c r="R816">
        <v>2639.7</v>
      </c>
      <c r="S816">
        <v>924.21</v>
      </c>
      <c r="T816" t="str">
        <f>PROPER(TRIM([1]raw_orders!T816))</f>
        <v>Paid</v>
      </c>
      <c r="U816" t="str">
        <f>PROPER(TRIM([1]raw_orders!U816))</f>
        <v>Completed</v>
      </c>
      <c r="V816" s="6">
        <f t="shared" si="96"/>
        <v>0.25932473042248544</v>
      </c>
      <c r="W816" t="str">
        <f t="shared" si="97"/>
        <v>August</v>
      </c>
      <c r="X816">
        <f t="shared" si="98"/>
        <v>2025</v>
      </c>
      <c r="Y816">
        <f t="shared" si="99"/>
        <v>5</v>
      </c>
      <c r="Z816" s="7">
        <f t="shared" si="100"/>
        <v>0.25</v>
      </c>
      <c r="AA816">
        <f t="shared" si="101"/>
        <v>3563.91</v>
      </c>
      <c r="AB816">
        <f t="shared" si="102"/>
        <v>924.21</v>
      </c>
      <c r="AC816" t="str">
        <f t="shared" si="103"/>
        <v>Clean</v>
      </c>
    </row>
    <row r="817" spans="1:29">
      <c r="A817" t="s">
        <v>2458</v>
      </c>
      <c r="B817" s="4">
        <v>45383</v>
      </c>
      <c r="C817" s="4">
        <v>45390</v>
      </c>
      <c r="D817" t="s">
        <v>2459</v>
      </c>
      <c r="E817" t="str">
        <f>PROPER(TRIM([1]raw_orders!E817))</f>
        <v>Diya Patel</v>
      </c>
      <c r="F817" t="str">
        <f>PROPER(TRIM([1]raw_orders!F817))</f>
        <v>Consumer</v>
      </c>
      <c r="G817" t="str">
        <f>IF('[1]Cleaned Text Field'!G817="","Unknown",'[1]Cleaned Text Field'!G817)</f>
        <v>East</v>
      </c>
      <c r="H817" t="str">
        <f>PROPER(TRIM([1]raw_orders!H817))</f>
        <v>Odisha</v>
      </c>
      <c r="I817" t="str">
        <f>PROPER(TRIM([1]raw_orders!I817))</f>
        <v>Bhubaneswar</v>
      </c>
      <c r="J817" t="str">
        <f>PROPER(TRIM([1]raw_orders!J817))</f>
        <v>Technology</v>
      </c>
      <c r="K817" t="str">
        <f>PROPER(TRIM([1]raw_orders!K817))</f>
        <v>Machines</v>
      </c>
      <c r="L817" t="s">
        <v>2460</v>
      </c>
      <c r="M817" t="str">
        <f>IF('[1]Cleaned Text Field'!M817="","Unknown",'[1]Cleaned Text Field'!M817)</f>
        <v>Standard Class</v>
      </c>
      <c r="N817">
        <f>IF('[1]Cleaned Text Field'!N817="",0,'[1]Cleaned Text Field'!N817)</f>
        <v>7</v>
      </c>
      <c r="O817">
        <v>715.81</v>
      </c>
      <c r="P817" s="5">
        <f>IF('[1]Cleaned Text Field'!P817="",0,'[1]Cleaned Text Field'!P817)</f>
        <v>0.15</v>
      </c>
      <c r="Q817">
        <v>4259.07</v>
      </c>
      <c r="R817">
        <v>3130.32</v>
      </c>
      <c r="S817">
        <v>1128.75</v>
      </c>
      <c r="T817" t="str">
        <f>PROPER(TRIM([1]raw_orders!T817))</f>
        <v>Pending</v>
      </c>
      <c r="U817" t="str">
        <f>PROPER(TRIM([1]raw_orders!U817))</f>
        <v>Cancelled</v>
      </c>
      <c r="V817" s="6">
        <f t="shared" si="96"/>
        <v>0.26502264578886942</v>
      </c>
      <c r="W817" t="str">
        <f t="shared" si="97"/>
        <v>April</v>
      </c>
      <c r="X817">
        <f t="shared" si="98"/>
        <v>2024</v>
      </c>
      <c r="Y817">
        <f t="shared" si="99"/>
        <v>7</v>
      </c>
      <c r="Z817" s="7">
        <f t="shared" si="100"/>
        <v>0.15</v>
      </c>
      <c r="AA817">
        <f t="shared" si="101"/>
        <v>4259.0694999999996</v>
      </c>
      <c r="AB817">
        <f t="shared" si="102"/>
        <v>1128.7499999999995</v>
      </c>
      <c r="AC817" t="str">
        <f t="shared" si="103"/>
        <v>Clean</v>
      </c>
    </row>
    <row r="818" spans="1:29">
      <c r="A818" t="s">
        <v>2461</v>
      </c>
      <c r="B818" s="4">
        <v>45623</v>
      </c>
      <c r="C818" s="4">
        <v>45626</v>
      </c>
      <c r="D818" t="s">
        <v>2462</v>
      </c>
      <c r="E818" t="str">
        <f>PROPER(TRIM([1]raw_orders!E818))</f>
        <v>Rahul Verma</v>
      </c>
      <c r="F818" t="str">
        <f>PROPER(TRIM([1]raw_orders!F818))</f>
        <v>Small Business</v>
      </c>
      <c r="G818" t="str">
        <f>IF('[1]Cleaned Text Field'!G818="","Unknown",'[1]Cleaned Text Field'!G818)</f>
        <v>East</v>
      </c>
      <c r="H818" t="str">
        <f>PROPER(TRIM([1]raw_orders!H818))</f>
        <v>Jharkhand</v>
      </c>
      <c r="I818" t="str">
        <f>PROPER(TRIM([1]raw_orders!I818))</f>
        <v>Ranchi</v>
      </c>
      <c r="J818" t="str">
        <f>PROPER(TRIM([1]raw_orders!J818))</f>
        <v>Furniture</v>
      </c>
      <c r="K818" t="str">
        <f>PROPER(TRIM([1]raw_orders!K818))</f>
        <v>Furnishings</v>
      </c>
      <c r="L818" t="s">
        <v>2463</v>
      </c>
      <c r="M818" t="str">
        <f>IF('[1]Cleaned Text Field'!M818="","Unknown",'[1]Cleaned Text Field'!M818)</f>
        <v>First Class</v>
      </c>
      <c r="N818">
        <f>IF('[1]Cleaned Text Field'!N818="",0,'[1]Cleaned Text Field'!N818)</f>
        <v>1</v>
      </c>
      <c r="O818">
        <v>874.3</v>
      </c>
      <c r="P818" s="5">
        <f>IF('[1]Cleaned Text Field'!P818="",0,'[1]Cleaned Text Field'!P818)</f>
        <v>0.1</v>
      </c>
      <c r="Q818">
        <v>786.87</v>
      </c>
      <c r="R818">
        <v>498.5</v>
      </c>
      <c r="S818">
        <v>288.37</v>
      </c>
      <c r="T818" t="str">
        <f>PROPER(TRIM([1]raw_orders!T818))</f>
        <v>Paid</v>
      </c>
      <c r="U818" t="str">
        <f>PROPER(TRIM([1]raw_orders!U818))</f>
        <v>Completed</v>
      </c>
      <c r="V818" s="6">
        <f t="shared" si="96"/>
        <v>0.36647730883119195</v>
      </c>
      <c r="W818" t="str">
        <f t="shared" si="97"/>
        <v>November</v>
      </c>
      <c r="X818">
        <f t="shared" si="98"/>
        <v>2024</v>
      </c>
      <c r="Y818">
        <f t="shared" si="99"/>
        <v>3</v>
      </c>
      <c r="Z818" s="7">
        <f t="shared" si="100"/>
        <v>0.1</v>
      </c>
      <c r="AA818">
        <f t="shared" si="101"/>
        <v>786.87</v>
      </c>
      <c r="AB818">
        <f t="shared" si="102"/>
        <v>288.37</v>
      </c>
      <c r="AC818" t="str">
        <f t="shared" si="103"/>
        <v>Clean</v>
      </c>
    </row>
    <row r="819" spans="1:29">
      <c r="A819" t="s">
        <v>2464</v>
      </c>
      <c r="B819" s="4">
        <v>45752</v>
      </c>
      <c r="C819" s="4">
        <v>45752</v>
      </c>
      <c r="D819" t="s">
        <v>2465</v>
      </c>
      <c r="E819" t="str">
        <f>PROPER(TRIM([1]raw_orders!E819))</f>
        <v>Sneha Kapoor</v>
      </c>
      <c r="F819" t="str">
        <f>PROPER(TRIM([1]raw_orders!F819))</f>
        <v>Consumer</v>
      </c>
      <c r="G819" t="str">
        <f>IF('[1]Cleaned Text Field'!G819="","Unknown",'[1]Cleaned Text Field'!G819)</f>
        <v>East</v>
      </c>
      <c r="H819" t="str">
        <f>PROPER(TRIM([1]raw_orders!H819))</f>
        <v>Bihar</v>
      </c>
      <c r="I819" t="str">
        <f>PROPER(TRIM([1]raw_orders!I819))</f>
        <v>Patna</v>
      </c>
      <c r="J819" t="str">
        <f>PROPER(TRIM([1]raw_orders!J819))</f>
        <v>Office Supplies</v>
      </c>
      <c r="K819" t="str">
        <f>PROPER(TRIM([1]raw_orders!K819))</f>
        <v>Binders</v>
      </c>
      <c r="L819" t="s">
        <v>2466</v>
      </c>
      <c r="M819" t="str">
        <f>IF('[1]Cleaned Text Field'!M819="","Unknown",'[1]Cleaned Text Field'!M819)</f>
        <v>Standard Class</v>
      </c>
      <c r="N819">
        <f>IF('[1]Cleaned Text Field'!N819="",0,'[1]Cleaned Text Field'!N819)</f>
        <v>6</v>
      </c>
      <c r="O819">
        <v>1829.69</v>
      </c>
      <c r="P819" s="5">
        <f>IF('[1]Cleaned Text Field'!P819="",0,'[1]Cleaned Text Field'!P819)</f>
        <v>0.25</v>
      </c>
      <c r="Q819">
        <v>8233.6</v>
      </c>
      <c r="R819">
        <v>4713.79</v>
      </c>
      <c r="S819">
        <v>3519.81</v>
      </c>
      <c r="T819" t="str">
        <f>PROPER(TRIM([1]raw_orders!T819))</f>
        <v>Paid</v>
      </c>
      <c r="U819" t="str">
        <f>PROPER(TRIM([1]raw_orders!U819))</f>
        <v>Completed</v>
      </c>
      <c r="V819" s="6">
        <f t="shared" si="96"/>
        <v>0.42749344150796731</v>
      </c>
      <c r="W819" t="str">
        <f t="shared" si="97"/>
        <v>April</v>
      </c>
      <c r="X819">
        <f t="shared" si="98"/>
        <v>2025</v>
      </c>
      <c r="Y819">
        <f t="shared" si="99"/>
        <v>0</v>
      </c>
      <c r="Z819" s="7">
        <f t="shared" si="100"/>
        <v>0.25</v>
      </c>
      <c r="AA819">
        <f t="shared" si="101"/>
        <v>8233.6049999999996</v>
      </c>
      <c r="AB819">
        <f t="shared" si="102"/>
        <v>3519.8100000000004</v>
      </c>
      <c r="AC819" t="str">
        <f t="shared" si="103"/>
        <v>Clean</v>
      </c>
    </row>
    <row r="820" spans="1:29">
      <c r="A820" t="s">
        <v>2467</v>
      </c>
      <c r="B820" s="4">
        <v>45564</v>
      </c>
      <c r="C820" s="4">
        <v>45422</v>
      </c>
      <c r="D820" t="s">
        <v>2468</v>
      </c>
      <c r="E820" t="str">
        <f>PROPER(TRIM([1]raw_orders!E820))</f>
        <v>Priya Menon</v>
      </c>
      <c r="F820" t="str">
        <f>PROPER(TRIM([1]raw_orders!F820))</f>
        <v>Small Business</v>
      </c>
      <c r="G820" t="str">
        <f>IF('[1]Cleaned Text Field'!G820="","Unknown",'[1]Cleaned Text Field'!G820)</f>
        <v>West</v>
      </c>
      <c r="H820" t="str">
        <f>PROPER(TRIM([1]raw_orders!H820))</f>
        <v>Maharashtra</v>
      </c>
      <c r="I820" t="str">
        <f>PROPER(TRIM([1]raw_orders!I820))</f>
        <v>Mumbai</v>
      </c>
      <c r="J820" t="str">
        <f>PROPER(TRIM([1]raw_orders!J820))</f>
        <v>Office Supplies</v>
      </c>
      <c r="K820" t="str">
        <f>PROPER(TRIM([1]raw_orders!K820))</f>
        <v>Labels</v>
      </c>
      <c r="L820" t="s">
        <v>2469</v>
      </c>
      <c r="M820" t="str">
        <f>IF('[1]Cleaned Text Field'!M820="","Unknown",'[1]Cleaned Text Field'!M820)</f>
        <v>First Class</v>
      </c>
      <c r="N820">
        <f>IF('[1]Cleaned Text Field'!N820="",0,'[1]Cleaned Text Field'!N820)</f>
        <v>8</v>
      </c>
      <c r="O820">
        <v>1981.04</v>
      </c>
      <c r="P820" s="5">
        <f>IF('[1]Cleaned Text Field'!P820="",0,'[1]Cleaned Text Field'!P820)</f>
        <v>-0.14000000000000001</v>
      </c>
      <c r="Q820">
        <v>12678.66</v>
      </c>
      <c r="R820">
        <v>10088.65</v>
      </c>
      <c r="S820">
        <v>2590.0100000000002</v>
      </c>
      <c r="T820" t="str">
        <f>PROPER(TRIM([1]raw_orders!T820))</f>
        <v>Paid</v>
      </c>
      <c r="U820" t="str">
        <f>PROPER(TRIM([1]raw_orders!U820))</f>
        <v>Completed</v>
      </c>
      <c r="V820" s="6">
        <f t="shared" si="96"/>
        <v>0.20428105178307487</v>
      </c>
      <c r="W820" t="str">
        <f t="shared" si="97"/>
        <v>September</v>
      </c>
      <c r="X820">
        <f t="shared" si="98"/>
        <v>2024</v>
      </c>
      <c r="Y820">
        <f t="shared" si="99"/>
        <v>-142</v>
      </c>
      <c r="Z820" s="7">
        <f t="shared" si="100"/>
        <v>-0.14000000000000001</v>
      </c>
      <c r="AA820">
        <f t="shared" si="101"/>
        <v>18067.084800000001</v>
      </c>
      <c r="AB820">
        <f t="shared" si="102"/>
        <v>2590.0100000000002</v>
      </c>
      <c r="AC820" t="str">
        <f t="shared" si="103"/>
        <v>Warning</v>
      </c>
    </row>
    <row r="821" spans="1:29">
      <c r="A821" t="s">
        <v>2470</v>
      </c>
      <c r="B821" s="4">
        <v>45504</v>
      </c>
      <c r="C821" s="4">
        <v>45504</v>
      </c>
      <c r="D821" t="s">
        <v>2471</v>
      </c>
      <c r="E821" t="str">
        <f>PROPER(TRIM([1]raw_orders!E821))</f>
        <v>Karan Malhotra</v>
      </c>
      <c r="F821" t="str">
        <f>PROPER(TRIM([1]raw_orders!F821))</f>
        <v>Home Office</v>
      </c>
      <c r="G821" t="str">
        <f>IF('[1]Cleaned Text Field'!G821="","Unknown",'[1]Cleaned Text Field'!G821)</f>
        <v>South</v>
      </c>
      <c r="H821" t="str">
        <f>PROPER(TRIM([1]raw_orders!H821))</f>
        <v>Kerala</v>
      </c>
      <c r="I821" t="str">
        <f>PROPER(TRIM([1]raw_orders!I821))</f>
        <v>Kochi</v>
      </c>
      <c r="J821" t="str">
        <f>PROPER(TRIM([1]raw_orders!J821))</f>
        <v>Technology</v>
      </c>
      <c r="K821" t="str">
        <f>PROPER(TRIM([1]raw_orders!K821))</f>
        <v>Machines</v>
      </c>
      <c r="L821" t="s">
        <v>2472</v>
      </c>
      <c r="M821" t="str">
        <f>IF('[1]Cleaned Text Field'!M821="","Unknown",'[1]Cleaned Text Field'!M821)</f>
        <v>Standard Class</v>
      </c>
      <c r="N821">
        <f>IF('[1]Cleaned Text Field'!N821="",0,'[1]Cleaned Text Field'!N821)</f>
        <v>8</v>
      </c>
      <c r="O821">
        <v>4246.01</v>
      </c>
      <c r="P821" s="5">
        <f>IF('[1]Cleaned Text Field'!P821="",0,'[1]Cleaned Text Field'!P821)</f>
        <v>0</v>
      </c>
      <c r="Q821">
        <v>33968.080000000002</v>
      </c>
      <c r="R821">
        <v>26902.44</v>
      </c>
      <c r="S821">
        <v>7065.64</v>
      </c>
      <c r="T821" t="str">
        <f>PROPER(TRIM([1]raw_orders!T821))</f>
        <v>Failed</v>
      </c>
      <c r="U821" t="str">
        <f>PROPER(TRIM([1]raw_orders!U821))</f>
        <v>Cancelled</v>
      </c>
      <c r="V821" s="6">
        <f t="shared" si="96"/>
        <v>0.20800822419165288</v>
      </c>
      <c r="W821" t="str">
        <f t="shared" si="97"/>
        <v>July</v>
      </c>
      <c r="X821">
        <f t="shared" si="98"/>
        <v>2024</v>
      </c>
      <c r="Y821">
        <f t="shared" si="99"/>
        <v>0</v>
      </c>
      <c r="Z821" s="7">
        <f t="shared" si="100"/>
        <v>0</v>
      </c>
      <c r="AA821">
        <f t="shared" si="101"/>
        <v>33968.080000000002</v>
      </c>
      <c r="AB821">
        <f t="shared" si="102"/>
        <v>7065.6400000000031</v>
      </c>
      <c r="AC821" t="str">
        <f t="shared" si="103"/>
        <v>Clean</v>
      </c>
    </row>
    <row r="822" spans="1:29">
      <c r="A822" t="s">
        <v>2473</v>
      </c>
      <c r="B822" s="4">
        <v>45810</v>
      </c>
      <c r="C822" s="4">
        <v>45932</v>
      </c>
      <c r="D822" t="s">
        <v>2474</v>
      </c>
      <c r="E822" t="str">
        <f>PROPER(TRIM([1]raw_orders!E822))</f>
        <v>Ananya Rao</v>
      </c>
      <c r="F822" t="str">
        <f>PROPER(TRIM([1]raw_orders!F822))</f>
        <v>Home Office</v>
      </c>
      <c r="G822" t="str">
        <f>IF('[1]Cleaned Text Field'!G822="","Unknown",'[1]Cleaned Text Field'!G822)</f>
        <v>North</v>
      </c>
      <c r="H822" t="str">
        <f>PROPER(TRIM([1]raw_orders!H822))</f>
        <v>Uttar Pradesh</v>
      </c>
      <c r="I822" t="str">
        <f>PROPER(TRIM([1]raw_orders!I822))</f>
        <v>Noida</v>
      </c>
      <c r="J822" t="str">
        <f>PROPER(TRIM([1]raw_orders!J822))</f>
        <v>Furniture</v>
      </c>
      <c r="K822" t="str">
        <f>PROPER(TRIM([1]raw_orders!K822))</f>
        <v>Bookcases</v>
      </c>
      <c r="L822" t="s">
        <v>2475</v>
      </c>
      <c r="M822" t="str">
        <f>IF('[1]Cleaned Text Field'!M822="","Unknown",'[1]Cleaned Text Field'!M822)</f>
        <v>Standard Class</v>
      </c>
      <c r="N822">
        <f>IF('[1]Cleaned Text Field'!N822="",0,'[1]Cleaned Text Field'!N822)</f>
        <v>2</v>
      </c>
      <c r="O822">
        <v>319.57</v>
      </c>
      <c r="P822" s="5">
        <f>IF('[1]Cleaned Text Field'!P822="",0,'[1]Cleaned Text Field'!P822)</f>
        <v>0.2</v>
      </c>
      <c r="Q822">
        <v>511.31</v>
      </c>
      <c r="R822">
        <v>436.43</v>
      </c>
      <c r="S822">
        <v>74.88</v>
      </c>
      <c r="T822" t="str">
        <f>PROPER(TRIM([1]raw_orders!T822))</f>
        <v>Paid</v>
      </c>
      <c r="U822" t="str">
        <f>PROPER(TRIM([1]raw_orders!U822))</f>
        <v>Completed</v>
      </c>
      <c r="V822" s="6">
        <f t="shared" si="96"/>
        <v>0.14644736070094463</v>
      </c>
      <c r="W822" t="str">
        <f t="shared" si="97"/>
        <v>June</v>
      </c>
      <c r="X822">
        <f t="shared" si="98"/>
        <v>2025</v>
      </c>
      <c r="Y822">
        <f t="shared" si="99"/>
        <v>122</v>
      </c>
      <c r="Z822" s="7">
        <f t="shared" si="100"/>
        <v>0.2</v>
      </c>
      <c r="AA822">
        <f t="shared" si="101"/>
        <v>511.31200000000001</v>
      </c>
      <c r="AB822">
        <f t="shared" si="102"/>
        <v>74.88</v>
      </c>
      <c r="AC822" t="str">
        <f t="shared" si="103"/>
        <v>Clean</v>
      </c>
    </row>
    <row r="823" spans="1:29">
      <c r="A823" t="s">
        <v>2476</v>
      </c>
      <c r="B823" s="4">
        <v>45476</v>
      </c>
      <c r="C823" s="4">
        <v>45450</v>
      </c>
      <c r="D823" t="s">
        <v>2477</v>
      </c>
      <c r="E823" t="str">
        <f>PROPER(TRIM([1]raw_orders!E823))</f>
        <v>Aarav Sharma</v>
      </c>
      <c r="F823" t="str">
        <f>PROPER(TRIM([1]raw_orders!F823))</f>
        <v>Corporate</v>
      </c>
      <c r="G823" t="str">
        <f>IF('[1]Cleaned Text Field'!G823="","Unknown",'[1]Cleaned Text Field'!G823)</f>
        <v>South</v>
      </c>
      <c r="H823" t="str">
        <f>PROPER(TRIM([1]raw_orders!H823))</f>
        <v>Karnataka</v>
      </c>
      <c r="I823" t="str">
        <f>PROPER(TRIM([1]raw_orders!I823))</f>
        <v>Bengaluru</v>
      </c>
      <c r="J823" t="str">
        <f>PROPER(TRIM([1]raw_orders!J823))</f>
        <v>Technology</v>
      </c>
      <c r="K823" t="str">
        <f>PROPER(TRIM([1]raw_orders!K823))</f>
        <v>Accessories</v>
      </c>
      <c r="L823" t="s">
        <v>2478</v>
      </c>
      <c r="M823" t="str">
        <f>IF('[1]Cleaned Text Field'!M823="","Unknown",'[1]Cleaned Text Field'!M823)</f>
        <v>First Class</v>
      </c>
      <c r="N823">
        <f>IF('[1]Cleaned Text Field'!N823="",0,'[1]Cleaned Text Field'!N823)</f>
        <v>7</v>
      </c>
      <c r="O823">
        <v>1942.49</v>
      </c>
      <c r="P823" s="5">
        <f>IF('[1]Cleaned Text Field'!P823="",0,'[1]Cleaned Text Field'!P823)</f>
        <v>0.2</v>
      </c>
      <c r="Q823">
        <v>10877.94</v>
      </c>
      <c r="R823">
        <v>9110.14</v>
      </c>
      <c r="S823">
        <v>1767.8</v>
      </c>
      <c r="T823" t="str">
        <f>PROPER(TRIM([1]raw_orders!T823))</f>
        <v>Paid</v>
      </c>
      <c r="U823" t="str">
        <f>PROPER(TRIM([1]raw_orders!U823))</f>
        <v>Completed</v>
      </c>
      <c r="V823" s="6">
        <f t="shared" si="96"/>
        <v>0.16251238745571311</v>
      </c>
      <c r="W823" t="str">
        <f t="shared" si="97"/>
        <v>July</v>
      </c>
      <c r="X823">
        <f t="shared" si="98"/>
        <v>2024</v>
      </c>
      <c r="Y823">
        <f t="shared" si="99"/>
        <v>-26</v>
      </c>
      <c r="Z823" s="7">
        <f t="shared" si="100"/>
        <v>0.2</v>
      </c>
      <c r="AA823">
        <f t="shared" si="101"/>
        <v>10877.944000000001</v>
      </c>
      <c r="AB823">
        <f t="shared" si="102"/>
        <v>1767.8000000000011</v>
      </c>
      <c r="AC823" t="str">
        <f t="shared" si="103"/>
        <v>Warning</v>
      </c>
    </row>
    <row r="824" spans="1:29">
      <c r="A824" t="s">
        <v>2479</v>
      </c>
      <c r="B824" s="4">
        <v>45577</v>
      </c>
      <c r="C824" s="4">
        <v>45573</v>
      </c>
      <c r="D824" t="s">
        <v>2480</v>
      </c>
      <c r="E824" t="str">
        <f>PROPER(TRIM([1]raw_orders!E824))</f>
        <v>Mira Das</v>
      </c>
      <c r="F824" t="str">
        <f>PROPER(TRIM([1]raw_orders!F824))</f>
        <v>Corporate</v>
      </c>
      <c r="G824" t="str">
        <f>IF('[1]Cleaned Text Field'!G824="","Unknown",'[1]Cleaned Text Field'!G824)</f>
        <v>East</v>
      </c>
      <c r="H824" t="str">
        <f>PROPER(TRIM([1]raw_orders!H824))</f>
        <v>Assam</v>
      </c>
      <c r="I824" t="str">
        <f>PROPER(TRIM([1]raw_orders!I824))</f>
        <v>Guwahati</v>
      </c>
      <c r="J824" t="str">
        <f>PROPER(TRIM([1]raw_orders!J824))</f>
        <v>Furniture</v>
      </c>
      <c r="K824" t="str">
        <f>PROPER(TRIM([1]raw_orders!K824))</f>
        <v>Furnishings</v>
      </c>
      <c r="L824" t="s">
        <v>2481</v>
      </c>
      <c r="M824" t="str">
        <f>IF('[1]Cleaned Text Field'!M824="","Unknown",'[1]Cleaned Text Field'!M824)</f>
        <v>Second Class</v>
      </c>
      <c r="N824">
        <f>IF('[1]Cleaned Text Field'!N824="",0,'[1]Cleaned Text Field'!N824)</f>
        <v>4</v>
      </c>
      <c r="O824">
        <v>3202.04</v>
      </c>
      <c r="P824" s="5">
        <f>IF('[1]Cleaned Text Field'!P824="",0,'[1]Cleaned Text Field'!P824)</f>
        <v>0.2</v>
      </c>
      <c r="Q824">
        <v>10246.530000000001</v>
      </c>
      <c r="R824">
        <v>8634.42</v>
      </c>
      <c r="S824">
        <v>1612.11</v>
      </c>
      <c r="T824" t="str">
        <f>PROPER(TRIM([1]raw_orders!T824))</f>
        <v>Pending</v>
      </c>
      <c r="U824" t="str">
        <f>PROPER(TRIM([1]raw_orders!U824))</f>
        <v>Returned</v>
      </c>
      <c r="V824" s="6">
        <f t="shared" si="96"/>
        <v>0.15733228712549516</v>
      </c>
      <c r="W824" t="str">
        <f t="shared" si="97"/>
        <v>October</v>
      </c>
      <c r="X824">
        <f t="shared" si="98"/>
        <v>2024</v>
      </c>
      <c r="Y824">
        <f t="shared" si="99"/>
        <v>-4</v>
      </c>
      <c r="Z824" s="7">
        <f t="shared" si="100"/>
        <v>0.2</v>
      </c>
      <c r="AA824">
        <f t="shared" si="101"/>
        <v>10246.528</v>
      </c>
      <c r="AB824">
        <f t="shared" si="102"/>
        <v>1612.1100000000006</v>
      </c>
      <c r="AC824" t="str">
        <f t="shared" si="103"/>
        <v>Warning</v>
      </c>
    </row>
    <row r="825" spans="1:29">
      <c r="A825" t="s">
        <v>2482</v>
      </c>
      <c r="B825" s="4">
        <v>45663</v>
      </c>
      <c r="C825" s="4">
        <v>45669</v>
      </c>
      <c r="D825" t="s">
        <v>2483</v>
      </c>
      <c r="E825" t="str">
        <f>PROPER(TRIM([1]raw_orders!E825))</f>
        <v>Mira Das</v>
      </c>
      <c r="F825" t="str">
        <f>PROPER(TRIM([1]raw_orders!F825))</f>
        <v>Home Office</v>
      </c>
      <c r="G825" t="str">
        <f>IF('[1]Cleaned Text Field'!G825="","Unknown",'[1]Cleaned Text Field'!G825)</f>
        <v>West</v>
      </c>
      <c r="H825" t="str">
        <f>PROPER(TRIM([1]raw_orders!H825))</f>
        <v>Goa</v>
      </c>
      <c r="I825" t="str">
        <f>PROPER(TRIM([1]raw_orders!I825))</f>
        <v>Panaji</v>
      </c>
      <c r="J825" t="str">
        <f>PROPER(TRIM([1]raw_orders!J825))</f>
        <v>Office Supplies</v>
      </c>
      <c r="K825" t="str">
        <f>PROPER(TRIM([1]raw_orders!K825))</f>
        <v>Paper</v>
      </c>
      <c r="L825" t="s">
        <v>2484</v>
      </c>
      <c r="M825" t="str">
        <f>IF('[1]Cleaned Text Field'!M825="","Unknown",'[1]Cleaned Text Field'!M825)</f>
        <v>Same Day</v>
      </c>
      <c r="N825">
        <f>IF('[1]Cleaned Text Field'!N825="",0,'[1]Cleaned Text Field'!N825)</f>
        <v>3</v>
      </c>
      <c r="O825">
        <v>668.33</v>
      </c>
      <c r="P825" s="5">
        <f>IF('[1]Cleaned Text Field'!P825="",0,'[1]Cleaned Text Field'!P825)</f>
        <v>0.15</v>
      </c>
      <c r="Q825">
        <v>1704.24</v>
      </c>
      <c r="R825">
        <v>957.55</v>
      </c>
      <c r="S825">
        <v>746.69</v>
      </c>
      <c r="T825" t="str">
        <f>PROPER(TRIM([1]raw_orders!T825))</f>
        <v>Paid</v>
      </c>
      <c r="U825" t="str">
        <f>PROPER(TRIM([1]raw_orders!U825))</f>
        <v>Completed</v>
      </c>
      <c r="V825" s="6">
        <f t="shared" si="96"/>
        <v>0.43813664742055114</v>
      </c>
      <c r="W825" t="str">
        <f t="shared" si="97"/>
        <v>January</v>
      </c>
      <c r="X825">
        <f t="shared" si="98"/>
        <v>2025</v>
      </c>
      <c r="Y825">
        <f t="shared" si="99"/>
        <v>6</v>
      </c>
      <c r="Z825" s="7">
        <f t="shared" si="100"/>
        <v>0.15</v>
      </c>
      <c r="AA825">
        <f t="shared" si="101"/>
        <v>1704.2415000000001</v>
      </c>
      <c r="AB825">
        <f t="shared" si="102"/>
        <v>746.69</v>
      </c>
      <c r="AC825" t="str">
        <f t="shared" si="103"/>
        <v>Clean</v>
      </c>
    </row>
    <row r="826" spans="1:29">
      <c r="A826" t="s">
        <v>2485</v>
      </c>
      <c r="B826" s="4">
        <v>45737</v>
      </c>
      <c r="C826" s="4">
        <v>45738</v>
      </c>
      <c r="D826" t="s">
        <v>2486</v>
      </c>
      <c r="E826" t="str">
        <f>PROPER(TRIM([1]raw_orders!E826))</f>
        <v>Priya Menon</v>
      </c>
      <c r="F826" t="str">
        <f>PROPER(TRIM([1]raw_orders!F826))</f>
        <v>Consumer</v>
      </c>
      <c r="G826" t="str">
        <f>IF('[1]Cleaned Text Field'!G826="","Unknown",'[1]Cleaned Text Field'!G826)</f>
        <v>West</v>
      </c>
      <c r="H826" t="str">
        <f>PROPER(TRIM([1]raw_orders!H826))</f>
        <v>Goa</v>
      </c>
      <c r="I826" t="str">
        <f>PROPER(TRIM([1]raw_orders!I826))</f>
        <v>Panaji</v>
      </c>
      <c r="J826" t="str">
        <f>PROPER(TRIM([1]raw_orders!J826))</f>
        <v>Office Supplies</v>
      </c>
      <c r="K826" t="str">
        <f>PROPER(TRIM([1]raw_orders!K826))</f>
        <v>Paper</v>
      </c>
      <c r="L826" t="s">
        <v>2487</v>
      </c>
      <c r="M826" t="str">
        <f>IF('[1]Cleaned Text Field'!M826="","Unknown",'[1]Cleaned Text Field'!M826)</f>
        <v>First Class</v>
      </c>
      <c r="N826">
        <f>IF('[1]Cleaned Text Field'!N826="",0,'[1]Cleaned Text Field'!N826)</f>
        <v>8</v>
      </c>
      <c r="O826">
        <v>4436.74</v>
      </c>
      <c r="P826" s="5">
        <f>IF('[1]Cleaned Text Field'!P826="",0,'[1]Cleaned Text Field'!P826)</f>
        <v>0.05</v>
      </c>
      <c r="Q826">
        <v>33719.22</v>
      </c>
      <c r="R826">
        <v>28924.43</v>
      </c>
      <c r="S826">
        <v>4794.79</v>
      </c>
      <c r="T826" t="str">
        <f>PROPER(TRIM([1]raw_orders!T826))</f>
        <v>Paid</v>
      </c>
      <c r="U826" t="str">
        <f>PROPER(TRIM([1]raw_orders!U826))</f>
        <v>Completed</v>
      </c>
      <c r="V826" s="6">
        <f t="shared" si="96"/>
        <v>0.14219753600468812</v>
      </c>
      <c r="W826" t="str">
        <f t="shared" si="97"/>
        <v>March</v>
      </c>
      <c r="X826">
        <f t="shared" si="98"/>
        <v>2025</v>
      </c>
      <c r="Y826">
        <f t="shared" si="99"/>
        <v>1</v>
      </c>
      <c r="Z826" s="7">
        <f t="shared" si="100"/>
        <v>0.05</v>
      </c>
      <c r="AA826">
        <f t="shared" si="101"/>
        <v>33719.223999999995</v>
      </c>
      <c r="AB826">
        <f t="shared" si="102"/>
        <v>4794.7900000000009</v>
      </c>
      <c r="AC826" t="str">
        <f t="shared" si="103"/>
        <v>Clean</v>
      </c>
    </row>
    <row r="827" spans="1:29">
      <c r="A827" t="s">
        <v>2488</v>
      </c>
      <c r="B827" s="4">
        <v>45763</v>
      </c>
      <c r="C827" s="4">
        <v>45764</v>
      </c>
      <c r="D827" t="s">
        <v>2489</v>
      </c>
      <c r="E827" t="str">
        <f>PROPER(TRIM([1]raw_orders!E827))</f>
        <v>Vikram Iyer</v>
      </c>
      <c r="F827" t="str">
        <f>PROPER(TRIM([1]raw_orders!F827))</f>
        <v>Small Business</v>
      </c>
      <c r="G827" t="str">
        <f>IF('[1]Cleaned Text Field'!G827="","Unknown",'[1]Cleaned Text Field'!G827)</f>
        <v>North</v>
      </c>
      <c r="H827" t="str">
        <f>PROPER(TRIM([1]raw_orders!H827))</f>
        <v>Uttar Pradesh</v>
      </c>
      <c r="I827" t="str">
        <f>PROPER(TRIM([1]raw_orders!I827))</f>
        <v>Noida</v>
      </c>
      <c r="J827" t="str">
        <f>PROPER(TRIM([1]raw_orders!J827))</f>
        <v>Technology</v>
      </c>
      <c r="K827" t="str">
        <f>PROPER(TRIM([1]raw_orders!K827))</f>
        <v>Machines</v>
      </c>
      <c r="L827" t="s">
        <v>2490</v>
      </c>
      <c r="M827" t="str">
        <f>IF('[1]Cleaned Text Field'!M827="","Unknown",'[1]Cleaned Text Field'!M827)</f>
        <v>First Class</v>
      </c>
      <c r="N827">
        <f>IF('[1]Cleaned Text Field'!N827="",0,'[1]Cleaned Text Field'!N827)</f>
        <v>1</v>
      </c>
      <c r="O827">
        <v>2720.17</v>
      </c>
      <c r="P827" s="5">
        <f>IF('[1]Cleaned Text Field'!P827="",0,'[1]Cleaned Text Field'!P827)</f>
        <v>0</v>
      </c>
      <c r="Q827">
        <v>2720.17</v>
      </c>
      <c r="R827">
        <v>1834.23</v>
      </c>
      <c r="S827">
        <v>885.94</v>
      </c>
      <c r="T827" t="str">
        <f>PROPER(TRIM([1]raw_orders!T827))</f>
        <v>Paid</v>
      </c>
      <c r="U827" t="str">
        <f>PROPER(TRIM([1]raw_orders!U827))</f>
        <v>Completed</v>
      </c>
      <c r="V827" s="6">
        <f t="shared" si="96"/>
        <v>0.3256928794891496</v>
      </c>
      <c r="W827" t="str">
        <f t="shared" si="97"/>
        <v>April</v>
      </c>
      <c r="X827">
        <f t="shared" si="98"/>
        <v>2025</v>
      </c>
      <c r="Y827">
        <f t="shared" si="99"/>
        <v>1</v>
      </c>
      <c r="Z827" s="7">
        <f t="shared" si="100"/>
        <v>0</v>
      </c>
      <c r="AA827">
        <f t="shared" si="101"/>
        <v>2720.17</v>
      </c>
      <c r="AB827">
        <f t="shared" si="102"/>
        <v>885.94</v>
      </c>
      <c r="AC827" t="str">
        <f t="shared" si="103"/>
        <v>Clean</v>
      </c>
    </row>
    <row r="828" spans="1:29">
      <c r="A828" t="s">
        <v>2491</v>
      </c>
      <c r="B828" s="4">
        <v>45879</v>
      </c>
      <c r="C828" s="4">
        <v>45883</v>
      </c>
      <c r="D828" t="s">
        <v>2492</v>
      </c>
      <c r="E828" t="str">
        <f>PROPER(TRIM([1]raw_orders!E828))</f>
        <v>Aditi Sen</v>
      </c>
      <c r="F828" t="str">
        <f>PROPER(TRIM([1]raw_orders!F828))</f>
        <v>Consumer</v>
      </c>
      <c r="G828" t="str">
        <f>IF('[1]Cleaned Text Field'!G828="","Unknown",'[1]Cleaned Text Field'!G828)</f>
        <v>West</v>
      </c>
      <c r="H828" t="str">
        <f>PROPER(TRIM([1]raw_orders!H828))</f>
        <v>Rajasthan</v>
      </c>
      <c r="I828" t="str">
        <f>PROPER(TRIM([1]raw_orders!I828))</f>
        <v>Udaipur</v>
      </c>
      <c r="J828" t="str">
        <f>PROPER(TRIM([1]raw_orders!J828))</f>
        <v>Technology</v>
      </c>
      <c r="K828" t="str">
        <f>PROPER(TRIM([1]raw_orders!K828))</f>
        <v>Accessories</v>
      </c>
      <c r="L828" t="s">
        <v>2493</v>
      </c>
      <c r="M828" t="str">
        <f>IF('[1]Cleaned Text Field'!M828="","Unknown",'[1]Cleaned Text Field'!M828)</f>
        <v>Standard Class</v>
      </c>
      <c r="N828">
        <f>IF('[1]Cleaned Text Field'!N828="",0,'[1]Cleaned Text Field'!N828)</f>
        <v>5</v>
      </c>
      <c r="O828">
        <v>2190.14</v>
      </c>
      <c r="P828" s="5">
        <f>IF('[1]Cleaned Text Field'!P828="",0,'[1]Cleaned Text Field'!P828)</f>
        <v>0.25</v>
      </c>
      <c r="Q828">
        <v>8213.02</v>
      </c>
      <c r="R828">
        <v>5569.3</v>
      </c>
      <c r="S828">
        <v>2643.72</v>
      </c>
      <c r="T828" t="str">
        <f>PROPER(TRIM([1]raw_orders!T828))</f>
        <v>Paid</v>
      </c>
      <c r="U828" t="str">
        <f>PROPER(TRIM([1]raw_orders!U828))</f>
        <v>Completed</v>
      </c>
      <c r="V828" s="6">
        <f t="shared" si="96"/>
        <v>0.32189377354493226</v>
      </c>
      <c r="W828" t="str">
        <f t="shared" si="97"/>
        <v>August</v>
      </c>
      <c r="X828">
        <f t="shared" si="98"/>
        <v>2025</v>
      </c>
      <c r="Y828">
        <f t="shared" si="99"/>
        <v>4</v>
      </c>
      <c r="Z828" s="7">
        <f t="shared" si="100"/>
        <v>0.25</v>
      </c>
      <c r="AA828">
        <f t="shared" si="101"/>
        <v>8213.0249999999996</v>
      </c>
      <c r="AB828">
        <f t="shared" si="102"/>
        <v>2643.7200000000003</v>
      </c>
      <c r="AC828" t="str">
        <f t="shared" si="103"/>
        <v>Clean</v>
      </c>
    </row>
    <row r="829" spans="1:29">
      <c r="A829" t="s">
        <v>2494</v>
      </c>
      <c r="B829" s="4">
        <v>45620</v>
      </c>
      <c r="C829" s="4">
        <v>45303</v>
      </c>
      <c r="D829" t="s">
        <v>2495</v>
      </c>
      <c r="E829" t="str">
        <f>PROPER(TRIM([1]raw_orders!E829))</f>
        <v>Priya Menon</v>
      </c>
      <c r="F829" t="str">
        <f>PROPER(TRIM([1]raw_orders!F829))</f>
        <v>Home Office</v>
      </c>
      <c r="G829" t="str">
        <f>IF('[1]Cleaned Text Field'!G829="","Unknown",'[1]Cleaned Text Field'!G829)</f>
        <v>South</v>
      </c>
      <c r="H829" t="str">
        <f>PROPER(TRIM([1]raw_orders!H829))</f>
        <v>Tamil Nadu</v>
      </c>
      <c r="I829" t="str">
        <f>PROPER(TRIM([1]raw_orders!I829))</f>
        <v>Chennai</v>
      </c>
      <c r="J829" t="str">
        <f>PROPER(TRIM([1]raw_orders!J829))</f>
        <v>Office Supplies</v>
      </c>
      <c r="K829" t="str">
        <f>PROPER(TRIM([1]raw_orders!K829))</f>
        <v>Paper</v>
      </c>
      <c r="L829" t="s">
        <v>2496</v>
      </c>
      <c r="M829" t="str">
        <f>IF('[1]Cleaned Text Field'!M829="","Unknown",'[1]Cleaned Text Field'!M829)</f>
        <v>Same Day</v>
      </c>
      <c r="N829">
        <f>IF('[1]Cleaned Text Field'!N829="",0,'[1]Cleaned Text Field'!N829)</f>
        <v>1</v>
      </c>
      <c r="O829">
        <v>844.89</v>
      </c>
      <c r="P829" s="5">
        <f>IF('[1]Cleaned Text Field'!P829="",0,'[1]Cleaned Text Field'!P829)</f>
        <v>0.25</v>
      </c>
      <c r="Q829">
        <v>633.66999999999996</v>
      </c>
      <c r="R829">
        <v>520.47</v>
      </c>
      <c r="S829">
        <v>113.2</v>
      </c>
      <c r="T829" t="str">
        <f>PROPER(TRIM([1]raw_orders!T829))</f>
        <v>Paid</v>
      </c>
      <c r="U829" t="str">
        <f>PROPER(TRIM([1]raw_orders!U829))</f>
        <v>Cancelled</v>
      </c>
      <c r="V829" s="6">
        <f t="shared" si="96"/>
        <v>0.1786418798428204</v>
      </c>
      <c r="W829" t="str">
        <f t="shared" si="97"/>
        <v>November</v>
      </c>
      <c r="X829">
        <f t="shared" si="98"/>
        <v>2024</v>
      </c>
      <c r="Y829">
        <f t="shared" si="99"/>
        <v>-317</v>
      </c>
      <c r="Z829" s="7">
        <f t="shared" si="100"/>
        <v>0.25</v>
      </c>
      <c r="AA829">
        <f t="shared" si="101"/>
        <v>633.66750000000002</v>
      </c>
      <c r="AB829">
        <f t="shared" si="102"/>
        <v>113.19999999999993</v>
      </c>
      <c r="AC829" t="str">
        <f t="shared" si="103"/>
        <v>Warning</v>
      </c>
    </row>
    <row r="830" spans="1:29">
      <c r="A830" t="s">
        <v>2497</v>
      </c>
      <c r="B830" s="4">
        <v>45940</v>
      </c>
      <c r="C830" s="4">
        <v>45971</v>
      </c>
      <c r="D830" t="s">
        <v>2498</v>
      </c>
      <c r="E830" t="str">
        <f>PROPER(TRIM([1]raw_orders!E830))</f>
        <v>Karan Malhotra</v>
      </c>
      <c r="F830" t="str">
        <f>PROPER(TRIM([1]raw_orders!F830))</f>
        <v>Corporate</v>
      </c>
      <c r="G830" t="str">
        <f>IF('[1]Cleaned Text Field'!G830="","Unknown",'[1]Cleaned Text Field'!G830)</f>
        <v>East</v>
      </c>
      <c r="H830" t="str">
        <f>PROPER(TRIM([1]raw_orders!H830))</f>
        <v>Odisha</v>
      </c>
      <c r="I830" t="str">
        <f>PROPER(TRIM([1]raw_orders!I830))</f>
        <v>Bhubaneswar</v>
      </c>
      <c r="J830" t="str">
        <f>PROPER(TRIM([1]raw_orders!J830))</f>
        <v>Furniture</v>
      </c>
      <c r="K830" t="str">
        <f>PROPER(TRIM([1]raw_orders!K830))</f>
        <v>Chairs</v>
      </c>
      <c r="L830" t="s">
        <v>2499</v>
      </c>
      <c r="M830" t="str">
        <f>IF('[1]Cleaned Text Field'!M830="","Unknown",'[1]Cleaned Text Field'!M830)</f>
        <v>Second Class</v>
      </c>
      <c r="N830">
        <f>IF('[1]Cleaned Text Field'!N830="",0,'[1]Cleaned Text Field'!N830)</f>
        <v>7</v>
      </c>
      <c r="O830">
        <v>3791.96</v>
      </c>
      <c r="P830" s="5">
        <f>IF('[1]Cleaned Text Field'!P830="",0,'[1]Cleaned Text Field'!P830)</f>
        <v>0.05</v>
      </c>
      <c r="Q830">
        <v>25216.53</v>
      </c>
      <c r="R830">
        <v>14216.94</v>
      </c>
      <c r="S830">
        <v>10999.59</v>
      </c>
      <c r="T830" t="str">
        <f>PROPER(TRIM([1]raw_orders!T830))</f>
        <v>Failed</v>
      </c>
      <c r="U830" t="str">
        <f>PROPER(TRIM([1]raw_orders!U830))</f>
        <v>Cancelled</v>
      </c>
      <c r="V830" s="6">
        <f t="shared" si="96"/>
        <v>0.43620553660634515</v>
      </c>
      <c r="W830" t="str">
        <f t="shared" si="97"/>
        <v>October</v>
      </c>
      <c r="X830">
        <f t="shared" si="98"/>
        <v>2025</v>
      </c>
      <c r="Y830">
        <f t="shared" si="99"/>
        <v>31</v>
      </c>
      <c r="Z830" s="7">
        <f t="shared" si="100"/>
        <v>0.05</v>
      </c>
      <c r="AA830">
        <f t="shared" si="101"/>
        <v>25216.534</v>
      </c>
      <c r="AB830">
        <f t="shared" si="102"/>
        <v>10999.589999999998</v>
      </c>
      <c r="AC830" t="str">
        <f t="shared" si="103"/>
        <v>Clean</v>
      </c>
    </row>
    <row r="831" spans="1:29">
      <c r="A831" t="s">
        <v>2500</v>
      </c>
      <c r="B831" s="4">
        <v>45348</v>
      </c>
      <c r="C831" s="4">
        <v>45350</v>
      </c>
      <c r="D831" t="s">
        <v>2501</v>
      </c>
      <c r="E831" t="str">
        <f>PROPER(TRIM([1]raw_orders!E831))</f>
        <v>Aditi Sen</v>
      </c>
      <c r="F831" t="str">
        <f>PROPER(TRIM([1]raw_orders!F831))</f>
        <v>Small Business</v>
      </c>
      <c r="G831" t="str">
        <f>IF('[1]Cleaned Text Field'!G831="","Unknown",'[1]Cleaned Text Field'!G831)</f>
        <v>West</v>
      </c>
      <c r="H831" t="str">
        <f>PROPER(TRIM([1]raw_orders!H831))</f>
        <v>Goa</v>
      </c>
      <c r="I831" t="str">
        <f>PROPER(TRIM([1]raw_orders!I831))</f>
        <v>Panaji</v>
      </c>
      <c r="J831" t="str">
        <f>PROPER(TRIM([1]raw_orders!J831))</f>
        <v>Furniture</v>
      </c>
      <c r="K831" t="str">
        <f>PROPER(TRIM([1]raw_orders!K831))</f>
        <v>Furnishings</v>
      </c>
      <c r="L831" t="s">
        <v>2502</v>
      </c>
      <c r="M831" t="str">
        <f>IF('[1]Cleaned Text Field'!M831="","Unknown",'[1]Cleaned Text Field'!M831)</f>
        <v>Second Class</v>
      </c>
      <c r="N831">
        <f>IF('[1]Cleaned Text Field'!N831="",0,'[1]Cleaned Text Field'!N831)</f>
        <v>7</v>
      </c>
      <c r="O831">
        <v>1035.1400000000001</v>
      </c>
      <c r="P831" s="5">
        <f>IF('[1]Cleaned Text Field'!P831="",0,'[1]Cleaned Text Field'!P831)</f>
        <v>0.1</v>
      </c>
      <c r="Q831">
        <v>6521.38</v>
      </c>
      <c r="R831">
        <v>4511.1000000000004</v>
      </c>
      <c r="S831">
        <v>2010.28</v>
      </c>
      <c r="T831" t="str">
        <f>PROPER(TRIM([1]raw_orders!T831))</f>
        <v>Paid</v>
      </c>
      <c r="U831" t="str">
        <f>PROPER(TRIM([1]raw_orders!U831))</f>
        <v>Completed</v>
      </c>
      <c r="V831" s="6">
        <f t="shared" si="96"/>
        <v>0.30825990817894372</v>
      </c>
      <c r="W831" t="str">
        <f t="shared" si="97"/>
        <v>February</v>
      </c>
      <c r="X831">
        <f t="shared" si="98"/>
        <v>2024</v>
      </c>
      <c r="Y831">
        <f t="shared" si="99"/>
        <v>2</v>
      </c>
      <c r="Z831" s="7">
        <f t="shared" si="100"/>
        <v>0.1</v>
      </c>
      <c r="AA831">
        <f t="shared" si="101"/>
        <v>6521.3820000000005</v>
      </c>
      <c r="AB831">
        <f t="shared" si="102"/>
        <v>2010.2799999999997</v>
      </c>
      <c r="AC831" t="str">
        <f t="shared" si="103"/>
        <v>Clean</v>
      </c>
    </row>
    <row r="832" spans="1:29">
      <c r="A832" t="s">
        <v>2503</v>
      </c>
      <c r="B832" s="4">
        <v>45853</v>
      </c>
      <c r="C832" s="4">
        <v>45856</v>
      </c>
      <c r="D832" t="s">
        <v>2504</v>
      </c>
      <c r="E832" t="str">
        <f>PROPER(TRIM([1]raw_orders!E832))</f>
        <v>Aditi Sen</v>
      </c>
      <c r="F832" t="str">
        <f>PROPER(TRIM([1]raw_orders!F832))</f>
        <v>Small Business</v>
      </c>
      <c r="G832" t="str">
        <f>IF('[1]Cleaned Text Field'!G832="","Unknown",'[1]Cleaned Text Field'!G832)</f>
        <v>Unknown</v>
      </c>
      <c r="H832" t="str">
        <f>PROPER(TRIM([1]raw_orders!H832))</f>
        <v>Tamil Nadu</v>
      </c>
      <c r="I832" t="str">
        <f>PROPER(TRIM([1]raw_orders!I832))</f>
        <v>Chennai</v>
      </c>
      <c r="J832" t="str">
        <f>PROPER(TRIM([1]raw_orders!J832))</f>
        <v>Technology</v>
      </c>
      <c r="K832" t="str">
        <f>PROPER(TRIM([1]raw_orders!K832))</f>
        <v>Machines</v>
      </c>
      <c r="L832" t="s">
        <v>2505</v>
      </c>
      <c r="M832" t="str">
        <f>IF('[1]Cleaned Text Field'!M832="","Unknown",'[1]Cleaned Text Field'!M832)</f>
        <v>First Class</v>
      </c>
      <c r="N832">
        <f>IF('[1]Cleaned Text Field'!N832="",0,'[1]Cleaned Text Field'!N832)</f>
        <v>6</v>
      </c>
      <c r="O832">
        <v>2382.88</v>
      </c>
      <c r="P832" s="5">
        <f>IF('[1]Cleaned Text Field'!P832="",0,'[1]Cleaned Text Field'!P832)</f>
        <v>0.1</v>
      </c>
      <c r="Q832">
        <v>12867.55</v>
      </c>
      <c r="R832">
        <v>10068.94</v>
      </c>
      <c r="S832">
        <v>2798.61</v>
      </c>
      <c r="T832" t="str">
        <f>PROPER(TRIM([1]raw_orders!T832))</f>
        <v>Paid</v>
      </c>
      <c r="U832" t="str">
        <f>PROPER(TRIM([1]raw_orders!U832))</f>
        <v>Completed</v>
      </c>
      <c r="V832" s="6">
        <f t="shared" si="96"/>
        <v>0.2174936176661447</v>
      </c>
      <c r="W832" t="str">
        <f t="shared" si="97"/>
        <v>July</v>
      </c>
      <c r="X832">
        <f t="shared" si="98"/>
        <v>2025</v>
      </c>
      <c r="Y832">
        <f t="shared" si="99"/>
        <v>3</v>
      </c>
      <c r="Z832" s="7">
        <f t="shared" si="100"/>
        <v>0.1</v>
      </c>
      <c r="AA832">
        <f t="shared" si="101"/>
        <v>12867.552000000001</v>
      </c>
      <c r="AB832">
        <f t="shared" si="102"/>
        <v>2798.6099999999988</v>
      </c>
      <c r="AC832" t="str">
        <f t="shared" si="103"/>
        <v>Clean</v>
      </c>
    </row>
    <row r="833" spans="1:29">
      <c r="A833" t="s">
        <v>2506</v>
      </c>
      <c r="B833" s="4">
        <v>45750</v>
      </c>
      <c r="C833" s="4">
        <v>45720</v>
      </c>
      <c r="D833" t="s">
        <v>2507</v>
      </c>
      <c r="E833" t="str">
        <f>PROPER(TRIM([1]raw_orders!E833))</f>
        <v>Diya Patel</v>
      </c>
      <c r="F833" t="str">
        <f>PROPER(TRIM([1]raw_orders!F833))</f>
        <v>Home Office</v>
      </c>
      <c r="G833" t="str">
        <f>IF('[1]Cleaned Text Field'!G833="","Unknown",'[1]Cleaned Text Field'!G833)</f>
        <v>Unknown</v>
      </c>
      <c r="H833" t="str">
        <f>PROPER(TRIM([1]raw_orders!H833))</f>
        <v>Haryana</v>
      </c>
      <c r="I833" t="str">
        <f>PROPER(TRIM([1]raw_orders!I833))</f>
        <v>Gurugram</v>
      </c>
      <c r="J833" t="str">
        <f>PROPER(TRIM([1]raw_orders!J833))</f>
        <v>Furniture</v>
      </c>
      <c r="K833" t="str">
        <f>PROPER(TRIM([1]raw_orders!K833))</f>
        <v>Chairs</v>
      </c>
      <c r="L833" t="s">
        <v>2508</v>
      </c>
      <c r="M833" t="str">
        <f>IF('[1]Cleaned Text Field'!M833="","Unknown",'[1]Cleaned Text Field'!M833)</f>
        <v>First Class</v>
      </c>
      <c r="N833">
        <f>IF('[1]Cleaned Text Field'!N833="",0,'[1]Cleaned Text Field'!N833)</f>
        <v>9</v>
      </c>
      <c r="O833">
        <v>3462.7</v>
      </c>
      <c r="P833" s="5">
        <f>IF('[1]Cleaned Text Field'!P833="",0,'[1]Cleaned Text Field'!P833)</f>
        <v>0.15</v>
      </c>
      <c r="Q833">
        <v>26489.65</v>
      </c>
      <c r="R833">
        <v>15818.46</v>
      </c>
      <c r="S833">
        <v>10671.19</v>
      </c>
      <c r="T833" t="str">
        <f>PROPER(TRIM([1]raw_orders!T833))</f>
        <v>Failed</v>
      </c>
      <c r="U833" t="str">
        <f>PROPER(TRIM([1]raw_orders!U833))</f>
        <v>Returned</v>
      </c>
      <c r="V833" s="6">
        <f t="shared" si="96"/>
        <v>0.40284375218245616</v>
      </c>
      <c r="W833" t="str">
        <f t="shared" si="97"/>
        <v>April</v>
      </c>
      <c r="X833">
        <f t="shared" si="98"/>
        <v>2025</v>
      </c>
      <c r="Y833">
        <f t="shared" si="99"/>
        <v>-30</v>
      </c>
      <c r="Z833" s="7">
        <f t="shared" si="100"/>
        <v>0.15</v>
      </c>
      <c r="AA833">
        <f t="shared" si="101"/>
        <v>26489.654999999999</v>
      </c>
      <c r="AB833">
        <f t="shared" si="102"/>
        <v>10671.190000000002</v>
      </c>
      <c r="AC833" t="str">
        <f t="shared" si="103"/>
        <v>Warning</v>
      </c>
    </row>
    <row r="834" spans="1:29">
      <c r="A834" t="s">
        <v>2509</v>
      </c>
      <c r="B834" s="4">
        <v>45803</v>
      </c>
      <c r="C834" s="4">
        <v>45805</v>
      </c>
      <c r="D834" t="s">
        <v>2510</v>
      </c>
      <c r="E834" t="str">
        <f>PROPER(TRIM([1]raw_orders!E834))</f>
        <v>Kabir Singh</v>
      </c>
      <c r="F834" t="str">
        <f>PROPER(TRIM([1]raw_orders!F834))</f>
        <v>Small Business</v>
      </c>
      <c r="G834" t="str">
        <f>IF('[1]Cleaned Text Field'!G834="","Unknown",'[1]Cleaned Text Field'!G834)</f>
        <v>South</v>
      </c>
      <c r="H834" t="str">
        <f>PROPER(TRIM([1]raw_orders!H834))</f>
        <v>Andhra Pradesh</v>
      </c>
      <c r="I834" t="str">
        <f>PROPER(TRIM([1]raw_orders!I834))</f>
        <v>Vijayawada</v>
      </c>
      <c r="J834" t="str">
        <f>PROPER(TRIM([1]raw_orders!J834))</f>
        <v>Technology</v>
      </c>
      <c r="K834" t="str">
        <f>PROPER(TRIM([1]raw_orders!K834))</f>
        <v>Phones</v>
      </c>
      <c r="L834" t="s">
        <v>2511</v>
      </c>
      <c r="M834" t="str">
        <f>IF('[1]Cleaned Text Field'!M834="","Unknown",'[1]Cleaned Text Field'!M834)</f>
        <v>Second Class</v>
      </c>
      <c r="N834">
        <f>IF('[1]Cleaned Text Field'!N834="",0,'[1]Cleaned Text Field'!N834)</f>
        <v>9</v>
      </c>
      <c r="O834">
        <v>4302.0200000000004</v>
      </c>
      <c r="P834" s="5">
        <f>IF('[1]Cleaned Text Field'!P834="",0,'[1]Cleaned Text Field'!P834)</f>
        <v>0.05</v>
      </c>
      <c r="Q834">
        <v>36782.269999999997</v>
      </c>
      <c r="R834">
        <v>25902.81</v>
      </c>
      <c r="S834">
        <v>10879.46</v>
      </c>
      <c r="T834" t="str">
        <f>PROPER(TRIM([1]raw_orders!T834))</f>
        <v>Paid</v>
      </c>
      <c r="U834" t="str">
        <f>PROPER(TRIM([1]raw_orders!U834))</f>
        <v>Completed</v>
      </c>
      <c r="V834" s="6">
        <f t="shared" si="96"/>
        <v>0.2957800048773499</v>
      </c>
      <c r="W834" t="str">
        <f t="shared" si="97"/>
        <v>May</v>
      </c>
      <c r="X834">
        <f t="shared" si="98"/>
        <v>2025</v>
      </c>
      <c r="Y834">
        <f t="shared" si="99"/>
        <v>2</v>
      </c>
      <c r="Z834" s="7">
        <f t="shared" si="100"/>
        <v>0.05</v>
      </c>
      <c r="AA834">
        <f t="shared" si="101"/>
        <v>36782.271000000008</v>
      </c>
      <c r="AB834">
        <f t="shared" si="102"/>
        <v>10879.459999999995</v>
      </c>
      <c r="AC834" t="str">
        <f t="shared" si="103"/>
        <v>Clean</v>
      </c>
    </row>
    <row r="835" spans="1:29">
      <c r="A835" t="s">
        <v>2512</v>
      </c>
      <c r="B835" s="4">
        <v>45447</v>
      </c>
      <c r="C835" s="4">
        <v>45447</v>
      </c>
      <c r="D835" t="s">
        <v>2513</v>
      </c>
      <c r="E835" t="str">
        <f>PROPER(TRIM([1]raw_orders!E835))</f>
        <v>Rahul Verma</v>
      </c>
      <c r="F835" t="str">
        <f>PROPER(TRIM([1]raw_orders!F835))</f>
        <v>Home Office</v>
      </c>
      <c r="G835" t="str">
        <f>IF('[1]Cleaned Text Field'!G835="","Unknown",'[1]Cleaned Text Field'!G835)</f>
        <v>East</v>
      </c>
      <c r="H835" t="str">
        <f>PROPER(TRIM([1]raw_orders!H835))</f>
        <v>West Bengal</v>
      </c>
      <c r="I835" t="str">
        <f>PROPER(TRIM([1]raw_orders!I835))</f>
        <v>Kolkata</v>
      </c>
      <c r="J835" t="str">
        <f>PROPER(TRIM([1]raw_orders!J835))</f>
        <v>Furniture</v>
      </c>
      <c r="K835" t="str">
        <f>PROPER(TRIM([1]raw_orders!K835))</f>
        <v>Bookcases</v>
      </c>
      <c r="L835" t="s">
        <v>2514</v>
      </c>
      <c r="M835" t="str">
        <f>IF('[1]Cleaned Text Field'!M835="","Unknown",'[1]Cleaned Text Field'!M835)</f>
        <v>First Class</v>
      </c>
      <c r="N835">
        <f>IF('[1]Cleaned Text Field'!N835="",0,'[1]Cleaned Text Field'!N835)</f>
        <v>6</v>
      </c>
      <c r="O835">
        <v>3949.4</v>
      </c>
      <c r="P835" s="5">
        <f>IF('[1]Cleaned Text Field'!P835="",0,'[1]Cleaned Text Field'!P835)</f>
        <v>0</v>
      </c>
      <c r="Q835">
        <v>23696.400000000001</v>
      </c>
      <c r="R835">
        <v>18109.77</v>
      </c>
      <c r="S835">
        <v>5586.63</v>
      </c>
      <c r="T835" t="str">
        <f>PROPER(TRIM([1]raw_orders!T835))</f>
        <v>Paid</v>
      </c>
      <c r="U835" t="str">
        <f>PROPER(TRIM([1]raw_orders!U835))</f>
        <v>Completed</v>
      </c>
      <c r="V835" s="6">
        <f t="shared" ref="V835:V898" si="104">IF(Q835=0,0,S835/Q835)</f>
        <v>0.2357585962424672</v>
      </c>
      <c r="W835" t="str">
        <f t="shared" ref="W835:W898" si="105">TEXT(B835,"mmmm")</f>
        <v>June</v>
      </c>
      <c r="X835">
        <f t="shared" ref="X835:X898" si="106">YEAR(B835)</f>
        <v>2024</v>
      </c>
      <c r="Y835">
        <f t="shared" ref="Y835:Y898" si="107">C835-B835</f>
        <v>0</v>
      </c>
      <c r="Z835" s="7">
        <f t="shared" ref="Z835:Z898" si="108">P835</f>
        <v>0</v>
      </c>
      <c r="AA835">
        <f t="shared" ref="AA835:AA898" si="109">N835*O835*(1-P835)</f>
        <v>23696.400000000001</v>
      </c>
      <c r="AB835">
        <f t="shared" ref="AB835:AB898" si="110">Q835-R835</f>
        <v>5586.630000000001</v>
      </c>
      <c r="AC835" t="str">
        <f t="shared" ref="AC835:AC898" si="111">IF(OR(B835="",C835="",AA835&lt;=0),"Invalid",IF(Y835&lt;0,"Warning",IF(Z835&gt;100%,"Warning","Clean")))</f>
        <v>Clean</v>
      </c>
    </row>
    <row r="836" spans="1:29">
      <c r="A836" t="s">
        <v>2515</v>
      </c>
      <c r="B836" s="4">
        <v>45583</v>
      </c>
      <c r="C836" s="4">
        <v>45587</v>
      </c>
      <c r="D836" t="s">
        <v>2516</v>
      </c>
      <c r="E836" t="str">
        <f>PROPER(TRIM([1]raw_orders!E836))</f>
        <v>Aarav Sharma</v>
      </c>
      <c r="F836" t="str">
        <f>PROPER(TRIM([1]raw_orders!F836))</f>
        <v>Home Office</v>
      </c>
      <c r="G836" t="str">
        <f>IF('[1]Cleaned Text Field'!G836="","Unknown",'[1]Cleaned Text Field'!G836)</f>
        <v>South</v>
      </c>
      <c r="H836" t="str">
        <f>PROPER(TRIM([1]raw_orders!H836))</f>
        <v>Telangana</v>
      </c>
      <c r="I836" t="str">
        <f>PROPER(TRIM([1]raw_orders!I836))</f>
        <v>Hyderabad</v>
      </c>
      <c r="J836" t="str">
        <f>PROPER(TRIM([1]raw_orders!J836))</f>
        <v>Office Supplies</v>
      </c>
      <c r="K836" t="str">
        <f>PROPER(TRIM([1]raw_orders!K836))</f>
        <v>Art</v>
      </c>
      <c r="L836" t="s">
        <v>2517</v>
      </c>
      <c r="M836" t="str">
        <f>IF('[1]Cleaned Text Field'!M836="","Unknown",'[1]Cleaned Text Field'!M836)</f>
        <v>First Class</v>
      </c>
      <c r="N836">
        <f>IF('[1]Cleaned Text Field'!N836="",0,'[1]Cleaned Text Field'!N836)</f>
        <v>6</v>
      </c>
      <c r="O836">
        <v>674.61</v>
      </c>
      <c r="P836" s="5">
        <f>IF('[1]Cleaned Text Field'!P836="",0,'[1]Cleaned Text Field'!P836)</f>
        <v>0</v>
      </c>
      <c r="Q836">
        <v>4047.66</v>
      </c>
      <c r="R836">
        <v>3078.93</v>
      </c>
      <c r="S836">
        <v>1279.79</v>
      </c>
      <c r="T836" t="str">
        <f>PROPER(TRIM([1]raw_orders!T836))</f>
        <v>Paid</v>
      </c>
      <c r="U836" t="str">
        <f>PROPER(TRIM([1]raw_orders!U836))</f>
        <v>Completed</v>
      </c>
      <c r="V836" s="6">
        <f t="shared" si="104"/>
        <v>0.31618021276490615</v>
      </c>
      <c r="W836" t="str">
        <f t="shared" si="105"/>
        <v>October</v>
      </c>
      <c r="X836">
        <f t="shared" si="106"/>
        <v>2024</v>
      </c>
      <c r="Y836">
        <f t="shared" si="107"/>
        <v>4</v>
      </c>
      <c r="Z836" s="7">
        <f t="shared" si="108"/>
        <v>0</v>
      </c>
      <c r="AA836">
        <f t="shared" si="109"/>
        <v>4047.66</v>
      </c>
      <c r="AB836">
        <f t="shared" si="110"/>
        <v>968.73</v>
      </c>
      <c r="AC836" t="str">
        <f t="shared" si="111"/>
        <v>Clean</v>
      </c>
    </row>
    <row r="837" spans="1:29">
      <c r="A837" t="s">
        <v>2518</v>
      </c>
      <c r="B837" s="4">
        <v>45926</v>
      </c>
      <c r="C837" s="4">
        <v>45757</v>
      </c>
      <c r="D837" t="s">
        <v>2519</v>
      </c>
      <c r="E837" t="str">
        <f>PROPER(TRIM([1]raw_orders!E837))</f>
        <v>Priya Menon</v>
      </c>
      <c r="F837" t="str">
        <f>PROPER(TRIM([1]raw_orders!F837))</f>
        <v>Small Business</v>
      </c>
      <c r="G837" t="str">
        <f>IF('[1]Cleaned Text Field'!G837="","Unknown",'[1]Cleaned Text Field'!G837)</f>
        <v>East</v>
      </c>
      <c r="H837" t="str">
        <f>PROPER(TRIM([1]raw_orders!H837))</f>
        <v>Assam</v>
      </c>
      <c r="I837" t="str">
        <f>PROPER(TRIM([1]raw_orders!I837))</f>
        <v>Guwahati</v>
      </c>
      <c r="J837" t="str">
        <f>PROPER(TRIM([1]raw_orders!J837))</f>
        <v>Technology</v>
      </c>
      <c r="K837" t="str">
        <f>PROPER(TRIM([1]raw_orders!K837))</f>
        <v>Phones</v>
      </c>
      <c r="L837" t="s">
        <v>2520</v>
      </c>
      <c r="M837" t="str">
        <f>IF('[1]Cleaned Text Field'!M837="","Unknown",'[1]Cleaned Text Field'!M837)</f>
        <v>Second Class</v>
      </c>
      <c r="N837">
        <f>IF('[1]Cleaned Text Field'!N837="",0,'[1]Cleaned Text Field'!N837)</f>
        <v>7</v>
      </c>
      <c r="O837">
        <v>1509.59</v>
      </c>
      <c r="P837" s="5">
        <f>IF('[1]Cleaned Text Field'!P837="",0,'[1]Cleaned Text Field'!P837)</f>
        <v>0.05</v>
      </c>
      <c r="Q837">
        <v>10038.77</v>
      </c>
      <c r="R837">
        <v>5673.1</v>
      </c>
      <c r="S837">
        <v>4365.67</v>
      </c>
      <c r="T837" t="str">
        <f>PROPER(TRIM([1]raw_orders!T837))</f>
        <v>Paid</v>
      </c>
      <c r="U837" t="str">
        <f>PROPER(TRIM([1]raw_orders!U837))</f>
        <v>Completed</v>
      </c>
      <c r="V837" s="6">
        <f t="shared" si="104"/>
        <v>0.43488096649290697</v>
      </c>
      <c r="W837" t="str">
        <f t="shared" si="105"/>
        <v>September</v>
      </c>
      <c r="X837">
        <f t="shared" si="106"/>
        <v>2025</v>
      </c>
      <c r="Y837">
        <f t="shared" si="107"/>
        <v>-169</v>
      </c>
      <c r="Z837" s="7">
        <f t="shared" si="108"/>
        <v>0.05</v>
      </c>
      <c r="AA837">
        <f t="shared" si="109"/>
        <v>10038.773499999999</v>
      </c>
      <c r="AB837">
        <f t="shared" si="110"/>
        <v>4365.67</v>
      </c>
      <c r="AC837" t="str">
        <f t="shared" si="111"/>
        <v>Warning</v>
      </c>
    </row>
    <row r="838" spans="1:29">
      <c r="A838" t="s">
        <v>2521</v>
      </c>
      <c r="B838" s="4">
        <v>45641</v>
      </c>
      <c r="C838" s="4">
        <v>45644</v>
      </c>
      <c r="D838" t="s">
        <v>2522</v>
      </c>
      <c r="E838" t="str">
        <f>PROPER(TRIM([1]raw_orders!E838))</f>
        <v>Isha Nair</v>
      </c>
      <c r="F838" t="str">
        <f>PROPER(TRIM([1]raw_orders!F838))</f>
        <v>Small Business</v>
      </c>
      <c r="G838" t="str">
        <f>IF('[1]Cleaned Text Field'!G838="","Unknown",'[1]Cleaned Text Field'!G838)</f>
        <v>North</v>
      </c>
      <c r="H838" t="str">
        <f>PROPER(TRIM([1]raw_orders!H838))</f>
        <v>Rajasthan</v>
      </c>
      <c r="I838" t="str">
        <f>PROPER(TRIM([1]raw_orders!I838))</f>
        <v>Jaipur</v>
      </c>
      <c r="J838" t="str">
        <f>PROPER(TRIM([1]raw_orders!J838))</f>
        <v>Office Supplies</v>
      </c>
      <c r="K838" t="str">
        <f>PROPER(TRIM([1]raw_orders!K838))</f>
        <v>Labels</v>
      </c>
      <c r="L838" t="s">
        <v>2523</v>
      </c>
      <c r="M838" t="str">
        <f>IF('[1]Cleaned Text Field'!M838="","Unknown",'[1]Cleaned Text Field'!M838)</f>
        <v>Second Class</v>
      </c>
      <c r="N838">
        <f>IF('[1]Cleaned Text Field'!N838="",0,'[1]Cleaned Text Field'!N838)</f>
        <v>2</v>
      </c>
      <c r="O838">
        <v>537.11</v>
      </c>
      <c r="P838" s="5">
        <f>IF('[1]Cleaned Text Field'!P838="",0,'[1]Cleaned Text Field'!P838)</f>
        <v>0</v>
      </c>
      <c r="Q838">
        <v>1074.22</v>
      </c>
      <c r="R838">
        <v>850.86</v>
      </c>
      <c r="S838">
        <v>223.36</v>
      </c>
      <c r="T838" t="str">
        <f>PROPER(TRIM([1]raw_orders!T838))</f>
        <v>Paid</v>
      </c>
      <c r="U838" t="str">
        <f>PROPER(TRIM([1]raw_orders!U838))</f>
        <v>Completed</v>
      </c>
      <c r="V838" s="6">
        <f t="shared" si="104"/>
        <v>0.20792761259332354</v>
      </c>
      <c r="W838" t="str">
        <f t="shared" si="105"/>
        <v>December</v>
      </c>
      <c r="X838">
        <f t="shared" si="106"/>
        <v>2024</v>
      </c>
      <c r="Y838">
        <f t="shared" si="107"/>
        <v>3</v>
      </c>
      <c r="Z838" s="7">
        <f t="shared" si="108"/>
        <v>0</v>
      </c>
      <c r="AA838">
        <f t="shared" si="109"/>
        <v>1074.22</v>
      </c>
      <c r="AB838">
        <f t="shared" si="110"/>
        <v>223.36</v>
      </c>
      <c r="AC838" t="str">
        <f t="shared" si="111"/>
        <v>Clean</v>
      </c>
    </row>
    <row r="839" spans="1:29">
      <c r="A839" t="s">
        <v>2524</v>
      </c>
      <c r="B839" s="4">
        <v>45927</v>
      </c>
      <c r="C839" s="4">
        <v>45928</v>
      </c>
      <c r="D839" t="s">
        <v>2525</v>
      </c>
      <c r="E839" t="str">
        <f>PROPER(TRIM([1]raw_orders!E839))</f>
        <v>Karan Malhotra</v>
      </c>
      <c r="F839" t="str">
        <f>PROPER(TRIM([1]raw_orders!F839))</f>
        <v>Home Office</v>
      </c>
      <c r="G839" t="str">
        <f>IF('[1]Cleaned Text Field'!G839="","Unknown",'[1]Cleaned Text Field'!G839)</f>
        <v>West</v>
      </c>
      <c r="H839" t="str">
        <f>PROPER(TRIM([1]raw_orders!H839))</f>
        <v>Maharashtra</v>
      </c>
      <c r="I839" t="str">
        <f>PROPER(TRIM([1]raw_orders!I839))</f>
        <v>Mumbai</v>
      </c>
      <c r="J839" t="str">
        <f>PROPER(TRIM([1]raw_orders!J839))</f>
        <v>Office Supplies</v>
      </c>
      <c r="K839" t="str">
        <f>PROPER(TRIM([1]raw_orders!K839))</f>
        <v>Paper</v>
      </c>
      <c r="L839" t="s">
        <v>2526</v>
      </c>
      <c r="M839" t="str">
        <f>IF('[1]Cleaned Text Field'!M839="","Unknown",'[1]Cleaned Text Field'!M839)</f>
        <v>First Class</v>
      </c>
      <c r="N839">
        <f>IF('[1]Cleaned Text Field'!N839="",0,'[1]Cleaned Text Field'!N839)</f>
        <v>3</v>
      </c>
      <c r="O839">
        <v>4177.63</v>
      </c>
      <c r="P839" s="5">
        <f>IF('[1]Cleaned Text Field'!P839="",0,'[1]Cleaned Text Field'!P839)</f>
        <v>0.25</v>
      </c>
      <c r="Q839">
        <v>9399.67</v>
      </c>
      <c r="R839">
        <v>6540.37</v>
      </c>
      <c r="S839">
        <v>2859.3</v>
      </c>
      <c r="T839" t="str">
        <f>PROPER(TRIM([1]raw_orders!T839))</f>
        <v>Paid</v>
      </c>
      <c r="U839" t="str">
        <f>PROPER(TRIM([1]raw_orders!U839))</f>
        <v>Completed</v>
      </c>
      <c r="V839" s="6">
        <f t="shared" si="104"/>
        <v>0.30419153012818539</v>
      </c>
      <c r="W839" t="str">
        <f t="shared" si="105"/>
        <v>September</v>
      </c>
      <c r="X839">
        <f t="shared" si="106"/>
        <v>2025</v>
      </c>
      <c r="Y839">
        <f t="shared" si="107"/>
        <v>1</v>
      </c>
      <c r="Z839" s="7">
        <f t="shared" si="108"/>
        <v>0.25</v>
      </c>
      <c r="AA839">
        <f t="shared" si="109"/>
        <v>9399.6674999999996</v>
      </c>
      <c r="AB839">
        <f t="shared" si="110"/>
        <v>2859.3</v>
      </c>
      <c r="AC839" t="str">
        <f t="shared" si="111"/>
        <v>Clean</v>
      </c>
    </row>
    <row r="840" spans="1:29">
      <c r="A840" t="s">
        <v>2527</v>
      </c>
      <c r="B840" s="4">
        <v>45750</v>
      </c>
      <c r="C840" s="4">
        <v>45754</v>
      </c>
      <c r="D840" t="s">
        <v>2528</v>
      </c>
      <c r="E840" t="str">
        <f>PROPER(TRIM([1]raw_orders!E840))</f>
        <v>Ananya Rao</v>
      </c>
      <c r="F840" t="str">
        <f>PROPER(TRIM([1]raw_orders!F840))</f>
        <v>Small Business</v>
      </c>
      <c r="G840" t="str">
        <f>IF('[1]Cleaned Text Field'!G840="","Unknown",'[1]Cleaned Text Field'!G840)</f>
        <v>West</v>
      </c>
      <c r="H840" t="str">
        <f>PROPER(TRIM([1]raw_orders!H840))</f>
        <v>Goa</v>
      </c>
      <c r="I840" t="str">
        <f>PROPER(TRIM([1]raw_orders!I840))</f>
        <v>Panaji</v>
      </c>
      <c r="J840" t="str">
        <f>PROPER(TRIM([1]raw_orders!J840))</f>
        <v>Office Supplies</v>
      </c>
      <c r="K840" t="str">
        <f>PROPER(TRIM([1]raw_orders!K840))</f>
        <v>Paper</v>
      </c>
      <c r="L840" t="s">
        <v>2529</v>
      </c>
      <c r="M840" t="str">
        <f>IF('[1]Cleaned Text Field'!M840="","Unknown",'[1]Cleaned Text Field'!M840)</f>
        <v>Same Day</v>
      </c>
      <c r="N840">
        <f>IF('[1]Cleaned Text Field'!N840="",0,'[1]Cleaned Text Field'!N840)</f>
        <v>1</v>
      </c>
      <c r="O840">
        <v>1470.57</v>
      </c>
      <c r="P840" s="5">
        <f>IF('[1]Cleaned Text Field'!P840="",0,'[1]Cleaned Text Field'!P840)</f>
        <v>0</v>
      </c>
      <c r="Q840">
        <v>1470.57</v>
      </c>
      <c r="R840">
        <v>834.02</v>
      </c>
      <c r="S840">
        <v>636.54999999999995</v>
      </c>
      <c r="T840" t="str">
        <f>PROPER(TRIM([1]raw_orders!T840))</f>
        <v>Paid</v>
      </c>
      <c r="U840" t="str">
        <f>PROPER(TRIM([1]raw_orders!U840))</f>
        <v>Returned</v>
      </c>
      <c r="V840" s="6">
        <f t="shared" si="104"/>
        <v>0.43285936745615644</v>
      </c>
      <c r="W840" t="str">
        <f t="shared" si="105"/>
        <v>April</v>
      </c>
      <c r="X840">
        <f t="shared" si="106"/>
        <v>2025</v>
      </c>
      <c r="Y840">
        <f t="shared" si="107"/>
        <v>4</v>
      </c>
      <c r="Z840" s="7">
        <f t="shared" si="108"/>
        <v>0</v>
      </c>
      <c r="AA840">
        <f t="shared" si="109"/>
        <v>1470.57</v>
      </c>
      <c r="AB840">
        <f t="shared" si="110"/>
        <v>636.54999999999995</v>
      </c>
      <c r="AC840" t="str">
        <f t="shared" si="111"/>
        <v>Clean</v>
      </c>
    </row>
    <row r="841" spans="1:29">
      <c r="A841" t="s">
        <v>2530</v>
      </c>
      <c r="B841" s="4">
        <v>45555</v>
      </c>
      <c r="C841" s="4">
        <v>45557</v>
      </c>
      <c r="D841" t="s">
        <v>2531</v>
      </c>
      <c r="E841" t="str">
        <f>PROPER(TRIM([1]raw_orders!E841))</f>
        <v>Rohan Mehta</v>
      </c>
      <c r="F841" t="str">
        <f>PROPER(TRIM([1]raw_orders!F841))</f>
        <v>Home Office</v>
      </c>
      <c r="G841" t="str">
        <f>IF('[1]Cleaned Text Field'!G841="","Unknown",'[1]Cleaned Text Field'!G841)</f>
        <v>East</v>
      </c>
      <c r="H841" t="str">
        <f>PROPER(TRIM([1]raw_orders!H841))</f>
        <v>Odisha</v>
      </c>
      <c r="I841" t="str">
        <f>PROPER(TRIM([1]raw_orders!I841))</f>
        <v>Bhubaneswar</v>
      </c>
      <c r="J841" t="str">
        <f>PROPER(TRIM([1]raw_orders!J841))</f>
        <v>Technology</v>
      </c>
      <c r="K841" t="str">
        <f>PROPER(TRIM([1]raw_orders!K841))</f>
        <v>Phones</v>
      </c>
      <c r="L841" t="s">
        <v>2532</v>
      </c>
      <c r="M841" t="str">
        <f>IF('[1]Cleaned Text Field'!M841="","Unknown",'[1]Cleaned Text Field'!M841)</f>
        <v>Standard Class</v>
      </c>
      <c r="N841">
        <f>IF('[1]Cleaned Text Field'!N841="",0,'[1]Cleaned Text Field'!N841)</f>
        <v>8</v>
      </c>
      <c r="O841">
        <v>531.42999999999995</v>
      </c>
      <c r="P841" s="5">
        <f>IF('[1]Cleaned Text Field'!P841="",0,'[1]Cleaned Text Field'!P841)</f>
        <v>0.1</v>
      </c>
      <c r="Q841">
        <v>3826.3</v>
      </c>
      <c r="R841">
        <v>2194.12</v>
      </c>
      <c r="S841">
        <v>1632.18</v>
      </c>
      <c r="T841" t="str">
        <f>PROPER(TRIM([1]raw_orders!T841))</f>
        <v>Paid</v>
      </c>
      <c r="U841" t="str">
        <f>PROPER(TRIM([1]raw_orders!U841))</f>
        <v>Completed</v>
      </c>
      <c r="V841" s="6">
        <f t="shared" si="104"/>
        <v>0.4265687478765387</v>
      </c>
      <c r="W841" t="str">
        <f t="shared" si="105"/>
        <v>September</v>
      </c>
      <c r="X841">
        <f t="shared" si="106"/>
        <v>2024</v>
      </c>
      <c r="Y841">
        <f t="shared" si="107"/>
        <v>2</v>
      </c>
      <c r="Z841" s="7">
        <f t="shared" si="108"/>
        <v>0.1</v>
      </c>
      <c r="AA841">
        <f t="shared" si="109"/>
        <v>3826.2959999999998</v>
      </c>
      <c r="AB841">
        <f t="shared" si="110"/>
        <v>1632.1800000000003</v>
      </c>
      <c r="AC841" t="str">
        <f t="shared" si="111"/>
        <v>Clean</v>
      </c>
    </row>
    <row r="842" spans="1:29">
      <c r="A842" t="s">
        <v>2533</v>
      </c>
      <c r="B842" s="4">
        <v>45919</v>
      </c>
      <c r="C842" s="4">
        <v>45919</v>
      </c>
      <c r="D842" t="s">
        <v>2534</v>
      </c>
      <c r="E842" t="str">
        <f>PROPER(TRIM([1]raw_orders!E842))</f>
        <v>Neha Gupta</v>
      </c>
      <c r="F842" t="str">
        <f>PROPER(TRIM([1]raw_orders!F842))</f>
        <v>Home Office</v>
      </c>
      <c r="G842" t="str">
        <f>IF('[1]Cleaned Text Field'!G842="","Unknown",'[1]Cleaned Text Field'!G842)</f>
        <v>North</v>
      </c>
      <c r="H842" t="str">
        <f>PROPER(TRIM([1]raw_orders!H842))</f>
        <v>Delhi</v>
      </c>
      <c r="I842" t="str">
        <f>PROPER(TRIM([1]raw_orders!I842))</f>
        <v>New Delhi</v>
      </c>
      <c r="J842" t="str">
        <f>PROPER(TRIM([1]raw_orders!J842))</f>
        <v>Furniture</v>
      </c>
      <c r="K842" t="str">
        <f>PROPER(TRIM([1]raw_orders!K842))</f>
        <v>Chairs</v>
      </c>
      <c r="L842" t="s">
        <v>2535</v>
      </c>
      <c r="M842" t="str">
        <f>IF('[1]Cleaned Text Field'!M842="","Unknown",'[1]Cleaned Text Field'!M842)</f>
        <v>Same Day</v>
      </c>
      <c r="N842">
        <f>IF('[1]Cleaned Text Field'!N842="",0,'[1]Cleaned Text Field'!N842)</f>
        <v>4</v>
      </c>
      <c r="O842">
        <v>1584.11</v>
      </c>
      <c r="P842" s="5">
        <f>IF('[1]Cleaned Text Field'!P842="",0,'[1]Cleaned Text Field'!P842)</f>
        <v>0</v>
      </c>
      <c r="Q842">
        <v>6336.44</v>
      </c>
      <c r="R842">
        <v>4680.68</v>
      </c>
      <c r="S842">
        <v>1655.76</v>
      </c>
      <c r="T842" t="str">
        <f>PROPER(TRIM([1]raw_orders!T842))</f>
        <v>Paid</v>
      </c>
      <c r="U842" t="str">
        <f>PROPER(TRIM([1]raw_orders!U842))</f>
        <v>Completed</v>
      </c>
      <c r="V842" s="6">
        <f t="shared" si="104"/>
        <v>0.26130761121386775</v>
      </c>
      <c r="W842" t="str">
        <f t="shared" si="105"/>
        <v>September</v>
      </c>
      <c r="X842">
        <f t="shared" si="106"/>
        <v>2025</v>
      </c>
      <c r="Y842">
        <f t="shared" si="107"/>
        <v>0</v>
      </c>
      <c r="Z842" s="7">
        <f t="shared" si="108"/>
        <v>0</v>
      </c>
      <c r="AA842">
        <f t="shared" si="109"/>
        <v>6336.44</v>
      </c>
      <c r="AB842">
        <f t="shared" si="110"/>
        <v>1655.7599999999993</v>
      </c>
      <c r="AC842" t="str">
        <f t="shared" si="111"/>
        <v>Clean</v>
      </c>
    </row>
    <row r="843" spans="1:29">
      <c r="A843" t="s">
        <v>2536</v>
      </c>
      <c r="B843" s="4">
        <v>45694</v>
      </c>
      <c r="C843" s="4">
        <v>45700</v>
      </c>
      <c r="D843" t="s">
        <v>2537</v>
      </c>
      <c r="E843" t="str">
        <f>PROPER(TRIM([1]raw_orders!E843))</f>
        <v>Ananya Rao</v>
      </c>
      <c r="F843" t="str">
        <f>PROPER(TRIM([1]raw_orders!F843))</f>
        <v>Small Business</v>
      </c>
      <c r="G843" t="str">
        <f>IF('[1]Cleaned Text Field'!G843="","Unknown",'[1]Cleaned Text Field'!G843)</f>
        <v>East</v>
      </c>
      <c r="H843" t="str">
        <f>PROPER(TRIM([1]raw_orders!H843))</f>
        <v>Bihar</v>
      </c>
      <c r="I843" t="str">
        <f>PROPER(TRIM([1]raw_orders!I843))</f>
        <v>Patna</v>
      </c>
      <c r="J843" t="str">
        <f>PROPER(TRIM([1]raw_orders!J843))</f>
        <v>Office Supplies</v>
      </c>
      <c r="K843" t="str">
        <f>PROPER(TRIM([1]raw_orders!K843))</f>
        <v>Art</v>
      </c>
      <c r="L843" t="s">
        <v>2538</v>
      </c>
      <c r="M843" t="str">
        <f>IF('[1]Cleaned Text Field'!M843="","Unknown",'[1]Cleaned Text Field'!M843)</f>
        <v>Standard Class</v>
      </c>
      <c r="N843">
        <f>IF('[1]Cleaned Text Field'!N843="",0,'[1]Cleaned Text Field'!N843)</f>
        <v>9</v>
      </c>
      <c r="O843">
        <v>3237.16</v>
      </c>
      <c r="P843" s="5">
        <f>IF('[1]Cleaned Text Field'!P843="",0,'[1]Cleaned Text Field'!P843)</f>
        <v>0.25</v>
      </c>
      <c r="Q843">
        <v>21850.83</v>
      </c>
      <c r="R843">
        <v>16600.13</v>
      </c>
      <c r="S843">
        <v>5250.7</v>
      </c>
      <c r="T843" t="str">
        <f>PROPER(TRIM([1]raw_orders!T843))</f>
        <v>Paid</v>
      </c>
      <c r="U843" t="str">
        <f>PROPER(TRIM([1]raw_orders!U843))</f>
        <v>Completed</v>
      </c>
      <c r="V843" s="6">
        <f t="shared" si="104"/>
        <v>0.24029750814957598</v>
      </c>
      <c r="W843" t="str">
        <f t="shared" si="105"/>
        <v>February</v>
      </c>
      <c r="X843">
        <f t="shared" si="106"/>
        <v>2025</v>
      </c>
      <c r="Y843">
        <f t="shared" si="107"/>
        <v>6</v>
      </c>
      <c r="Z843" s="7">
        <f t="shared" si="108"/>
        <v>0.25</v>
      </c>
      <c r="AA843">
        <f t="shared" si="109"/>
        <v>21850.829999999998</v>
      </c>
      <c r="AB843">
        <f t="shared" si="110"/>
        <v>5250.7000000000007</v>
      </c>
      <c r="AC843" t="str">
        <f t="shared" si="111"/>
        <v>Clean</v>
      </c>
    </row>
    <row r="844" spans="1:29">
      <c r="A844" t="s">
        <v>2539</v>
      </c>
      <c r="B844" s="4">
        <v>45382</v>
      </c>
      <c r="C844" s="4">
        <v>45381</v>
      </c>
      <c r="D844" t="s">
        <v>2540</v>
      </c>
      <c r="E844" t="str">
        <f>PROPER(TRIM([1]raw_orders!E844))</f>
        <v>Kabir Singh</v>
      </c>
      <c r="F844" t="str">
        <f>PROPER(TRIM([1]raw_orders!F844))</f>
        <v>Consumer</v>
      </c>
      <c r="G844" t="str">
        <f>IF('[1]Cleaned Text Field'!G844="","Unknown",'[1]Cleaned Text Field'!G844)</f>
        <v>North</v>
      </c>
      <c r="H844" t="str">
        <f>PROPER(TRIM([1]raw_orders!H844))</f>
        <v>Haryana</v>
      </c>
      <c r="I844" t="str">
        <f>PROPER(TRIM([1]raw_orders!I844))</f>
        <v>Gurugram</v>
      </c>
      <c r="J844" t="str">
        <f>PROPER(TRIM([1]raw_orders!J844))</f>
        <v>Technology</v>
      </c>
      <c r="K844" t="str">
        <f>PROPER(TRIM([1]raw_orders!K844))</f>
        <v>Machines</v>
      </c>
      <c r="L844" t="s">
        <v>2541</v>
      </c>
      <c r="M844" t="str">
        <f>IF('[1]Cleaned Text Field'!M844="","Unknown",'[1]Cleaned Text Field'!M844)</f>
        <v>First Class</v>
      </c>
      <c r="N844">
        <f>IF('[1]Cleaned Text Field'!N844="",0,'[1]Cleaned Text Field'!N844)</f>
        <v>4</v>
      </c>
      <c r="O844">
        <v>2192.08</v>
      </c>
      <c r="P844" s="5">
        <f>IF('[1]Cleaned Text Field'!P844="",0,'[1]Cleaned Text Field'!P844)</f>
        <v>0.15</v>
      </c>
      <c r="Q844">
        <v>7453.07</v>
      </c>
      <c r="R844">
        <v>5133.78</v>
      </c>
      <c r="S844">
        <v>2319.29</v>
      </c>
      <c r="T844" t="str">
        <f>PROPER(TRIM([1]raw_orders!T844))</f>
        <v>Paid</v>
      </c>
      <c r="U844" t="str">
        <f>PROPER(TRIM([1]raw_orders!U844))</f>
        <v>Returned</v>
      </c>
      <c r="V844" s="6">
        <f t="shared" si="104"/>
        <v>0.31118586032332984</v>
      </c>
      <c r="W844" t="str">
        <f t="shared" si="105"/>
        <v>March</v>
      </c>
      <c r="X844">
        <f t="shared" si="106"/>
        <v>2024</v>
      </c>
      <c r="Y844">
        <f t="shared" si="107"/>
        <v>-1</v>
      </c>
      <c r="Z844" s="7">
        <f t="shared" si="108"/>
        <v>0.15</v>
      </c>
      <c r="AA844">
        <f t="shared" si="109"/>
        <v>7453.0719999999992</v>
      </c>
      <c r="AB844">
        <f t="shared" si="110"/>
        <v>2319.29</v>
      </c>
      <c r="AC844" t="str">
        <f t="shared" si="111"/>
        <v>Warning</v>
      </c>
    </row>
    <row r="845" spans="1:29">
      <c r="A845" t="s">
        <v>2542</v>
      </c>
      <c r="B845" s="4">
        <v>45856</v>
      </c>
      <c r="C845" s="4">
        <v>45863</v>
      </c>
      <c r="D845" t="s">
        <v>2543</v>
      </c>
      <c r="E845" t="str">
        <f>PROPER(TRIM([1]raw_orders!E845))</f>
        <v>Priya Menon</v>
      </c>
      <c r="F845" t="str">
        <f>PROPER(TRIM([1]raw_orders!F845))</f>
        <v>Small Business</v>
      </c>
      <c r="G845" t="str">
        <f>IF('[1]Cleaned Text Field'!G845="","Unknown",'[1]Cleaned Text Field'!G845)</f>
        <v>North</v>
      </c>
      <c r="H845" t="str">
        <f>PROPER(TRIM([1]raw_orders!H845))</f>
        <v>Uttar Pradesh</v>
      </c>
      <c r="I845" t="str">
        <f>PROPER(TRIM([1]raw_orders!I845))</f>
        <v>Noida</v>
      </c>
      <c r="J845" t="str">
        <f>PROPER(TRIM([1]raw_orders!J845))</f>
        <v>Technology</v>
      </c>
      <c r="K845" t="str">
        <f>PROPER(TRIM([1]raw_orders!K845))</f>
        <v>Phones</v>
      </c>
      <c r="L845" t="s">
        <v>2544</v>
      </c>
      <c r="M845" t="str">
        <f>IF('[1]Cleaned Text Field'!M845="","Unknown",'[1]Cleaned Text Field'!M845)</f>
        <v>First Class</v>
      </c>
      <c r="N845">
        <f>IF('[1]Cleaned Text Field'!N845="",0,'[1]Cleaned Text Field'!N845)</f>
        <v>9</v>
      </c>
      <c r="O845">
        <v>3989.52</v>
      </c>
      <c r="P845" s="5">
        <f>IF('[1]Cleaned Text Field'!P845="",0,'[1]Cleaned Text Field'!P845)</f>
        <v>-0.02</v>
      </c>
      <c r="Q845">
        <v>35905.68</v>
      </c>
      <c r="R845">
        <v>23916.1</v>
      </c>
      <c r="S845">
        <v>11989.58</v>
      </c>
      <c r="T845" t="str">
        <f>PROPER(TRIM([1]raw_orders!T845))</f>
        <v>Paid</v>
      </c>
      <c r="U845" t="str">
        <f>PROPER(TRIM([1]raw_orders!U845))</f>
        <v>Completed</v>
      </c>
      <c r="V845" s="6">
        <f t="shared" si="104"/>
        <v>0.33391875602968668</v>
      </c>
      <c r="W845" t="str">
        <f t="shared" si="105"/>
        <v>July</v>
      </c>
      <c r="X845">
        <f t="shared" si="106"/>
        <v>2025</v>
      </c>
      <c r="Y845">
        <f t="shared" si="107"/>
        <v>7</v>
      </c>
      <c r="Z845" s="7">
        <f t="shared" si="108"/>
        <v>-0.02</v>
      </c>
      <c r="AA845">
        <f t="shared" si="109"/>
        <v>36623.793600000005</v>
      </c>
      <c r="AB845">
        <f t="shared" si="110"/>
        <v>11989.580000000002</v>
      </c>
      <c r="AC845" t="str">
        <f t="shared" si="111"/>
        <v>Clean</v>
      </c>
    </row>
    <row r="846" spans="1:29">
      <c r="A846" t="s">
        <v>2545</v>
      </c>
      <c r="B846" s="4">
        <v>45677</v>
      </c>
      <c r="C846" s="4">
        <v>45682</v>
      </c>
      <c r="D846" t="s">
        <v>2546</v>
      </c>
      <c r="E846" t="str">
        <f>PROPER(TRIM([1]raw_orders!E846))</f>
        <v>Aditi Sen</v>
      </c>
      <c r="F846" t="str">
        <f>PROPER(TRIM([1]raw_orders!F846))</f>
        <v>Home Office</v>
      </c>
      <c r="G846" t="str">
        <f>IF('[1]Cleaned Text Field'!G846="","Unknown",'[1]Cleaned Text Field'!G846)</f>
        <v>West</v>
      </c>
      <c r="H846" t="str">
        <f>PROPER(TRIM([1]raw_orders!H846))</f>
        <v>Goa</v>
      </c>
      <c r="I846" t="str">
        <f>PROPER(TRIM([1]raw_orders!I846))</f>
        <v>Panaji</v>
      </c>
      <c r="J846" t="str">
        <f>PROPER(TRIM([1]raw_orders!J846))</f>
        <v>Office Supplies</v>
      </c>
      <c r="K846" t="str">
        <f>PROPER(TRIM([1]raw_orders!K846))</f>
        <v>Art</v>
      </c>
      <c r="L846" t="s">
        <v>2547</v>
      </c>
      <c r="M846" t="str">
        <f>IF('[1]Cleaned Text Field'!M846="","Unknown",'[1]Cleaned Text Field'!M846)</f>
        <v>First Class</v>
      </c>
      <c r="N846">
        <f>IF('[1]Cleaned Text Field'!N846="",0,'[1]Cleaned Text Field'!N846)</f>
        <v>1</v>
      </c>
      <c r="O846">
        <v>3515.15</v>
      </c>
      <c r="P846" s="5">
        <f>IF('[1]Cleaned Text Field'!P846="",0,'[1]Cleaned Text Field'!P846)</f>
        <v>0</v>
      </c>
      <c r="Q846">
        <v>3515.15</v>
      </c>
      <c r="R846">
        <v>2216.34</v>
      </c>
      <c r="S846">
        <v>1298.81</v>
      </c>
      <c r="T846" t="str">
        <f>PROPER(TRIM([1]raw_orders!T846))</f>
        <v>Paid</v>
      </c>
      <c r="U846" t="str">
        <f>PROPER(TRIM([1]raw_orders!U846))</f>
        <v>Completed</v>
      </c>
      <c r="V846" s="6">
        <f t="shared" si="104"/>
        <v>0.36948921098672882</v>
      </c>
      <c r="W846" t="str">
        <f t="shared" si="105"/>
        <v>January</v>
      </c>
      <c r="X846">
        <f t="shared" si="106"/>
        <v>2025</v>
      </c>
      <c r="Y846">
        <f t="shared" si="107"/>
        <v>5</v>
      </c>
      <c r="Z846" s="7">
        <f t="shared" si="108"/>
        <v>0</v>
      </c>
      <c r="AA846">
        <f t="shared" si="109"/>
        <v>3515.15</v>
      </c>
      <c r="AB846">
        <f t="shared" si="110"/>
        <v>1298.81</v>
      </c>
      <c r="AC846" t="str">
        <f t="shared" si="111"/>
        <v>Clean</v>
      </c>
    </row>
    <row r="847" spans="1:29">
      <c r="A847" t="s">
        <v>2548</v>
      </c>
      <c r="B847" s="4">
        <v>45345</v>
      </c>
      <c r="C847" s="4">
        <v>45349</v>
      </c>
      <c r="D847" t="s">
        <v>535</v>
      </c>
      <c r="E847" t="str">
        <f>PROPER(TRIM([1]raw_orders!E847))</f>
        <v>Karan Malhotra</v>
      </c>
      <c r="F847" t="str">
        <f>PROPER(TRIM([1]raw_orders!F847))</f>
        <v>Consumer</v>
      </c>
      <c r="G847" t="str">
        <f>IF('[1]Cleaned Text Field'!G847="","Unknown",'[1]Cleaned Text Field'!G847)</f>
        <v>East</v>
      </c>
      <c r="H847" t="str">
        <f>PROPER(TRIM([1]raw_orders!H847))</f>
        <v>Odisha</v>
      </c>
      <c r="I847" t="str">
        <f>PROPER(TRIM([1]raw_orders!I847))</f>
        <v>Bhubaneswar</v>
      </c>
      <c r="J847" t="str">
        <f>PROPER(TRIM([1]raw_orders!J847))</f>
        <v>Furniture</v>
      </c>
      <c r="K847" t="str">
        <f>PROPER(TRIM([1]raw_orders!K847))</f>
        <v>Tables</v>
      </c>
      <c r="L847" t="s">
        <v>2549</v>
      </c>
      <c r="M847" t="str">
        <f>IF('[1]Cleaned Text Field'!M847="","Unknown",'[1]Cleaned Text Field'!M847)</f>
        <v>First Class</v>
      </c>
      <c r="N847">
        <f>IF('[1]Cleaned Text Field'!N847="",0,'[1]Cleaned Text Field'!N847)</f>
        <v>9</v>
      </c>
      <c r="O847">
        <v>3616.23</v>
      </c>
      <c r="P847" s="5">
        <f>IF('[1]Cleaned Text Field'!P847="",0,'[1]Cleaned Text Field'!P847)</f>
        <v>0.25</v>
      </c>
      <c r="Q847">
        <v>24409.55</v>
      </c>
      <c r="R847">
        <v>17157.580000000002</v>
      </c>
      <c r="S847">
        <v>7251.97</v>
      </c>
      <c r="T847" t="str">
        <f>PROPER(TRIM([1]raw_orders!T847))</f>
        <v>Pending</v>
      </c>
      <c r="U847" t="str">
        <f>PROPER(TRIM([1]raw_orders!U847))</f>
        <v>Returned</v>
      </c>
      <c r="V847" s="6">
        <f t="shared" si="104"/>
        <v>0.29709560397467388</v>
      </c>
      <c r="W847" t="str">
        <f t="shared" si="105"/>
        <v>February</v>
      </c>
      <c r="X847">
        <f t="shared" si="106"/>
        <v>2024</v>
      </c>
      <c r="Y847">
        <f t="shared" si="107"/>
        <v>4</v>
      </c>
      <c r="Z847" s="7">
        <f t="shared" si="108"/>
        <v>0.25</v>
      </c>
      <c r="AA847">
        <f t="shared" si="109"/>
        <v>24409.552499999998</v>
      </c>
      <c r="AB847">
        <f t="shared" si="110"/>
        <v>7251.9699999999975</v>
      </c>
      <c r="AC847" t="str">
        <f t="shared" si="111"/>
        <v>Clean</v>
      </c>
    </row>
    <row r="848" spans="1:29">
      <c r="A848" t="s">
        <v>2550</v>
      </c>
      <c r="B848" s="4">
        <v>45396</v>
      </c>
      <c r="C848" s="4">
        <v>45404</v>
      </c>
      <c r="D848" t="s">
        <v>2551</v>
      </c>
      <c r="E848" t="str">
        <f>PROPER(TRIM([1]raw_orders!E848))</f>
        <v>Priya Menon</v>
      </c>
      <c r="F848" t="str">
        <f>PROPER(TRIM([1]raw_orders!F848))</f>
        <v>Small Business</v>
      </c>
      <c r="G848" t="str">
        <f>IF('[1]Cleaned Text Field'!G848="","Unknown",'[1]Cleaned Text Field'!G848)</f>
        <v>West</v>
      </c>
      <c r="H848" t="str">
        <f>PROPER(TRIM([1]raw_orders!H848))</f>
        <v>Gujarat</v>
      </c>
      <c r="I848" t="str">
        <f>PROPER(TRIM([1]raw_orders!I848))</f>
        <v>Ahmedabad</v>
      </c>
      <c r="J848" t="str">
        <f>PROPER(TRIM([1]raw_orders!J848))</f>
        <v>Furniture</v>
      </c>
      <c r="K848" t="str">
        <f>PROPER(TRIM([1]raw_orders!K848))</f>
        <v>Bookcases</v>
      </c>
      <c r="L848" t="s">
        <v>2552</v>
      </c>
      <c r="M848" t="str">
        <f>IF('[1]Cleaned Text Field'!M848="","Unknown",'[1]Cleaned Text Field'!M848)</f>
        <v>Standard Class</v>
      </c>
      <c r="N848">
        <f>IF('[1]Cleaned Text Field'!N848="",0,'[1]Cleaned Text Field'!N848)</f>
        <v>2</v>
      </c>
      <c r="O848">
        <v>3977.52</v>
      </c>
      <c r="P848" s="5">
        <f>IF('[1]Cleaned Text Field'!P848="",0,'[1]Cleaned Text Field'!P848)</f>
        <v>0</v>
      </c>
      <c r="Q848">
        <v>7955.04</v>
      </c>
      <c r="R848">
        <v>5580.68</v>
      </c>
      <c r="S848">
        <v>2374.36</v>
      </c>
      <c r="T848" t="str">
        <f>PROPER(TRIM([1]raw_orders!T848))</f>
        <v>Pending</v>
      </c>
      <c r="U848" t="str">
        <f>PROPER(TRIM([1]raw_orders!U848))</f>
        <v>Returned</v>
      </c>
      <c r="V848" s="6">
        <f t="shared" si="104"/>
        <v>0.29847241497214344</v>
      </c>
      <c r="W848" t="str">
        <f t="shared" si="105"/>
        <v>April</v>
      </c>
      <c r="X848">
        <f t="shared" si="106"/>
        <v>2024</v>
      </c>
      <c r="Y848">
        <f t="shared" si="107"/>
        <v>8</v>
      </c>
      <c r="Z848" s="7">
        <f t="shared" si="108"/>
        <v>0</v>
      </c>
      <c r="AA848">
        <f t="shared" si="109"/>
        <v>7955.04</v>
      </c>
      <c r="AB848">
        <f t="shared" si="110"/>
        <v>2374.3599999999997</v>
      </c>
      <c r="AC848" t="str">
        <f t="shared" si="111"/>
        <v>Clean</v>
      </c>
    </row>
    <row r="849" spans="1:29">
      <c r="A849" t="s">
        <v>2553</v>
      </c>
      <c r="B849" s="4">
        <v>45797</v>
      </c>
      <c r="C849" s="4">
        <v>45799</v>
      </c>
      <c r="D849" t="s">
        <v>2554</v>
      </c>
      <c r="E849" t="str">
        <f>PROPER(TRIM([1]raw_orders!E849))</f>
        <v>Diya Patel</v>
      </c>
      <c r="F849" t="str">
        <f>PROPER(TRIM([1]raw_orders!F849))</f>
        <v>Home Office</v>
      </c>
      <c r="G849" t="str">
        <f>IF('[1]Cleaned Text Field'!G849="","Unknown",'[1]Cleaned Text Field'!G849)</f>
        <v>East</v>
      </c>
      <c r="H849" t="str">
        <f>PROPER(TRIM([1]raw_orders!H849))</f>
        <v>Odisha</v>
      </c>
      <c r="I849" t="str">
        <f>PROPER(TRIM([1]raw_orders!I849))</f>
        <v>Bhubaneswar</v>
      </c>
      <c r="J849" t="str">
        <f>PROPER(TRIM([1]raw_orders!J849))</f>
        <v>Furniture</v>
      </c>
      <c r="K849" t="str">
        <f>PROPER(TRIM([1]raw_orders!K849))</f>
        <v>Tables</v>
      </c>
      <c r="L849" t="s">
        <v>2555</v>
      </c>
      <c r="M849" t="str">
        <f>IF('[1]Cleaned Text Field'!M849="","Unknown",'[1]Cleaned Text Field'!M849)</f>
        <v>Second Class</v>
      </c>
      <c r="N849">
        <f>IF('[1]Cleaned Text Field'!N849="",0,'[1]Cleaned Text Field'!N849)</f>
        <v>2</v>
      </c>
      <c r="O849">
        <v>210.08</v>
      </c>
      <c r="P849" s="5">
        <f>IF('[1]Cleaned Text Field'!P849="",0,'[1]Cleaned Text Field'!P849)</f>
        <v>0.2</v>
      </c>
      <c r="Q849">
        <v>336.13</v>
      </c>
      <c r="R849">
        <v>242.19</v>
      </c>
      <c r="S849">
        <v>93.94</v>
      </c>
      <c r="T849" t="str">
        <f>PROPER(TRIM([1]raw_orders!T849))</f>
        <v>Paid</v>
      </c>
      <c r="U849" t="str">
        <f>PROPER(TRIM([1]raw_orders!U849))</f>
        <v>Completed</v>
      </c>
      <c r="V849" s="6">
        <f t="shared" si="104"/>
        <v>0.27947520304644036</v>
      </c>
      <c r="W849" t="str">
        <f t="shared" si="105"/>
        <v>May</v>
      </c>
      <c r="X849">
        <f t="shared" si="106"/>
        <v>2025</v>
      </c>
      <c r="Y849">
        <f t="shared" si="107"/>
        <v>2</v>
      </c>
      <c r="Z849" s="7">
        <f t="shared" si="108"/>
        <v>0.2</v>
      </c>
      <c r="AA849">
        <f t="shared" si="109"/>
        <v>336.12800000000004</v>
      </c>
      <c r="AB849">
        <f t="shared" si="110"/>
        <v>93.94</v>
      </c>
      <c r="AC849" t="str">
        <f t="shared" si="111"/>
        <v>Clean</v>
      </c>
    </row>
    <row r="850" spans="1:29">
      <c r="A850" t="s">
        <v>2556</v>
      </c>
      <c r="B850" s="4">
        <v>45804</v>
      </c>
      <c r="C850" s="4">
        <v>45806</v>
      </c>
      <c r="D850" t="s">
        <v>2557</v>
      </c>
      <c r="E850" t="str">
        <f>PROPER(TRIM([1]raw_orders!E850))</f>
        <v>Rahul Verma</v>
      </c>
      <c r="F850" t="str">
        <f>PROPER(TRIM([1]raw_orders!F850))</f>
        <v>Home Office</v>
      </c>
      <c r="G850" t="str">
        <f>IF('[1]Cleaned Text Field'!G850="","Unknown",'[1]Cleaned Text Field'!G850)</f>
        <v>South</v>
      </c>
      <c r="H850" t="str">
        <f>PROPER(TRIM([1]raw_orders!H850))</f>
        <v>Tamil Nadu</v>
      </c>
      <c r="I850" t="str">
        <f>PROPER(TRIM([1]raw_orders!I850))</f>
        <v>Chennai</v>
      </c>
      <c r="J850" t="str">
        <f>PROPER(TRIM([1]raw_orders!J850))</f>
        <v>Furniture</v>
      </c>
      <c r="K850" t="str">
        <f>PROPER(TRIM([1]raw_orders!K850))</f>
        <v>Furnishings</v>
      </c>
      <c r="L850" t="s">
        <v>2558</v>
      </c>
      <c r="M850" t="str">
        <f>IF('[1]Cleaned Text Field'!M850="","Unknown",'[1]Cleaned Text Field'!M850)</f>
        <v>Second Class</v>
      </c>
      <c r="N850">
        <f>IF('[1]Cleaned Text Field'!N850="",0,'[1]Cleaned Text Field'!N850)</f>
        <v>1</v>
      </c>
      <c r="O850">
        <v>1744.35</v>
      </c>
      <c r="P850" s="5">
        <f>IF('[1]Cleaned Text Field'!P850="",0,'[1]Cleaned Text Field'!P850)</f>
        <v>0.25</v>
      </c>
      <c r="Q850">
        <v>1308.26</v>
      </c>
      <c r="R850">
        <v>1083.56</v>
      </c>
      <c r="S850">
        <v>224.7</v>
      </c>
      <c r="T850" t="str">
        <f>PROPER(TRIM([1]raw_orders!T850))</f>
        <v>Paid</v>
      </c>
      <c r="U850" t="str">
        <f>PROPER(TRIM([1]raw_orders!U850))</f>
        <v>Completed</v>
      </c>
      <c r="V850" s="6">
        <f t="shared" si="104"/>
        <v>0.17175484995337317</v>
      </c>
      <c r="W850" t="str">
        <f t="shared" si="105"/>
        <v>May</v>
      </c>
      <c r="X850">
        <f t="shared" si="106"/>
        <v>2025</v>
      </c>
      <c r="Y850">
        <f t="shared" si="107"/>
        <v>2</v>
      </c>
      <c r="Z850" s="7">
        <f t="shared" si="108"/>
        <v>0.25</v>
      </c>
      <c r="AA850">
        <f t="shared" si="109"/>
        <v>1308.2624999999998</v>
      </c>
      <c r="AB850">
        <f t="shared" si="110"/>
        <v>224.70000000000005</v>
      </c>
      <c r="AC850" t="str">
        <f t="shared" si="111"/>
        <v>Clean</v>
      </c>
    </row>
    <row r="851" spans="1:29">
      <c r="A851" t="s">
        <v>2559</v>
      </c>
      <c r="B851" s="4">
        <v>45357</v>
      </c>
      <c r="C851" s="4">
        <v>45629</v>
      </c>
      <c r="D851" t="s">
        <v>2560</v>
      </c>
      <c r="E851" t="str">
        <f>PROPER(TRIM([1]raw_orders!E851))</f>
        <v>Isha Nair</v>
      </c>
      <c r="F851" t="str">
        <f>PROPER(TRIM([1]raw_orders!F851))</f>
        <v>Home Office</v>
      </c>
      <c r="G851" t="str">
        <f>IF('[1]Cleaned Text Field'!G851="","Unknown",'[1]Cleaned Text Field'!G851)</f>
        <v>West</v>
      </c>
      <c r="H851" t="str">
        <f>PROPER(TRIM([1]raw_orders!H851))</f>
        <v>Gujarat</v>
      </c>
      <c r="I851" t="str">
        <f>PROPER(TRIM([1]raw_orders!I851))</f>
        <v>Ahmedabad</v>
      </c>
      <c r="J851" t="str">
        <f>PROPER(TRIM([1]raw_orders!J851))</f>
        <v>Furniture</v>
      </c>
      <c r="K851" t="str">
        <f>PROPER(TRIM([1]raw_orders!K851))</f>
        <v>Bookcases</v>
      </c>
      <c r="L851" t="s">
        <v>2561</v>
      </c>
      <c r="M851" t="str">
        <f>IF('[1]Cleaned Text Field'!M851="","Unknown",'[1]Cleaned Text Field'!M851)</f>
        <v>Standard Class</v>
      </c>
      <c r="N851">
        <f>IF('[1]Cleaned Text Field'!N851="",0,'[1]Cleaned Text Field'!N851)</f>
        <v>3</v>
      </c>
      <c r="O851">
        <v>679.63</v>
      </c>
      <c r="P851" s="5">
        <f>IF('[1]Cleaned Text Field'!P851="",0,'[1]Cleaned Text Field'!P851)</f>
        <v>0.2</v>
      </c>
      <c r="Q851">
        <v>1631.11</v>
      </c>
      <c r="R851">
        <v>898.73</v>
      </c>
      <c r="S851">
        <v>396.58</v>
      </c>
      <c r="T851" t="str">
        <f>PROPER(TRIM([1]raw_orders!T851))</f>
        <v>Paid</v>
      </c>
      <c r="U851" t="str">
        <f>PROPER(TRIM([1]raw_orders!U851))</f>
        <v>Completed</v>
      </c>
      <c r="V851" s="6">
        <f t="shared" si="104"/>
        <v>0.24313504300752248</v>
      </c>
      <c r="W851" t="str">
        <f t="shared" si="105"/>
        <v>March</v>
      </c>
      <c r="X851">
        <f t="shared" si="106"/>
        <v>2024</v>
      </c>
      <c r="Y851">
        <f t="shared" si="107"/>
        <v>272</v>
      </c>
      <c r="Z851" s="7">
        <f t="shared" si="108"/>
        <v>0.2</v>
      </c>
      <c r="AA851">
        <f t="shared" si="109"/>
        <v>1631.1120000000001</v>
      </c>
      <c r="AB851">
        <f t="shared" si="110"/>
        <v>732.37999999999988</v>
      </c>
      <c r="AC851" t="str">
        <f t="shared" si="111"/>
        <v>Clean</v>
      </c>
    </row>
    <row r="852" spans="1:29">
      <c r="A852" t="s">
        <v>2562</v>
      </c>
      <c r="B852" s="4">
        <v>45473</v>
      </c>
      <c r="C852" s="4">
        <v>45476</v>
      </c>
      <c r="D852" t="s">
        <v>2563</v>
      </c>
      <c r="E852" t="str">
        <f>PROPER(TRIM([1]raw_orders!E852))</f>
        <v>Priya Menon</v>
      </c>
      <c r="F852" t="str">
        <f>PROPER(TRIM([1]raw_orders!F852))</f>
        <v>Home Office</v>
      </c>
      <c r="G852" t="str">
        <f>IF('[1]Cleaned Text Field'!G852="","Unknown",'[1]Cleaned Text Field'!G852)</f>
        <v>East</v>
      </c>
      <c r="H852" t="str">
        <f>PROPER(TRIM([1]raw_orders!H852))</f>
        <v>West Bengal</v>
      </c>
      <c r="I852" t="str">
        <f>PROPER(TRIM([1]raw_orders!I852))</f>
        <v>Kolkata</v>
      </c>
      <c r="J852" t="str">
        <f>PROPER(TRIM([1]raw_orders!J852))</f>
        <v>Office Supplies</v>
      </c>
      <c r="K852" t="str">
        <f>PROPER(TRIM([1]raw_orders!K852))</f>
        <v>Paper</v>
      </c>
      <c r="L852" t="s">
        <v>2564</v>
      </c>
      <c r="M852" t="str">
        <f>IF('[1]Cleaned Text Field'!M852="","Unknown",'[1]Cleaned Text Field'!M852)</f>
        <v>First Class</v>
      </c>
      <c r="N852">
        <f>IF('[1]Cleaned Text Field'!N852="",0,'[1]Cleaned Text Field'!N852)</f>
        <v>6</v>
      </c>
      <c r="O852">
        <v>1211.01</v>
      </c>
      <c r="P852" s="5">
        <f>IF('[1]Cleaned Text Field'!P852="",0,'[1]Cleaned Text Field'!P852)</f>
        <v>0</v>
      </c>
      <c r="Q852">
        <v>7266.06</v>
      </c>
      <c r="R852">
        <v>6216.89</v>
      </c>
      <c r="S852">
        <v>1049.17</v>
      </c>
      <c r="T852" t="str">
        <f>PROPER(TRIM([1]raw_orders!T852))</f>
        <v>Paid</v>
      </c>
      <c r="U852" t="str">
        <f>PROPER(TRIM([1]raw_orders!U852))</f>
        <v>Completed</v>
      </c>
      <c r="V852" s="6">
        <f t="shared" si="104"/>
        <v>0.14439324750965449</v>
      </c>
      <c r="W852" t="str">
        <f t="shared" si="105"/>
        <v>June</v>
      </c>
      <c r="X852">
        <f t="shared" si="106"/>
        <v>2024</v>
      </c>
      <c r="Y852">
        <f t="shared" si="107"/>
        <v>3</v>
      </c>
      <c r="Z852" s="7">
        <f t="shared" si="108"/>
        <v>0</v>
      </c>
      <c r="AA852">
        <f t="shared" si="109"/>
        <v>7266.0599999999995</v>
      </c>
      <c r="AB852">
        <f t="shared" si="110"/>
        <v>1049.17</v>
      </c>
      <c r="AC852" t="str">
        <f t="shared" si="111"/>
        <v>Clean</v>
      </c>
    </row>
    <row r="853" spans="1:29">
      <c r="A853" t="s">
        <v>2565</v>
      </c>
      <c r="B853" s="4">
        <v>45377</v>
      </c>
      <c r="C853" s="4">
        <v>45383</v>
      </c>
      <c r="D853" t="s">
        <v>2566</v>
      </c>
      <c r="E853" t="str">
        <f>PROPER(TRIM([1]raw_orders!E853))</f>
        <v>Karan Malhotra</v>
      </c>
      <c r="F853" t="str">
        <f>PROPER(TRIM([1]raw_orders!F853))</f>
        <v>Small Business</v>
      </c>
      <c r="G853" t="str">
        <f>IF('[1]Cleaned Text Field'!G853="","Unknown",'[1]Cleaned Text Field'!G853)</f>
        <v>West</v>
      </c>
      <c r="H853" t="str">
        <f>PROPER(TRIM([1]raw_orders!H853))</f>
        <v>Gujarat</v>
      </c>
      <c r="I853" t="str">
        <f>PROPER(TRIM([1]raw_orders!I853))</f>
        <v>Ahmedabad</v>
      </c>
      <c r="J853" t="str">
        <f>PROPER(TRIM([1]raw_orders!J853))</f>
        <v>Technology</v>
      </c>
      <c r="K853" t="str">
        <f>PROPER(TRIM([1]raw_orders!K853))</f>
        <v>Accessories</v>
      </c>
      <c r="L853" t="s">
        <v>2567</v>
      </c>
      <c r="M853" t="str">
        <f>IF('[1]Cleaned Text Field'!M853="","Unknown",'[1]Cleaned Text Field'!M853)</f>
        <v>First Class</v>
      </c>
      <c r="N853">
        <f>IF('[1]Cleaned Text Field'!N853="",0,'[1]Cleaned Text Field'!N853)</f>
        <v>2</v>
      </c>
      <c r="O853">
        <v>1161.3</v>
      </c>
      <c r="P853" s="5">
        <f>IF('[1]Cleaned Text Field'!P853="",0,'[1]Cleaned Text Field'!P853)</f>
        <v>0.2</v>
      </c>
      <c r="Q853">
        <v>1858.08</v>
      </c>
      <c r="R853">
        <v>1590.75</v>
      </c>
      <c r="S853">
        <v>267.33</v>
      </c>
      <c r="T853" t="str">
        <f>PROPER(TRIM([1]raw_orders!T853))</f>
        <v>Paid</v>
      </c>
      <c r="U853" t="str">
        <f>PROPER(TRIM([1]raw_orders!U853))</f>
        <v>Completed</v>
      </c>
      <c r="V853" s="6">
        <f t="shared" si="104"/>
        <v>0.143874321880651</v>
      </c>
      <c r="W853" t="str">
        <f t="shared" si="105"/>
        <v>March</v>
      </c>
      <c r="X853">
        <f t="shared" si="106"/>
        <v>2024</v>
      </c>
      <c r="Y853">
        <f t="shared" si="107"/>
        <v>6</v>
      </c>
      <c r="Z853" s="7">
        <f t="shared" si="108"/>
        <v>0.2</v>
      </c>
      <c r="AA853">
        <f t="shared" si="109"/>
        <v>1858.08</v>
      </c>
      <c r="AB853">
        <f t="shared" si="110"/>
        <v>267.32999999999993</v>
      </c>
      <c r="AC853" t="str">
        <f t="shared" si="111"/>
        <v>Clean</v>
      </c>
    </row>
    <row r="854" spans="1:29">
      <c r="A854" t="s">
        <v>2568</v>
      </c>
      <c r="B854" s="4">
        <v>45295</v>
      </c>
      <c r="C854" s="4">
        <v>45508</v>
      </c>
      <c r="D854" t="s">
        <v>2569</v>
      </c>
      <c r="E854" t="str">
        <f>PROPER(TRIM([1]raw_orders!E854))</f>
        <v>Ananya Rao</v>
      </c>
      <c r="F854" t="str">
        <f>PROPER(TRIM([1]raw_orders!F854))</f>
        <v>Consumer</v>
      </c>
      <c r="G854" t="str">
        <f>IF('[1]Cleaned Text Field'!G854="","Unknown",'[1]Cleaned Text Field'!G854)</f>
        <v>East</v>
      </c>
      <c r="H854" t="str">
        <f>PROPER(TRIM([1]raw_orders!H854))</f>
        <v>Assam</v>
      </c>
      <c r="I854" t="str">
        <f>PROPER(TRIM([1]raw_orders!I854))</f>
        <v>Guwahati</v>
      </c>
      <c r="J854" t="str">
        <f>PROPER(TRIM([1]raw_orders!J854))</f>
        <v>Furniture</v>
      </c>
      <c r="K854" t="str">
        <f>PROPER(TRIM([1]raw_orders!K854))</f>
        <v>Tables</v>
      </c>
      <c r="L854" t="s">
        <v>2570</v>
      </c>
      <c r="M854" t="str">
        <f>IF('[1]Cleaned Text Field'!M854="","Unknown",'[1]Cleaned Text Field'!M854)</f>
        <v>Second Class</v>
      </c>
      <c r="N854">
        <f>IF('[1]Cleaned Text Field'!N854="",0,'[1]Cleaned Text Field'!N854)</f>
        <v>7</v>
      </c>
      <c r="O854">
        <v>4205.3500000000004</v>
      </c>
      <c r="P854" s="5">
        <f>IF('[1]Cleaned Text Field'!P854="",0,'[1]Cleaned Text Field'!P854)</f>
        <v>0.15</v>
      </c>
      <c r="Q854">
        <v>25021.83</v>
      </c>
      <c r="R854">
        <v>15544.44</v>
      </c>
      <c r="S854">
        <v>9477.39</v>
      </c>
      <c r="T854" t="str">
        <f>PROPER(TRIM([1]raw_orders!T854))</f>
        <v>Pending</v>
      </c>
      <c r="U854" t="str">
        <f>PROPER(TRIM([1]raw_orders!U854))</f>
        <v>Cancelled</v>
      </c>
      <c r="V854" s="6">
        <f t="shared" si="104"/>
        <v>0.37876486252204572</v>
      </c>
      <c r="W854" t="str">
        <f t="shared" si="105"/>
        <v>January</v>
      </c>
      <c r="X854">
        <f t="shared" si="106"/>
        <v>2024</v>
      </c>
      <c r="Y854">
        <f t="shared" si="107"/>
        <v>213</v>
      </c>
      <c r="Z854" s="7">
        <f t="shared" si="108"/>
        <v>0.15</v>
      </c>
      <c r="AA854">
        <f t="shared" si="109"/>
        <v>25021.832500000004</v>
      </c>
      <c r="AB854">
        <f t="shared" si="110"/>
        <v>9477.3900000000012</v>
      </c>
      <c r="AC854" t="str">
        <f t="shared" si="111"/>
        <v>Clean</v>
      </c>
    </row>
    <row r="855" spans="1:29">
      <c r="A855" t="s">
        <v>2571</v>
      </c>
      <c r="B855" s="4">
        <v>45793</v>
      </c>
      <c r="C855" s="4">
        <v>45799</v>
      </c>
      <c r="D855" t="s">
        <v>2572</v>
      </c>
      <c r="E855" t="str">
        <f>PROPER(TRIM([1]raw_orders!E855))</f>
        <v>Arjun Bose</v>
      </c>
      <c r="F855" t="str">
        <f>PROPER(TRIM([1]raw_orders!F855))</f>
        <v>Corporate</v>
      </c>
      <c r="G855" t="str">
        <f>IF('[1]Cleaned Text Field'!G855="","Unknown",'[1]Cleaned Text Field'!G855)</f>
        <v>South</v>
      </c>
      <c r="H855" t="str">
        <f>PROPER(TRIM([1]raw_orders!H855))</f>
        <v>Tamil Nadu</v>
      </c>
      <c r="I855" t="str">
        <f>PROPER(TRIM([1]raw_orders!I855))</f>
        <v>Chennai</v>
      </c>
      <c r="J855" t="str">
        <f>PROPER(TRIM([1]raw_orders!J855))</f>
        <v>Technology</v>
      </c>
      <c r="K855" t="str">
        <f>PROPER(TRIM([1]raw_orders!K855))</f>
        <v>Accessories</v>
      </c>
      <c r="L855" t="s">
        <v>2573</v>
      </c>
      <c r="M855" t="str">
        <f>IF('[1]Cleaned Text Field'!M855="","Unknown",'[1]Cleaned Text Field'!M855)</f>
        <v>Same Day</v>
      </c>
      <c r="N855">
        <f>IF('[1]Cleaned Text Field'!N855="",0,'[1]Cleaned Text Field'!N855)</f>
        <v>8</v>
      </c>
      <c r="O855">
        <v>579.79999999999995</v>
      </c>
      <c r="P855" s="5">
        <f>IF('[1]Cleaned Text Field'!P855="",0,'[1]Cleaned Text Field'!P855)</f>
        <v>0.2</v>
      </c>
      <c r="Q855">
        <v>3710.72</v>
      </c>
      <c r="R855">
        <v>3115.29</v>
      </c>
      <c r="S855">
        <v>595.42999999999995</v>
      </c>
      <c r="T855" t="str">
        <f>PROPER(TRIM([1]raw_orders!T855))</f>
        <v>Paid</v>
      </c>
      <c r="U855" t="str">
        <f>PROPER(TRIM([1]raw_orders!U855))</f>
        <v>Completed</v>
      </c>
      <c r="V855" s="6">
        <f t="shared" si="104"/>
        <v>0.16046212055881337</v>
      </c>
      <c r="W855" t="str">
        <f t="shared" si="105"/>
        <v>May</v>
      </c>
      <c r="X855">
        <f t="shared" si="106"/>
        <v>2025</v>
      </c>
      <c r="Y855">
        <f t="shared" si="107"/>
        <v>6</v>
      </c>
      <c r="Z855" s="7">
        <f t="shared" si="108"/>
        <v>0.2</v>
      </c>
      <c r="AA855">
        <f t="shared" si="109"/>
        <v>3710.72</v>
      </c>
      <c r="AB855">
        <f t="shared" si="110"/>
        <v>595.42999999999984</v>
      </c>
      <c r="AC855" t="str">
        <f t="shared" si="111"/>
        <v>Clean</v>
      </c>
    </row>
    <row r="856" spans="1:29">
      <c r="A856" t="s">
        <v>2574</v>
      </c>
      <c r="B856" s="4">
        <v>45741</v>
      </c>
      <c r="C856" s="4">
        <v>45749</v>
      </c>
      <c r="D856" t="s">
        <v>2575</v>
      </c>
      <c r="E856" t="str">
        <f>PROPER(TRIM([1]raw_orders!E856))</f>
        <v>Priya Menon</v>
      </c>
      <c r="F856" t="str">
        <f>PROPER(TRIM([1]raw_orders!F856))</f>
        <v>Consumer</v>
      </c>
      <c r="G856" t="str">
        <f>IF('[1]Cleaned Text Field'!G856="","Unknown",'[1]Cleaned Text Field'!G856)</f>
        <v>South</v>
      </c>
      <c r="H856" t="str">
        <f>PROPER(TRIM([1]raw_orders!H856))</f>
        <v>Karnataka</v>
      </c>
      <c r="I856" t="str">
        <f>PROPER(TRIM([1]raw_orders!I856))</f>
        <v>Bengaluru</v>
      </c>
      <c r="J856" t="str">
        <f>PROPER(TRIM([1]raw_orders!J856))</f>
        <v>Furniture</v>
      </c>
      <c r="K856" t="str">
        <f>PROPER(TRIM([1]raw_orders!K856))</f>
        <v>Bookcases</v>
      </c>
      <c r="L856" t="s">
        <v>2576</v>
      </c>
      <c r="M856" t="str">
        <f>IF('[1]Cleaned Text Field'!M856="","Unknown",'[1]Cleaned Text Field'!M856)</f>
        <v>Second Class</v>
      </c>
      <c r="N856">
        <f>IF('[1]Cleaned Text Field'!N856="",0,'[1]Cleaned Text Field'!N856)</f>
        <v>4</v>
      </c>
      <c r="O856">
        <v>2233.64</v>
      </c>
      <c r="P856" s="5">
        <f>IF('[1]Cleaned Text Field'!P856="",0,'[1]Cleaned Text Field'!P856)</f>
        <v>0.05</v>
      </c>
      <c r="Q856">
        <v>8487.83</v>
      </c>
      <c r="R856">
        <v>5245.72</v>
      </c>
      <c r="S856">
        <v>3242.11</v>
      </c>
      <c r="T856" t="str">
        <f>PROPER(TRIM([1]raw_orders!T856))</f>
        <v>Paid</v>
      </c>
      <c r="U856" t="str">
        <f>PROPER(TRIM([1]raw_orders!U856))</f>
        <v>Completed</v>
      </c>
      <c r="V856" s="6">
        <f t="shared" si="104"/>
        <v>0.38197159933693303</v>
      </c>
      <c r="W856" t="str">
        <f t="shared" si="105"/>
        <v>March</v>
      </c>
      <c r="X856">
        <f t="shared" si="106"/>
        <v>2025</v>
      </c>
      <c r="Y856">
        <f t="shared" si="107"/>
        <v>8</v>
      </c>
      <c r="Z856" s="7">
        <f t="shared" si="108"/>
        <v>0.05</v>
      </c>
      <c r="AA856">
        <f t="shared" si="109"/>
        <v>8487.8319999999985</v>
      </c>
      <c r="AB856">
        <f t="shared" si="110"/>
        <v>3242.1099999999997</v>
      </c>
      <c r="AC856" t="str">
        <f t="shared" si="111"/>
        <v>Clean</v>
      </c>
    </row>
    <row r="857" spans="1:29">
      <c r="A857" t="s">
        <v>2577</v>
      </c>
      <c r="B857" s="4">
        <v>45498</v>
      </c>
      <c r="C857" s="4">
        <v>45506</v>
      </c>
      <c r="D857" t="s">
        <v>1063</v>
      </c>
      <c r="E857" t="str">
        <f>PROPER(TRIM([1]raw_orders!E857))</f>
        <v>Rahul Verma</v>
      </c>
      <c r="F857" t="str">
        <f>PROPER(TRIM([1]raw_orders!F857))</f>
        <v>Consumer</v>
      </c>
      <c r="G857" t="str">
        <f>IF('[1]Cleaned Text Field'!G857="","Unknown",'[1]Cleaned Text Field'!G857)</f>
        <v>North</v>
      </c>
      <c r="H857" t="str">
        <f>PROPER(TRIM([1]raw_orders!H857))</f>
        <v>Rajasthan</v>
      </c>
      <c r="I857" t="str">
        <f>PROPER(TRIM([1]raw_orders!I857))</f>
        <v>Jaipur</v>
      </c>
      <c r="J857" t="str">
        <f>PROPER(TRIM([1]raw_orders!J857))</f>
        <v>Office Supplies</v>
      </c>
      <c r="K857" t="str">
        <f>PROPER(TRIM([1]raw_orders!K857))</f>
        <v>Labels</v>
      </c>
      <c r="L857" t="s">
        <v>2578</v>
      </c>
      <c r="M857" t="str">
        <f>IF('[1]Cleaned Text Field'!M857="","Unknown",'[1]Cleaned Text Field'!M857)</f>
        <v>Second Class</v>
      </c>
      <c r="N857">
        <f>IF('[1]Cleaned Text Field'!N857="",0,'[1]Cleaned Text Field'!N857)</f>
        <v>2</v>
      </c>
      <c r="O857">
        <v>2073.5300000000002</v>
      </c>
      <c r="P857" s="5">
        <f>IF('[1]Cleaned Text Field'!P857="",0,'[1]Cleaned Text Field'!P857)</f>
        <v>0.25</v>
      </c>
      <c r="Q857">
        <v>3110.3</v>
      </c>
      <c r="R857">
        <v>2101.0300000000002</v>
      </c>
      <c r="S857">
        <v>1009.27</v>
      </c>
      <c r="T857" t="str">
        <f>PROPER(TRIM([1]raw_orders!T857))</f>
        <v>Paid</v>
      </c>
      <c r="U857" t="str">
        <f>PROPER(TRIM([1]raw_orders!U857))</f>
        <v>Completed</v>
      </c>
      <c r="V857" s="6">
        <f t="shared" si="104"/>
        <v>0.32449281419798731</v>
      </c>
      <c r="W857" t="str">
        <f t="shared" si="105"/>
        <v>July</v>
      </c>
      <c r="X857">
        <f t="shared" si="106"/>
        <v>2024</v>
      </c>
      <c r="Y857">
        <f t="shared" si="107"/>
        <v>8</v>
      </c>
      <c r="Z857" s="7">
        <f t="shared" si="108"/>
        <v>0.25</v>
      </c>
      <c r="AA857">
        <f t="shared" si="109"/>
        <v>3110.2950000000001</v>
      </c>
      <c r="AB857">
        <f t="shared" si="110"/>
        <v>1009.27</v>
      </c>
      <c r="AC857" t="str">
        <f t="shared" si="111"/>
        <v>Clean</v>
      </c>
    </row>
    <row r="858" spans="1:29">
      <c r="A858" t="s">
        <v>2579</v>
      </c>
      <c r="B858" s="4">
        <v>45455</v>
      </c>
      <c r="C858" s="4">
        <v>45462</v>
      </c>
      <c r="D858" t="s">
        <v>1241</v>
      </c>
      <c r="E858" t="str">
        <f>PROPER(TRIM([1]raw_orders!E858))</f>
        <v>Rohan Mehta</v>
      </c>
      <c r="F858" t="str">
        <f>PROPER(TRIM([1]raw_orders!F858))</f>
        <v>Home Office</v>
      </c>
      <c r="G858" t="str">
        <f>IF('[1]Cleaned Text Field'!G858="","Unknown",'[1]Cleaned Text Field'!G858)</f>
        <v>South</v>
      </c>
      <c r="H858" t="str">
        <f>PROPER(TRIM([1]raw_orders!H858))</f>
        <v>Tamil Nadu</v>
      </c>
      <c r="I858" t="str">
        <f>PROPER(TRIM([1]raw_orders!I858))</f>
        <v>Chennai</v>
      </c>
      <c r="J858" t="str">
        <f>PROPER(TRIM([1]raw_orders!J858))</f>
        <v>Office Supplies</v>
      </c>
      <c r="K858" t="str">
        <f>PROPER(TRIM([1]raw_orders!K858))</f>
        <v>Storage</v>
      </c>
      <c r="L858" t="s">
        <v>2580</v>
      </c>
      <c r="M858" t="str">
        <f>IF('[1]Cleaned Text Field'!M858="","Unknown",'[1]Cleaned Text Field'!M858)</f>
        <v>Standard Class</v>
      </c>
      <c r="N858">
        <f>IF('[1]Cleaned Text Field'!N858="",0,'[1]Cleaned Text Field'!N858)</f>
        <v>4</v>
      </c>
      <c r="O858">
        <v>395.1</v>
      </c>
      <c r="P858" s="5">
        <f>IF('[1]Cleaned Text Field'!P858="",0,'[1]Cleaned Text Field'!P858)</f>
        <v>-0.16</v>
      </c>
      <c r="Q858">
        <v>1185.3</v>
      </c>
      <c r="R858">
        <v>966.55</v>
      </c>
      <c r="S858">
        <v>218.75</v>
      </c>
      <c r="T858" t="str">
        <f>PROPER(TRIM([1]raw_orders!T858))</f>
        <v>Failed</v>
      </c>
      <c r="U858" t="str">
        <f>PROPER(TRIM([1]raw_orders!U858))</f>
        <v>Cancelled</v>
      </c>
      <c r="V858" s="6">
        <f t="shared" si="104"/>
        <v>0.1845524339829579</v>
      </c>
      <c r="W858" t="str">
        <f t="shared" si="105"/>
        <v>June</v>
      </c>
      <c r="X858">
        <f t="shared" si="106"/>
        <v>2024</v>
      </c>
      <c r="Y858">
        <f t="shared" si="107"/>
        <v>7</v>
      </c>
      <c r="Z858" s="7">
        <f t="shared" si="108"/>
        <v>-0.16</v>
      </c>
      <c r="AA858">
        <f t="shared" si="109"/>
        <v>1833.2639999999999</v>
      </c>
      <c r="AB858">
        <f t="shared" si="110"/>
        <v>218.75</v>
      </c>
      <c r="AC858" t="str">
        <f t="shared" si="111"/>
        <v>Clean</v>
      </c>
    </row>
    <row r="859" spans="1:29">
      <c r="A859" t="s">
        <v>2581</v>
      </c>
      <c r="B859" s="4">
        <v>45447</v>
      </c>
      <c r="C859" s="4">
        <v>45388</v>
      </c>
      <c r="D859" t="s">
        <v>2088</v>
      </c>
      <c r="E859" t="str">
        <f>PROPER(TRIM([1]raw_orders!E859))</f>
        <v>Sneha Kapoor</v>
      </c>
      <c r="F859" t="str">
        <f>PROPER(TRIM([1]raw_orders!F859))</f>
        <v>Home Office</v>
      </c>
      <c r="G859" t="str">
        <f>IF('[1]Cleaned Text Field'!G859="","Unknown",'[1]Cleaned Text Field'!G859)</f>
        <v>South</v>
      </c>
      <c r="H859" t="str">
        <f>PROPER(TRIM([1]raw_orders!H859))</f>
        <v>Kerala</v>
      </c>
      <c r="I859" t="str">
        <f>PROPER(TRIM([1]raw_orders!I859))</f>
        <v>Kochi</v>
      </c>
      <c r="J859" t="str">
        <f>PROPER(TRIM([1]raw_orders!J859))</f>
        <v>Office Supplies</v>
      </c>
      <c r="K859" t="str">
        <f>PROPER(TRIM([1]raw_orders!K859))</f>
        <v>Storage</v>
      </c>
      <c r="L859" t="s">
        <v>2582</v>
      </c>
      <c r="M859" t="str">
        <f>IF('[1]Cleaned Text Field'!M859="","Unknown",'[1]Cleaned Text Field'!M859)</f>
        <v>First Class</v>
      </c>
      <c r="N859">
        <f>IF('[1]Cleaned Text Field'!N859="",0,'[1]Cleaned Text Field'!N859)</f>
        <v>6</v>
      </c>
      <c r="O859">
        <v>2708.97</v>
      </c>
      <c r="P859" s="5">
        <f>IF('[1]Cleaned Text Field'!P859="",0,'[1]Cleaned Text Field'!P859)</f>
        <v>0.25</v>
      </c>
      <c r="Q859">
        <v>12190.36</v>
      </c>
      <c r="R859">
        <v>10176.99</v>
      </c>
      <c r="S859">
        <v>2013.37</v>
      </c>
      <c r="T859" t="str">
        <f>PROPER(TRIM([1]raw_orders!T859))</f>
        <v>Paid</v>
      </c>
      <c r="U859" t="str">
        <f>PROPER(TRIM([1]raw_orders!U859))</f>
        <v>Completed</v>
      </c>
      <c r="V859" s="6">
        <f t="shared" si="104"/>
        <v>0.16516083200168</v>
      </c>
      <c r="W859" t="str">
        <f t="shared" si="105"/>
        <v>June</v>
      </c>
      <c r="X859">
        <f t="shared" si="106"/>
        <v>2024</v>
      </c>
      <c r="Y859">
        <f t="shared" si="107"/>
        <v>-59</v>
      </c>
      <c r="Z859" s="7">
        <f t="shared" si="108"/>
        <v>0.25</v>
      </c>
      <c r="AA859">
        <f t="shared" si="109"/>
        <v>12190.365</v>
      </c>
      <c r="AB859">
        <f t="shared" si="110"/>
        <v>2013.3700000000008</v>
      </c>
      <c r="AC859" t="str">
        <f t="shared" si="111"/>
        <v>Warning</v>
      </c>
    </row>
    <row r="860" spans="1:29">
      <c r="A860" t="s">
        <v>2583</v>
      </c>
      <c r="B860" s="4">
        <v>45414</v>
      </c>
      <c r="C860" s="4">
        <v>45421</v>
      </c>
      <c r="D860" t="s">
        <v>2584</v>
      </c>
      <c r="E860" t="str">
        <f>PROPER(TRIM([1]raw_orders!E860))</f>
        <v>Arjun Bose</v>
      </c>
      <c r="F860" t="str">
        <f>PROPER(TRIM([1]raw_orders!F860))</f>
        <v>Consumer</v>
      </c>
      <c r="G860" t="str">
        <f>IF('[1]Cleaned Text Field'!G860="","Unknown",'[1]Cleaned Text Field'!G860)</f>
        <v>East</v>
      </c>
      <c r="H860" t="str">
        <f>PROPER(TRIM([1]raw_orders!H860))</f>
        <v>Odisha</v>
      </c>
      <c r="I860" t="str">
        <f>PROPER(TRIM([1]raw_orders!I860))</f>
        <v>Bhubaneswar</v>
      </c>
      <c r="J860" t="str">
        <f>PROPER(TRIM([1]raw_orders!J860))</f>
        <v>Technology</v>
      </c>
      <c r="K860" t="str">
        <f>PROPER(TRIM([1]raw_orders!K860))</f>
        <v>Accessories</v>
      </c>
      <c r="L860" t="s">
        <v>2585</v>
      </c>
      <c r="M860" t="str">
        <f>IF('[1]Cleaned Text Field'!M860="","Unknown",'[1]Cleaned Text Field'!M860)</f>
        <v>Second Class</v>
      </c>
      <c r="N860">
        <f>IF('[1]Cleaned Text Field'!N860="",0,'[1]Cleaned Text Field'!N860)</f>
        <v>4</v>
      </c>
      <c r="O860">
        <v>2904.86</v>
      </c>
      <c r="P860" s="5">
        <f>IF('[1]Cleaned Text Field'!P860="",0,'[1]Cleaned Text Field'!P860)</f>
        <v>0</v>
      </c>
      <c r="Q860">
        <v>11619.44</v>
      </c>
      <c r="R860">
        <v>7184.32</v>
      </c>
      <c r="S860">
        <v>4494.6400000000003</v>
      </c>
      <c r="T860" t="str">
        <f>PROPER(TRIM([1]raw_orders!T860))</f>
        <v>Paid</v>
      </c>
      <c r="U860" t="str">
        <f>PROPER(TRIM([1]raw_orders!U860))</f>
        <v>Completed</v>
      </c>
      <c r="V860" s="6">
        <f t="shared" si="104"/>
        <v>0.38682070736627583</v>
      </c>
      <c r="W860" t="str">
        <f t="shared" si="105"/>
        <v>May</v>
      </c>
      <c r="X860">
        <f t="shared" si="106"/>
        <v>2024</v>
      </c>
      <c r="Y860">
        <f t="shared" si="107"/>
        <v>7</v>
      </c>
      <c r="Z860" s="7">
        <f t="shared" si="108"/>
        <v>0</v>
      </c>
      <c r="AA860">
        <f t="shared" si="109"/>
        <v>11619.44</v>
      </c>
      <c r="AB860">
        <f t="shared" si="110"/>
        <v>4435.1200000000008</v>
      </c>
      <c r="AC860" t="str">
        <f t="shared" si="111"/>
        <v>Clean</v>
      </c>
    </row>
    <row r="861" spans="1:29">
      <c r="A861" t="s">
        <v>2586</v>
      </c>
      <c r="B861" s="4">
        <v>45592</v>
      </c>
      <c r="C861" s="4">
        <v>45597</v>
      </c>
      <c r="D861" t="s">
        <v>2587</v>
      </c>
      <c r="E861" t="str">
        <f>PROPER(TRIM([1]raw_orders!E861))</f>
        <v>Aditi Sen</v>
      </c>
      <c r="F861" t="str">
        <f>PROPER(TRIM([1]raw_orders!F861))</f>
        <v>Corporate</v>
      </c>
      <c r="G861" t="str">
        <f>IF('[1]Cleaned Text Field'!G861="","Unknown",'[1]Cleaned Text Field'!G861)</f>
        <v>South</v>
      </c>
      <c r="H861" t="str">
        <f>PROPER(TRIM([1]raw_orders!H861))</f>
        <v>Tamil Nadu</v>
      </c>
      <c r="I861" t="str">
        <f>PROPER(TRIM([1]raw_orders!I861))</f>
        <v>Chennai</v>
      </c>
      <c r="J861" t="str">
        <f>PROPER(TRIM([1]raw_orders!J861))</f>
        <v>Technology</v>
      </c>
      <c r="K861" t="str">
        <f>PROPER(TRIM([1]raw_orders!K861))</f>
        <v>Phones</v>
      </c>
      <c r="L861" t="s">
        <v>2588</v>
      </c>
      <c r="M861" t="str">
        <f>IF('[1]Cleaned Text Field'!M861="","Unknown",'[1]Cleaned Text Field'!M861)</f>
        <v>Standard Class</v>
      </c>
      <c r="N861">
        <f>IF('[1]Cleaned Text Field'!N861="",0,'[1]Cleaned Text Field'!N861)</f>
        <v>6</v>
      </c>
      <c r="O861">
        <v>4399.2</v>
      </c>
      <c r="P861" s="5">
        <f>IF('[1]Cleaned Text Field'!P861="",0,'[1]Cleaned Text Field'!P861)</f>
        <v>0.05</v>
      </c>
      <c r="Q861">
        <v>25075.439999999999</v>
      </c>
      <c r="R861">
        <v>16282.74</v>
      </c>
      <c r="S861">
        <v>8792.7000000000007</v>
      </c>
      <c r="T861" t="str">
        <f>PROPER(TRIM([1]raw_orders!T861))</f>
        <v>Paid</v>
      </c>
      <c r="U861" t="str">
        <f>PROPER(TRIM([1]raw_orders!U861))</f>
        <v>Completed</v>
      </c>
      <c r="V861" s="6">
        <f t="shared" si="104"/>
        <v>0.35064987892535487</v>
      </c>
      <c r="W861" t="str">
        <f t="shared" si="105"/>
        <v>October</v>
      </c>
      <c r="X861">
        <f t="shared" si="106"/>
        <v>2024</v>
      </c>
      <c r="Y861">
        <f t="shared" si="107"/>
        <v>5</v>
      </c>
      <c r="Z861" s="7">
        <f t="shared" si="108"/>
        <v>0.05</v>
      </c>
      <c r="AA861">
        <f t="shared" si="109"/>
        <v>25075.439999999995</v>
      </c>
      <c r="AB861">
        <f t="shared" si="110"/>
        <v>8792.6999999999989</v>
      </c>
      <c r="AC861" t="str">
        <f t="shared" si="111"/>
        <v>Clean</v>
      </c>
    </row>
    <row r="862" spans="1:29">
      <c r="A862" t="s">
        <v>2589</v>
      </c>
      <c r="B862" s="4">
        <v>45324</v>
      </c>
      <c r="C862" s="4">
        <v>45326</v>
      </c>
      <c r="D862" t="s">
        <v>2590</v>
      </c>
      <c r="E862" t="str">
        <f>PROPER(TRIM([1]raw_orders!E862))</f>
        <v>Vikram Iyer</v>
      </c>
      <c r="F862" t="str">
        <f>PROPER(TRIM([1]raw_orders!F862))</f>
        <v>Home Office</v>
      </c>
      <c r="G862" t="str">
        <f>IF('[1]Cleaned Text Field'!G862="","Unknown",'[1]Cleaned Text Field'!G862)</f>
        <v>North</v>
      </c>
      <c r="H862" t="str">
        <f>PROPER(TRIM([1]raw_orders!H862))</f>
        <v>Uttar Pradesh</v>
      </c>
      <c r="I862" t="str">
        <f>PROPER(TRIM([1]raw_orders!I862))</f>
        <v>Noida</v>
      </c>
      <c r="J862" t="str">
        <f>PROPER(TRIM([1]raw_orders!J862))</f>
        <v>Office Supplies</v>
      </c>
      <c r="K862" t="str">
        <f>PROPER(TRIM([1]raw_orders!K862))</f>
        <v>Storage</v>
      </c>
      <c r="L862" t="s">
        <v>2591</v>
      </c>
      <c r="M862" t="str">
        <f>IF('[1]Cleaned Text Field'!M862="","Unknown",'[1]Cleaned Text Field'!M862)</f>
        <v>Second Class</v>
      </c>
      <c r="N862">
        <f>IF('[1]Cleaned Text Field'!N862="",0,'[1]Cleaned Text Field'!N862)</f>
        <v>1</v>
      </c>
      <c r="O862">
        <v>4397.32</v>
      </c>
      <c r="P862" s="5">
        <f>IF('[1]Cleaned Text Field'!P862="",0,'[1]Cleaned Text Field'!P862)</f>
        <v>0.05</v>
      </c>
      <c r="Q862">
        <v>4177.45</v>
      </c>
      <c r="R862">
        <v>2299.5</v>
      </c>
      <c r="S862">
        <v>1877.95</v>
      </c>
      <c r="T862" t="str">
        <f>PROPER(TRIM([1]raw_orders!T862))</f>
        <v>Paid</v>
      </c>
      <c r="U862" t="str">
        <f>PROPER(TRIM([1]raw_orders!U862))</f>
        <v>Completed</v>
      </c>
      <c r="V862" s="6">
        <f t="shared" si="104"/>
        <v>0.44954457863050429</v>
      </c>
      <c r="W862" t="str">
        <f t="shared" si="105"/>
        <v>February</v>
      </c>
      <c r="X862">
        <f t="shared" si="106"/>
        <v>2024</v>
      </c>
      <c r="Y862">
        <f t="shared" si="107"/>
        <v>2</v>
      </c>
      <c r="Z862" s="7">
        <f t="shared" si="108"/>
        <v>0.05</v>
      </c>
      <c r="AA862">
        <f t="shared" si="109"/>
        <v>4177.4539999999997</v>
      </c>
      <c r="AB862">
        <f t="shared" si="110"/>
        <v>1877.9499999999998</v>
      </c>
      <c r="AC862" t="str">
        <f t="shared" si="111"/>
        <v>Clean</v>
      </c>
    </row>
    <row r="863" spans="1:29">
      <c r="A863" t="s">
        <v>2592</v>
      </c>
      <c r="B863" s="4">
        <v>45724</v>
      </c>
      <c r="C863" s="4">
        <v>45725</v>
      </c>
      <c r="D863" t="s">
        <v>2593</v>
      </c>
      <c r="E863" t="str">
        <f>PROPER(TRIM([1]raw_orders!E863))</f>
        <v>Priya Menon</v>
      </c>
      <c r="F863" t="str">
        <f>PROPER(TRIM([1]raw_orders!F863))</f>
        <v>Home Office</v>
      </c>
      <c r="G863" t="str">
        <f>IF('[1]Cleaned Text Field'!G863="","Unknown",'[1]Cleaned Text Field'!G863)</f>
        <v>North</v>
      </c>
      <c r="H863" t="str">
        <f>PROPER(TRIM([1]raw_orders!H863))</f>
        <v>Delhi</v>
      </c>
      <c r="I863" t="str">
        <f>PROPER(TRIM([1]raw_orders!I863))</f>
        <v>New Delhi</v>
      </c>
      <c r="J863" t="str">
        <f>PROPER(TRIM([1]raw_orders!J863))</f>
        <v>Furniture</v>
      </c>
      <c r="K863" t="str">
        <f>PROPER(TRIM([1]raw_orders!K863))</f>
        <v>Furnishings</v>
      </c>
      <c r="L863" t="s">
        <v>2594</v>
      </c>
      <c r="M863" t="str">
        <f>IF('[1]Cleaned Text Field'!M863="","Unknown",'[1]Cleaned Text Field'!M863)</f>
        <v>Same Day</v>
      </c>
      <c r="N863">
        <f>IF('[1]Cleaned Text Field'!N863="",0,'[1]Cleaned Text Field'!N863)</f>
        <v>4</v>
      </c>
      <c r="O863">
        <v>3405.68</v>
      </c>
      <c r="P863" s="5">
        <f>IF('[1]Cleaned Text Field'!P863="",0,'[1]Cleaned Text Field'!P863)</f>
        <v>0.2</v>
      </c>
      <c r="Q863">
        <v>10898.18</v>
      </c>
      <c r="R863">
        <v>6231.41</v>
      </c>
      <c r="S863">
        <v>4666.7700000000004</v>
      </c>
      <c r="T863" t="str">
        <f>PROPER(TRIM([1]raw_orders!T863))</f>
        <v>Paid</v>
      </c>
      <c r="U863" t="str">
        <f>PROPER(TRIM([1]raw_orders!U863))</f>
        <v>Completed</v>
      </c>
      <c r="V863" s="6">
        <f t="shared" si="104"/>
        <v>0.42821553690616232</v>
      </c>
      <c r="W863" t="str">
        <f t="shared" si="105"/>
        <v>March</v>
      </c>
      <c r="X863">
        <f t="shared" si="106"/>
        <v>2025</v>
      </c>
      <c r="Y863">
        <f t="shared" si="107"/>
        <v>1</v>
      </c>
      <c r="Z863" s="7">
        <f t="shared" si="108"/>
        <v>0.2</v>
      </c>
      <c r="AA863">
        <f t="shared" si="109"/>
        <v>10898.175999999999</v>
      </c>
      <c r="AB863">
        <f t="shared" si="110"/>
        <v>4666.7700000000004</v>
      </c>
      <c r="AC863" t="str">
        <f t="shared" si="111"/>
        <v>Clean</v>
      </c>
    </row>
    <row r="864" spans="1:29">
      <c r="A864" t="s">
        <v>2595</v>
      </c>
      <c r="B864" s="4">
        <v>45742</v>
      </c>
      <c r="C864" s="4">
        <v>45747</v>
      </c>
      <c r="D864" t="s">
        <v>2596</v>
      </c>
      <c r="E864" t="str">
        <f>PROPER(TRIM([1]raw_orders!E864))</f>
        <v>Priya Menon</v>
      </c>
      <c r="F864" t="str">
        <f>PROPER(TRIM([1]raw_orders!F864))</f>
        <v>Small Business</v>
      </c>
      <c r="G864" t="str">
        <f>IF('[1]Cleaned Text Field'!G864="","Unknown",'[1]Cleaned Text Field'!G864)</f>
        <v>East</v>
      </c>
      <c r="H864" t="str">
        <f>PROPER(TRIM([1]raw_orders!H864))</f>
        <v>Jharkhand</v>
      </c>
      <c r="I864" t="str">
        <f>PROPER(TRIM([1]raw_orders!I864))</f>
        <v>Ranchi</v>
      </c>
      <c r="J864" t="str">
        <f>PROPER(TRIM([1]raw_orders!J864))</f>
        <v>Office Supplies</v>
      </c>
      <c r="K864" t="str">
        <f>PROPER(TRIM([1]raw_orders!K864))</f>
        <v>Binders</v>
      </c>
      <c r="L864" t="s">
        <v>2597</v>
      </c>
      <c r="M864" t="str">
        <f>IF('[1]Cleaned Text Field'!M864="","Unknown",'[1]Cleaned Text Field'!M864)</f>
        <v>First Class</v>
      </c>
      <c r="N864">
        <f>IF('[1]Cleaned Text Field'!N864="",0,'[1]Cleaned Text Field'!N864)</f>
        <v>5</v>
      </c>
      <c r="O864">
        <v>1395.14</v>
      </c>
      <c r="P864" s="5">
        <f>IF('[1]Cleaned Text Field'!P864="",0,'[1]Cleaned Text Field'!P864)</f>
        <v>0</v>
      </c>
      <c r="Q864">
        <v>6975.7</v>
      </c>
      <c r="R864">
        <v>4797.88</v>
      </c>
      <c r="S864">
        <v>2177.8200000000002</v>
      </c>
      <c r="T864" t="str">
        <f>PROPER(TRIM([1]raw_orders!T864))</f>
        <v>Paid</v>
      </c>
      <c r="U864" t="str">
        <f>PROPER(TRIM([1]raw_orders!U864))</f>
        <v>Cancelled</v>
      </c>
      <c r="V864" s="6">
        <f t="shared" si="104"/>
        <v>0.31220092607193545</v>
      </c>
      <c r="W864" t="str">
        <f t="shared" si="105"/>
        <v>March</v>
      </c>
      <c r="X864">
        <f t="shared" si="106"/>
        <v>2025</v>
      </c>
      <c r="Y864">
        <f t="shared" si="107"/>
        <v>5</v>
      </c>
      <c r="Z864" s="7">
        <f t="shared" si="108"/>
        <v>0</v>
      </c>
      <c r="AA864">
        <f t="shared" si="109"/>
        <v>6975.7000000000007</v>
      </c>
      <c r="AB864">
        <f t="shared" si="110"/>
        <v>2177.8199999999997</v>
      </c>
      <c r="AC864" t="str">
        <f t="shared" si="111"/>
        <v>Clean</v>
      </c>
    </row>
    <row r="865" spans="1:29">
      <c r="A865" t="s">
        <v>2598</v>
      </c>
      <c r="B865" s="4">
        <v>45906</v>
      </c>
      <c r="C865" s="4">
        <v>45908</v>
      </c>
      <c r="D865" t="s">
        <v>2599</v>
      </c>
      <c r="E865" t="str">
        <f>PROPER(TRIM([1]raw_orders!E865))</f>
        <v>Aarav Sharma</v>
      </c>
      <c r="F865" t="str">
        <f>PROPER(TRIM([1]raw_orders!F865))</f>
        <v>Home Office</v>
      </c>
      <c r="G865" t="str">
        <f>IF('[1]Cleaned Text Field'!G865="","Unknown",'[1]Cleaned Text Field'!G865)</f>
        <v>West</v>
      </c>
      <c r="H865" t="str">
        <f>PROPER(TRIM([1]raw_orders!H865))</f>
        <v>Madhya Pradesh</v>
      </c>
      <c r="I865" t="str">
        <f>PROPER(TRIM([1]raw_orders!I865))</f>
        <v>Indore</v>
      </c>
      <c r="J865" t="str">
        <f>PROPER(TRIM([1]raw_orders!J865))</f>
        <v>Furniture</v>
      </c>
      <c r="K865" t="str">
        <f>PROPER(TRIM([1]raw_orders!K865))</f>
        <v>Furnishings</v>
      </c>
      <c r="L865" t="s">
        <v>2600</v>
      </c>
      <c r="M865" t="str">
        <f>IF('[1]Cleaned Text Field'!M865="","Unknown",'[1]Cleaned Text Field'!M865)</f>
        <v>Same Day</v>
      </c>
      <c r="N865">
        <f>IF('[1]Cleaned Text Field'!N865="",0,'[1]Cleaned Text Field'!N865)</f>
        <v>3</v>
      </c>
      <c r="O865">
        <v>2937.23</v>
      </c>
      <c r="P865" s="5">
        <f>IF('[1]Cleaned Text Field'!P865="",0,'[1]Cleaned Text Field'!P865)</f>
        <v>0</v>
      </c>
      <c r="Q865">
        <v>8811.69</v>
      </c>
      <c r="R865">
        <v>6765.91</v>
      </c>
      <c r="S865">
        <v>2045.78</v>
      </c>
      <c r="T865" t="str">
        <f>PROPER(TRIM([1]raw_orders!T865))</f>
        <v>Paid</v>
      </c>
      <c r="U865" t="str">
        <f>PROPER(TRIM([1]raw_orders!U865))</f>
        <v>Completed</v>
      </c>
      <c r="V865" s="6">
        <f t="shared" si="104"/>
        <v>0.23216658779416888</v>
      </c>
      <c r="W865" t="str">
        <f t="shared" si="105"/>
        <v>September</v>
      </c>
      <c r="X865">
        <f t="shared" si="106"/>
        <v>2025</v>
      </c>
      <c r="Y865">
        <f t="shared" si="107"/>
        <v>2</v>
      </c>
      <c r="Z865" s="7">
        <f t="shared" si="108"/>
        <v>0</v>
      </c>
      <c r="AA865">
        <f t="shared" si="109"/>
        <v>8811.69</v>
      </c>
      <c r="AB865">
        <f t="shared" si="110"/>
        <v>2045.7800000000007</v>
      </c>
      <c r="AC865" t="str">
        <f t="shared" si="111"/>
        <v>Clean</v>
      </c>
    </row>
    <row r="866" spans="1:29">
      <c r="A866" t="s">
        <v>2601</v>
      </c>
      <c r="B866" s="4">
        <v>45902</v>
      </c>
      <c r="C866" s="4">
        <v>45786</v>
      </c>
      <c r="D866" t="s">
        <v>2602</v>
      </c>
      <c r="E866" t="str">
        <f>PROPER(TRIM([1]raw_orders!E866))</f>
        <v>Vikram Iyer</v>
      </c>
      <c r="F866" t="str">
        <f>PROPER(TRIM([1]raw_orders!F866))</f>
        <v>Consumer</v>
      </c>
      <c r="G866" t="str">
        <f>IF('[1]Cleaned Text Field'!G866="","Unknown",'[1]Cleaned Text Field'!G866)</f>
        <v>South</v>
      </c>
      <c r="H866" t="str">
        <f>PROPER(TRIM([1]raw_orders!H866))</f>
        <v>Tamil Nadu</v>
      </c>
      <c r="I866" t="str">
        <f>PROPER(TRIM([1]raw_orders!I866))</f>
        <v>Chennai</v>
      </c>
      <c r="J866" t="str">
        <f>PROPER(TRIM([1]raw_orders!J866))</f>
        <v>Technology</v>
      </c>
      <c r="K866" t="str">
        <f>PROPER(TRIM([1]raw_orders!K866))</f>
        <v>Phones</v>
      </c>
      <c r="L866" t="s">
        <v>2603</v>
      </c>
      <c r="M866" t="str">
        <f>IF('[1]Cleaned Text Field'!M866="","Unknown",'[1]Cleaned Text Field'!M866)</f>
        <v>First Class</v>
      </c>
      <c r="N866">
        <f>IF('[1]Cleaned Text Field'!N866="",0,'[1]Cleaned Text Field'!N866)</f>
        <v>5</v>
      </c>
      <c r="O866">
        <v>3406.87</v>
      </c>
      <c r="P866" s="5">
        <f>IF('[1]Cleaned Text Field'!P866="",0,'[1]Cleaned Text Field'!P866)</f>
        <v>0</v>
      </c>
      <c r="Q866">
        <v>17034.349999999999</v>
      </c>
      <c r="R866">
        <v>14631.36</v>
      </c>
      <c r="S866">
        <v>2402.9899999999998</v>
      </c>
      <c r="T866" t="str">
        <f>PROPER(TRIM([1]raw_orders!T866))</f>
        <v>Paid</v>
      </c>
      <c r="U866" t="str">
        <f>PROPER(TRIM([1]raw_orders!U866))</f>
        <v>Completed</v>
      </c>
      <c r="V866" s="6">
        <f t="shared" si="104"/>
        <v>0.14106731398615152</v>
      </c>
      <c r="W866" t="str">
        <f t="shared" si="105"/>
        <v>September</v>
      </c>
      <c r="X866">
        <f t="shared" si="106"/>
        <v>2025</v>
      </c>
      <c r="Y866">
        <f t="shared" si="107"/>
        <v>-116</v>
      </c>
      <c r="Z866" s="7">
        <f t="shared" si="108"/>
        <v>0</v>
      </c>
      <c r="AA866">
        <f t="shared" si="109"/>
        <v>17034.349999999999</v>
      </c>
      <c r="AB866">
        <f t="shared" si="110"/>
        <v>2402.989999999998</v>
      </c>
      <c r="AC866" t="str">
        <f t="shared" si="111"/>
        <v>Warning</v>
      </c>
    </row>
    <row r="867" spans="1:29">
      <c r="A867" t="s">
        <v>2604</v>
      </c>
      <c r="B867" s="4">
        <v>45810</v>
      </c>
      <c r="C867" s="4">
        <v>45702</v>
      </c>
      <c r="D867" t="s">
        <v>2605</v>
      </c>
      <c r="E867" t="str">
        <f>PROPER(TRIM([1]raw_orders!E867))</f>
        <v>Kabir Singh</v>
      </c>
      <c r="F867" t="str">
        <f>PROPER(TRIM([1]raw_orders!F867))</f>
        <v>Consumer</v>
      </c>
      <c r="G867" t="str">
        <f>IF('[1]Cleaned Text Field'!G867="","Unknown",'[1]Cleaned Text Field'!G867)</f>
        <v>West</v>
      </c>
      <c r="H867" t="str">
        <f>PROPER(TRIM([1]raw_orders!H867))</f>
        <v>Maharashtra</v>
      </c>
      <c r="I867" t="str">
        <f>PROPER(TRIM([1]raw_orders!I867))</f>
        <v>Mumbai</v>
      </c>
      <c r="J867" t="str">
        <f>PROPER(TRIM([1]raw_orders!J867))</f>
        <v>Office Supplies</v>
      </c>
      <c r="K867" t="str">
        <f>PROPER(TRIM([1]raw_orders!K867))</f>
        <v>Labels</v>
      </c>
      <c r="L867" t="s">
        <v>2606</v>
      </c>
      <c r="M867" t="str">
        <f>IF('[1]Cleaned Text Field'!M867="","Unknown",'[1]Cleaned Text Field'!M867)</f>
        <v>Second Class</v>
      </c>
      <c r="N867">
        <f>IF('[1]Cleaned Text Field'!N867="",0,'[1]Cleaned Text Field'!N867)</f>
        <v>2</v>
      </c>
      <c r="O867">
        <v>3992.04</v>
      </c>
      <c r="P867" s="5">
        <f>IF('[1]Cleaned Text Field'!P867="",0,'[1]Cleaned Text Field'!P867)</f>
        <v>0</v>
      </c>
      <c r="Q867">
        <v>7984.08</v>
      </c>
      <c r="R867">
        <v>5658.05</v>
      </c>
      <c r="S867">
        <v>2326.0300000000002</v>
      </c>
      <c r="T867" t="str">
        <f>PROPER(TRIM([1]raw_orders!T867))</f>
        <v>Paid</v>
      </c>
      <c r="U867" t="str">
        <f>PROPER(TRIM([1]raw_orders!U867))</f>
        <v>Completed</v>
      </c>
      <c r="V867" s="6">
        <f t="shared" si="104"/>
        <v>0.29133350367230793</v>
      </c>
      <c r="W867" t="str">
        <f t="shared" si="105"/>
        <v>June</v>
      </c>
      <c r="X867">
        <f t="shared" si="106"/>
        <v>2025</v>
      </c>
      <c r="Y867">
        <f t="shared" si="107"/>
        <v>-108</v>
      </c>
      <c r="Z867" s="7">
        <f t="shared" si="108"/>
        <v>0</v>
      </c>
      <c r="AA867">
        <f t="shared" si="109"/>
        <v>7984.08</v>
      </c>
      <c r="AB867">
        <f t="shared" si="110"/>
        <v>2326.0299999999997</v>
      </c>
      <c r="AC867" t="str">
        <f t="shared" si="111"/>
        <v>Warning</v>
      </c>
    </row>
    <row r="868" spans="1:29">
      <c r="A868" t="s">
        <v>2607</v>
      </c>
      <c r="B868" s="4">
        <v>45714</v>
      </c>
      <c r="C868" s="4">
        <v>45722</v>
      </c>
      <c r="D868" t="s">
        <v>2608</v>
      </c>
      <c r="E868" t="str">
        <f>PROPER(TRIM([1]raw_orders!E868))</f>
        <v>Priya Menon</v>
      </c>
      <c r="F868" t="str">
        <f>PROPER(TRIM([1]raw_orders!F868))</f>
        <v>Consumer</v>
      </c>
      <c r="G868" t="str">
        <f>IF('[1]Cleaned Text Field'!G868="","Unknown",'[1]Cleaned Text Field'!G868)</f>
        <v>East</v>
      </c>
      <c r="H868" t="str">
        <f>PROPER(TRIM([1]raw_orders!H868))</f>
        <v>Bihar</v>
      </c>
      <c r="I868" t="str">
        <f>PROPER(TRIM([1]raw_orders!I868))</f>
        <v>Patna</v>
      </c>
      <c r="J868" t="str">
        <f>PROPER(TRIM([1]raw_orders!J868))</f>
        <v>Furniture</v>
      </c>
      <c r="K868" t="str">
        <f>PROPER(TRIM([1]raw_orders!K868))</f>
        <v>Bookcases</v>
      </c>
      <c r="L868" t="s">
        <v>2609</v>
      </c>
      <c r="M868" t="str">
        <f>IF('[1]Cleaned Text Field'!M868="","Unknown",'[1]Cleaned Text Field'!M868)</f>
        <v>First Class</v>
      </c>
      <c r="N868">
        <f>IF('[1]Cleaned Text Field'!N868="",0,'[1]Cleaned Text Field'!N868)</f>
        <v>9</v>
      </c>
      <c r="O868">
        <v>3043.37</v>
      </c>
      <c r="P868" s="5">
        <f>IF('[1]Cleaned Text Field'!P868="",0,'[1]Cleaned Text Field'!P868)</f>
        <v>0.2</v>
      </c>
      <c r="Q868">
        <v>21912.26</v>
      </c>
      <c r="R868">
        <v>16367.78</v>
      </c>
      <c r="S868">
        <v>5544.48</v>
      </c>
      <c r="T868" t="str">
        <f>PROPER(TRIM([1]raw_orders!T868))</f>
        <v>Pending</v>
      </c>
      <c r="U868" t="str">
        <f>PROPER(TRIM([1]raw_orders!U868))</f>
        <v>Cancelled</v>
      </c>
      <c r="V868" s="6">
        <f t="shared" si="104"/>
        <v>0.25303095162251632</v>
      </c>
      <c r="W868" t="str">
        <f t="shared" si="105"/>
        <v>February</v>
      </c>
      <c r="X868">
        <f t="shared" si="106"/>
        <v>2025</v>
      </c>
      <c r="Y868">
        <f t="shared" si="107"/>
        <v>8</v>
      </c>
      <c r="Z868" s="7">
        <f t="shared" si="108"/>
        <v>0.2</v>
      </c>
      <c r="AA868">
        <f t="shared" si="109"/>
        <v>21912.263999999999</v>
      </c>
      <c r="AB868">
        <f t="shared" si="110"/>
        <v>5544.4799999999977</v>
      </c>
      <c r="AC868" t="str">
        <f t="shared" si="111"/>
        <v>Clean</v>
      </c>
    </row>
    <row r="869" spans="1:29">
      <c r="A869" t="s">
        <v>2610</v>
      </c>
      <c r="B869" s="4">
        <v>45617</v>
      </c>
      <c r="C869" s="4">
        <v>45618</v>
      </c>
      <c r="D869" t="s">
        <v>2611</v>
      </c>
      <c r="E869" t="str">
        <f>PROPER(TRIM([1]raw_orders!E869))</f>
        <v>Rahul Verma</v>
      </c>
      <c r="F869" t="str">
        <f>PROPER(TRIM([1]raw_orders!F869))</f>
        <v>Home Office</v>
      </c>
      <c r="G869" t="str">
        <f>IF('[1]Cleaned Text Field'!G869="","Unknown",'[1]Cleaned Text Field'!G869)</f>
        <v>South</v>
      </c>
      <c r="H869" t="str">
        <f>PROPER(TRIM([1]raw_orders!H869))</f>
        <v>Andhra Pradesh</v>
      </c>
      <c r="I869" t="str">
        <f>PROPER(TRIM([1]raw_orders!I869))</f>
        <v>Vijayawada</v>
      </c>
      <c r="J869" t="str">
        <f>PROPER(TRIM([1]raw_orders!J869))</f>
        <v>Technology</v>
      </c>
      <c r="K869" t="str">
        <f>PROPER(TRIM([1]raw_orders!K869))</f>
        <v>Accessories</v>
      </c>
      <c r="L869" t="s">
        <v>2612</v>
      </c>
      <c r="M869" t="str">
        <f>IF('[1]Cleaned Text Field'!M869="","Unknown",'[1]Cleaned Text Field'!M869)</f>
        <v>Same Day</v>
      </c>
      <c r="N869">
        <f>IF('[1]Cleaned Text Field'!N869="",0,'[1]Cleaned Text Field'!N869)</f>
        <v>6</v>
      </c>
      <c r="O869">
        <v>1043.49</v>
      </c>
      <c r="P869" s="5">
        <f>IF('[1]Cleaned Text Field'!P869="",0,'[1]Cleaned Text Field'!P869)</f>
        <v>0.25</v>
      </c>
      <c r="Q869">
        <v>4695.7</v>
      </c>
      <c r="R869">
        <v>3871.69</v>
      </c>
      <c r="S869">
        <v>824.01</v>
      </c>
      <c r="T869" t="str">
        <f>PROPER(TRIM([1]raw_orders!T869))</f>
        <v>Failed</v>
      </c>
      <c r="U869" t="str">
        <f>PROPER(TRIM([1]raw_orders!U869))</f>
        <v>Cancelled</v>
      </c>
      <c r="V869" s="6">
        <f t="shared" si="104"/>
        <v>0.17548182379623911</v>
      </c>
      <c r="W869" t="str">
        <f t="shared" si="105"/>
        <v>November</v>
      </c>
      <c r="X869">
        <f t="shared" si="106"/>
        <v>2024</v>
      </c>
      <c r="Y869">
        <f t="shared" si="107"/>
        <v>1</v>
      </c>
      <c r="Z869" s="7">
        <f t="shared" si="108"/>
        <v>0.25</v>
      </c>
      <c r="AA869">
        <f t="shared" si="109"/>
        <v>4695.7049999999999</v>
      </c>
      <c r="AB869">
        <f t="shared" si="110"/>
        <v>824.00999999999976</v>
      </c>
      <c r="AC869" t="str">
        <f t="shared" si="111"/>
        <v>Clean</v>
      </c>
    </row>
    <row r="870" spans="1:29">
      <c r="A870" t="s">
        <v>2613</v>
      </c>
      <c r="B870" s="4">
        <v>45965</v>
      </c>
      <c r="C870" s="4">
        <v>45762</v>
      </c>
      <c r="D870" t="s">
        <v>2614</v>
      </c>
      <c r="E870" t="str">
        <f>PROPER(TRIM([1]raw_orders!E870))</f>
        <v>Vikram Iyer</v>
      </c>
      <c r="F870" t="str">
        <f>PROPER(TRIM([1]raw_orders!F870))</f>
        <v>Home Office</v>
      </c>
      <c r="G870" t="str">
        <f>IF('[1]Cleaned Text Field'!G870="","Unknown",'[1]Cleaned Text Field'!G870)</f>
        <v>South</v>
      </c>
      <c r="H870" t="str">
        <f>PROPER(TRIM([1]raw_orders!H870))</f>
        <v>Karnataka</v>
      </c>
      <c r="I870" t="str">
        <f>PROPER(TRIM([1]raw_orders!I870))</f>
        <v>Bengaluru</v>
      </c>
      <c r="J870" t="str">
        <f>PROPER(TRIM([1]raw_orders!J870))</f>
        <v>Office Supplies</v>
      </c>
      <c r="K870" t="str">
        <f>PROPER(TRIM([1]raw_orders!K870))</f>
        <v>Storage</v>
      </c>
      <c r="L870" t="s">
        <v>2615</v>
      </c>
      <c r="M870" t="str">
        <f>IF('[1]Cleaned Text Field'!M870="","Unknown",'[1]Cleaned Text Field'!M870)</f>
        <v>Same Day</v>
      </c>
      <c r="N870">
        <f>IF('[1]Cleaned Text Field'!N870="",0,'[1]Cleaned Text Field'!N870)</f>
        <v>9</v>
      </c>
      <c r="O870">
        <v>224.94</v>
      </c>
      <c r="P870" s="5">
        <f>IF('[1]Cleaned Text Field'!P870="",0,'[1]Cleaned Text Field'!P870)</f>
        <v>0.05</v>
      </c>
      <c r="Q870">
        <v>1923.24</v>
      </c>
      <c r="R870">
        <v>1093.6600000000001</v>
      </c>
      <c r="S870">
        <v>829.58</v>
      </c>
      <c r="T870" t="str">
        <f>PROPER(TRIM([1]raw_orders!T870))</f>
        <v>Paid</v>
      </c>
      <c r="U870" t="str">
        <f>PROPER(TRIM([1]raw_orders!U870))</f>
        <v>Completed</v>
      </c>
      <c r="V870" s="6">
        <f t="shared" si="104"/>
        <v>0.43134502194213931</v>
      </c>
      <c r="W870" t="str">
        <f t="shared" si="105"/>
        <v>November</v>
      </c>
      <c r="X870">
        <f t="shared" si="106"/>
        <v>2025</v>
      </c>
      <c r="Y870">
        <f t="shared" si="107"/>
        <v>-203</v>
      </c>
      <c r="Z870" s="7">
        <f t="shared" si="108"/>
        <v>0.05</v>
      </c>
      <c r="AA870">
        <f t="shared" si="109"/>
        <v>1923.2369999999999</v>
      </c>
      <c r="AB870">
        <f t="shared" si="110"/>
        <v>829.57999999999993</v>
      </c>
      <c r="AC870" t="str">
        <f t="shared" si="111"/>
        <v>Warning</v>
      </c>
    </row>
    <row r="871" spans="1:29">
      <c r="A871" t="s">
        <v>2616</v>
      </c>
      <c r="B871" s="4">
        <v>45722</v>
      </c>
      <c r="C871" s="4">
        <v>45841</v>
      </c>
      <c r="D871" t="s">
        <v>2617</v>
      </c>
      <c r="E871" t="str">
        <f>PROPER(TRIM([1]raw_orders!E871))</f>
        <v>Rohan Mehta</v>
      </c>
      <c r="F871" t="str">
        <f>PROPER(TRIM([1]raw_orders!F871))</f>
        <v>Home Office</v>
      </c>
      <c r="G871" t="str">
        <f>IF('[1]Cleaned Text Field'!G871="","Unknown",'[1]Cleaned Text Field'!G871)</f>
        <v>Unknown</v>
      </c>
      <c r="H871" t="str">
        <f>PROPER(TRIM([1]raw_orders!H871))</f>
        <v>Delhi</v>
      </c>
      <c r="I871" t="str">
        <f>PROPER(TRIM([1]raw_orders!I871))</f>
        <v>New Delhi</v>
      </c>
      <c r="J871" t="str">
        <f>PROPER(TRIM([1]raw_orders!J871))</f>
        <v>Furniture</v>
      </c>
      <c r="K871" t="str">
        <f>PROPER(TRIM([1]raw_orders!K871))</f>
        <v>Chairs</v>
      </c>
      <c r="L871" t="s">
        <v>1088</v>
      </c>
      <c r="M871" t="str">
        <f>IF('[1]Cleaned Text Field'!M871="","Unknown",'[1]Cleaned Text Field'!M871)</f>
        <v>Same Day</v>
      </c>
      <c r="N871">
        <f>IF('[1]Cleaned Text Field'!N871="",0,'[1]Cleaned Text Field'!N871)</f>
        <v>6</v>
      </c>
      <c r="O871">
        <v>796.65</v>
      </c>
      <c r="P871" s="5">
        <f>IF('[1]Cleaned Text Field'!P871="",0,'[1]Cleaned Text Field'!P871)</f>
        <v>0.1</v>
      </c>
      <c r="Q871">
        <v>4301.91</v>
      </c>
      <c r="R871">
        <v>2374.4</v>
      </c>
      <c r="S871">
        <v>1927.51</v>
      </c>
      <c r="T871" t="str">
        <f>PROPER(TRIM([1]raw_orders!T871))</f>
        <v>Paid</v>
      </c>
      <c r="U871" t="str">
        <f>PROPER(TRIM([1]raw_orders!U871))</f>
        <v>Completed</v>
      </c>
      <c r="V871" s="6">
        <f t="shared" si="104"/>
        <v>0.4480591179266884</v>
      </c>
      <c r="W871" t="str">
        <f t="shared" si="105"/>
        <v>March</v>
      </c>
      <c r="X871">
        <f t="shared" si="106"/>
        <v>2025</v>
      </c>
      <c r="Y871">
        <f t="shared" si="107"/>
        <v>119</v>
      </c>
      <c r="Z871" s="7">
        <f t="shared" si="108"/>
        <v>0.1</v>
      </c>
      <c r="AA871">
        <f t="shared" si="109"/>
        <v>4301.91</v>
      </c>
      <c r="AB871">
        <f t="shared" si="110"/>
        <v>1927.5099999999998</v>
      </c>
      <c r="AC871" t="str">
        <f t="shared" si="111"/>
        <v>Clean</v>
      </c>
    </row>
    <row r="872" spans="1:29">
      <c r="A872" t="s">
        <v>2618</v>
      </c>
      <c r="B872" s="4">
        <v>45814</v>
      </c>
      <c r="C872" s="4">
        <v>45815</v>
      </c>
      <c r="D872" t="s">
        <v>2619</v>
      </c>
      <c r="E872" t="str">
        <f>PROPER(TRIM([1]raw_orders!E872))</f>
        <v>Vikram Iyer</v>
      </c>
      <c r="F872" t="str">
        <f>PROPER(TRIM([1]raw_orders!F872))</f>
        <v>Corporate</v>
      </c>
      <c r="G872" t="str">
        <f>IF('[1]Cleaned Text Field'!G872="","Unknown",'[1]Cleaned Text Field'!G872)</f>
        <v>West</v>
      </c>
      <c r="H872" t="str">
        <f>PROPER(TRIM([1]raw_orders!H872))</f>
        <v>Goa</v>
      </c>
      <c r="I872" t="str">
        <f>PROPER(TRIM([1]raw_orders!I872))</f>
        <v>Panaji</v>
      </c>
      <c r="J872" t="str">
        <f>PROPER(TRIM([1]raw_orders!J872))</f>
        <v>Furniture</v>
      </c>
      <c r="K872" t="str">
        <f>PROPER(TRIM([1]raw_orders!K872))</f>
        <v>Tables</v>
      </c>
      <c r="L872" t="s">
        <v>2620</v>
      </c>
      <c r="M872" t="str">
        <f>IF('[1]Cleaned Text Field'!M872="","Unknown",'[1]Cleaned Text Field'!M872)</f>
        <v>Standard Class</v>
      </c>
      <c r="N872">
        <f>IF('[1]Cleaned Text Field'!N872="",0,'[1]Cleaned Text Field'!N872)</f>
        <v>9</v>
      </c>
      <c r="O872">
        <v>2932.92</v>
      </c>
      <c r="P872" s="5">
        <f>IF('[1]Cleaned Text Field'!P872="",0,'[1]Cleaned Text Field'!P872)</f>
        <v>0.15</v>
      </c>
      <c r="Q872">
        <v>22436.84</v>
      </c>
      <c r="R872">
        <v>17454.669999999998</v>
      </c>
      <c r="S872">
        <v>4982.17</v>
      </c>
      <c r="T872" t="str">
        <f>PROPER(TRIM([1]raw_orders!T872))</f>
        <v>Paid</v>
      </c>
      <c r="U872" t="str">
        <f>PROPER(TRIM([1]raw_orders!U872))</f>
        <v>Cancelled</v>
      </c>
      <c r="V872" s="6">
        <f t="shared" si="104"/>
        <v>0.22205310551753277</v>
      </c>
      <c r="W872" t="str">
        <f t="shared" si="105"/>
        <v>June</v>
      </c>
      <c r="X872">
        <f t="shared" si="106"/>
        <v>2025</v>
      </c>
      <c r="Y872">
        <f t="shared" si="107"/>
        <v>1</v>
      </c>
      <c r="Z872" s="7">
        <f t="shared" si="108"/>
        <v>0.15</v>
      </c>
      <c r="AA872">
        <f t="shared" si="109"/>
        <v>22436.838</v>
      </c>
      <c r="AB872">
        <f t="shared" si="110"/>
        <v>4982.1700000000019</v>
      </c>
      <c r="AC872" t="str">
        <f t="shared" si="111"/>
        <v>Clean</v>
      </c>
    </row>
    <row r="873" spans="1:29">
      <c r="A873" t="s">
        <v>2621</v>
      </c>
      <c r="B873" s="4">
        <v>45342</v>
      </c>
      <c r="C873" s="4">
        <v>45344</v>
      </c>
      <c r="D873" t="s">
        <v>2492</v>
      </c>
      <c r="E873" t="str">
        <f>PROPER(TRIM([1]raw_orders!E873))</f>
        <v>Neha Gupta</v>
      </c>
      <c r="F873" t="str">
        <f>PROPER(TRIM([1]raw_orders!F873))</f>
        <v>Small Business</v>
      </c>
      <c r="G873" t="str">
        <f>IF('[1]Cleaned Text Field'!G873="","Unknown",'[1]Cleaned Text Field'!G873)</f>
        <v>South</v>
      </c>
      <c r="H873" t="str">
        <f>PROPER(TRIM([1]raw_orders!H873))</f>
        <v>Telangana</v>
      </c>
      <c r="I873" t="str">
        <f>PROPER(TRIM([1]raw_orders!I873))</f>
        <v>Hyderabad</v>
      </c>
      <c r="J873" t="str">
        <f>PROPER(TRIM([1]raw_orders!J873))</f>
        <v>Technology</v>
      </c>
      <c r="K873" t="str">
        <f>PROPER(TRIM([1]raw_orders!K873))</f>
        <v>Accessories</v>
      </c>
      <c r="L873" t="s">
        <v>2622</v>
      </c>
      <c r="M873" t="str">
        <f>IF('[1]Cleaned Text Field'!M873="","Unknown",'[1]Cleaned Text Field'!M873)</f>
        <v>First Class</v>
      </c>
      <c r="N873">
        <f>IF('[1]Cleaned Text Field'!N873="",0,'[1]Cleaned Text Field'!N873)</f>
        <v>9</v>
      </c>
      <c r="O873">
        <v>2186.23</v>
      </c>
      <c r="P873" s="5">
        <f>IF('[1]Cleaned Text Field'!P873="",0,'[1]Cleaned Text Field'!P873)</f>
        <v>0</v>
      </c>
      <c r="Q873">
        <v>19676.07</v>
      </c>
      <c r="R873">
        <v>12458.62</v>
      </c>
      <c r="S873">
        <v>7217.45</v>
      </c>
      <c r="T873" t="str">
        <f>PROPER(TRIM([1]raw_orders!T873))</f>
        <v>Refunded</v>
      </c>
      <c r="U873" t="str">
        <f>PROPER(TRIM([1]raw_orders!U873))</f>
        <v>Cancelled</v>
      </c>
      <c r="V873" s="6">
        <f t="shared" si="104"/>
        <v>0.36681359641432459</v>
      </c>
      <c r="W873" t="str">
        <f t="shared" si="105"/>
        <v>February</v>
      </c>
      <c r="X873">
        <f t="shared" si="106"/>
        <v>2024</v>
      </c>
      <c r="Y873">
        <f t="shared" si="107"/>
        <v>2</v>
      </c>
      <c r="Z873" s="7">
        <f t="shared" si="108"/>
        <v>0</v>
      </c>
      <c r="AA873">
        <f t="shared" si="109"/>
        <v>19676.07</v>
      </c>
      <c r="AB873">
        <f t="shared" si="110"/>
        <v>7217.4499999999989</v>
      </c>
      <c r="AC873" t="str">
        <f t="shared" si="111"/>
        <v>Clean</v>
      </c>
    </row>
    <row r="874" spans="1:29">
      <c r="A874" t="s">
        <v>2623</v>
      </c>
      <c r="B874" s="4">
        <v>45597</v>
      </c>
      <c r="C874" s="4">
        <v>45598</v>
      </c>
      <c r="D874" t="s">
        <v>1901</v>
      </c>
      <c r="E874" t="str">
        <f>PROPER(TRIM([1]raw_orders!E874))</f>
        <v>Karan Malhotra</v>
      </c>
      <c r="F874" t="str">
        <f>PROPER(TRIM([1]raw_orders!F874))</f>
        <v>Corporate</v>
      </c>
      <c r="G874" t="str">
        <f>IF('[1]Cleaned Text Field'!G874="","Unknown",'[1]Cleaned Text Field'!G874)</f>
        <v>East</v>
      </c>
      <c r="H874" t="str">
        <f>PROPER(TRIM([1]raw_orders!H874))</f>
        <v>West Bengal</v>
      </c>
      <c r="I874" t="str">
        <f>PROPER(TRIM([1]raw_orders!I874))</f>
        <v>Kolkata</v>
      </c>
      <c r="J874" t="str">
        <f>PROPER(TRIM([1]raw_orders!J874))</f>
        <v>Furniture</v>
      </c>
      <c r="K874" t="str">
        <f>PROPER(TRIM([1]raw_orders!K874))</f>
        <v>Furnishings</v>
      </c>
      <c r="L874" t="s">
        <v>2624</v>
      </c>
      <c r="M874" t="str">
        <f>IF('[1]Cleaned Text Field'!M874="","Unknown",'[1]Cleaned Text Field'!M874)</f>
        <v>Standard Class</v>
      </c>
      <c r="N874">
        <f>IF('[1]Cleaned Text Field'!N874="",0,'[1]Cleaned Text Field'!N874)</f>
        <v>5</v>
      </c>
      <c r="O874">
        <v>2212.02</v>
      </c>
      <c r="P874" s="5">
        <f>IF('[1]Cleaned Text Field'!P874="",0,'[1]Cleaned Text Field'!P874)</f>
        <v>0.2</v>
      </c>
      <c r="Q874">
        <v>8848.08</v>
      </c>
      <c r="R874">
        <v>5691.56</v>
      </c>
      <c r="S874">
        <v>3156.52</v>
      </c>
      <c r="T874" t="str">
        <f>PROPER(TRIM([1]raw_orders!T874))</f>
        <v>Paid</v>
      </c>
      <c r="U874" t="str">
        <f>PROPER(TRIM([1]raw_orders!U874))</f>
        <v>Completed</v>
      </c>
      <c r="V874" s="6">
        <f t="shared" si="104"/>
        <v>0.35674632236598225</v>
      </c>
      <c r="W874" t="str">
        <f t="shared" si="105"/>
        <v>November</v>
      </c>
      <c r="X874">
        <f t="shared" si="106"/>
        <v>2024</v>
      </c>
      <c r="Y874">
        <f t="shared" si="107"/>
        <v>1</v>
      </c>
      <c r="Z874" s="7">
        <f t="shared" si="108"/>
        <v>0.2</v>
      </c>
      <c r="AA874">
        <f t="shared" si="109"/>
        <v>8848.08</v>
      </c>
      <c r="AB874">
        <f t="shared" si="110"/>
        <v>3156.5199999999995</v>
      </c>
      <c r="AC874" t="str">
        <f t="shared" si="111"/>
        <v>Clean</v>
      </c>
    </row>
    <row r="875" spans="1:29">
      <c r="A875" t="s">
        <v>2625</v>
      </c>
      <c r="B875" s="4">
        <v>45689</v>
      </c>
      <c r="C875" s="4">
        <v>45871</v>
      </c>
      <c r="D875" t="s">
        <v>2626</v>
      </c>
      <c r="E875" t="str">
        <f>PROPER(TRIM([1]raw_orders!E875))</f>
        <v>Aditi Sen</v>
      </c>
      <c r="F875" t="str">
        <f>PROPER(TRIM([1]raw_orders!F875))</f>
        <v>Home Office</v>
      </c>
      <c r="G875" t="str">
        <f>IF('[1]Cleaned Text Field'!G875="","Unknown",'[1]Cleaned Text Field'!G875)</f>
        <v>West</v>
      </c>
      <c r="H875" t="str">
        <f>PROPER(TRIM([1]raw_orders!H875))</f>
        <v>Gujarat</v>
      </c>
      <c r="I875" t="str">
        <f>PROPER(TRIM([1]raw_orders!I875))</f>
        <v>Ahmedabad</v>
      </c>
      <c r="J875" t="str">
        <f>PROPER(TRIM([1]raw_orders!J875))</f>
        <v>Office Supplies</v>
      </c>
      <c r="K875" t="str">
        <f>PROPER(TRIM([1]raw_orders!K875))</f>
        <v>Storage</v>
      </c>
      <c r="L875" t="s">
        <v>2627</v>
      </c>
      <c r="M875" t="str">
        <f>IF('[1]Cleaned Text Field'!M875="","Unknown",'[1]Cleaned Text Field'!M875)</f>
        <v>Second Class</v>
      </c>
      <c r="N875">
        <f>IF('[1]Cleaned Text Field'!N875="",0,'[1]Cleaned Text Field'!N875)</f>
        <v>8</v>
      </c>
      <c r="O875">
        <v>623.30999999999995</v>
      </c>
      <c r="P875" s="5">
        <f>IF('[1]Cleaned Text Field'!P875="",0,'[1]Cleaned Text Field'!P875)</f>
        <v>0.1</v>
      </c>
      <c r="Q875">
        <v>4487.83</v>
      </c>
      <c r="R875">
        <v>2633.78</v>
      </c>
      <c r="S875">
        <v>1854.05</v>
      </c>
      <c r="T875" t="str">
        <f>PROPER(TRIM([1]raw_orders!T875))</f>
        <v>Paid</v>
      </c>
      <c r="U875" t="str">
        <f>PROPER(TRIM([1]raw_orders!U875))</f>
        <v>Completed</v>
      </c>
      <c r="V875" s="6">
        <f t="shared" si="104"/>
        <v>0.4131283939008385</v>
      </c>
      <c r="W875" t="str">
        <f t="shared" si="105"/>
        <v>February</v>
      </c>
      <c r="X875">
        <f t="shared" si="106"/>
        <v>2025</v>
      </c>
      <c r="Y875">
        <f t="shared" si="107"/>
        <v>182</v>
      </c>
      <c r="Z875" s="7">
        <f t="shared" si="108"/>
        <v>0.1</v>
      </c>
      <c r="AA875">
        <f t="shared" si="109"/>
        <v>4487.8319999999994</v>
      </c>
      <c r="AB875">
        <f t="shared" si="110"/>
        <v>1854.0499999999997</v>
      </c>
      <c r="AC875" t="str">
        <f t="shared" si="111"/>
        <v>Clean</v>
      </c>
    </row>
    <row r="876" spans="1:29">
      <c r="A876" t="s">
        <v>2628</v>
      </c>
      <c r="B876" s="4">
        <v>45853</v>
      </c>
      <c r="C876" s="4">
        <v>45854</v>
      </c>
      <c r="D876" t="s">
        <v>2629</v>
      </c>
      <c r="E876" t="str">
        <f>PROPER(TRIM([1]raw_orders!E876))</f>
        <v>Vikram Iyer</v>
      </c>
      <c r="F876" t="str">
        <f>PROPER(TRIM([1]raw_orders!F876))</f>
        <v>Small Business</v>
      </c>
      <c r="G876" t="str">
        <f>IF('[1]Cleaned Text Field'!G876="","Unknown",'[1]Cleaned Text Field'!G876)</f>
        <v>West</v>
      </c>
      <c r="H876" t="str">
        <f>PROPER(TRIM([1]raw_orders!H876))</f>
        <v>Maharashtra</v>
      </c>
      <c r="I876" t="str">
        <f>PROPER(TRIM([1]raw_orders!I876))</f>
        <v>Mumbai</v>
      </c>
      <c r="J876" t="str">
        <f>PROPER(TRIM([1]raw_orders!J876))</f>
        <v>Office Supplies</v>
      </c>
      <c r="K876" t="str">
        <f>PROPER(TRIM([1]raw_orders!K876))</f>
        <v>Paper</v>
      </c>
      <c r="L876" t="s">
        <v>2630</v>
      </c>
      <c r="M876" t="str">
        <f>IF('[1]Cleaned Text Field'!M876="","Unknown",'[1]Cleaned Text Field'!M876)</f>
        <v>Standard Class</v>
      </c>
      <c r="N876">
        <f>IF('[1]Cleaned Text Field'!N876="",0,'[1]Cleaned Text Field'!N876)</f>
        <v>8</v>
      </c>
      <c r="O876">
        <v>3924.88</v>
      </c>
      <c r="P876" s="5">
        <f>IF('[1]Cleaned Text Field'!P876="",0,'[1]Cleaned Text Field'!P876)</f>
        <v>0.05</v>
      </c>
      <c r="Q876">
        <v>29829.09</v>
      </c>
      <c r="R876">
        <v>20710.18</v>
      </c>
      <c r="S876">
        <v>9118.91</v>
      </c>
      <c r="T876" t="str">
        <f>PROPER(TRIM([1]raw_orders!T876))</f>
        <v>Paid</v>
      </c>
      <c r="U876" t="str">
        <f>PROPER(TRIM([1]raw_orders!U876))</f>
        <v>Completed</v>
      </c>
      <c r="V876" s="6">
        <f t="shared" si="104"/>
        <v>0.30570526958750671</v>
      </c>
      <c r="W876" t="str">
        <f t="shared" si="105"/>
        <v>July</v>
      </c>
      <c r="X876">
        <f t="shared" si="106"/>
        <v>2025</v>
      </c>
      <c r="Y876">
        <f t="shared" si="107"/>
        <v>1</v>
      </c>
      <c r="Z876" s="7">
        <f t="shared" si="108"/>
        <v>0.05</v>
      </c>
      <c r="AA876">
        <f t="shared" si="109"/>
        <v>29829.088</v>
      </c>
      <c r="AB876">
        <f t="shared" si="110"/>
        <v>9118.91</v>
      </c>
      <c r="AC876" t="str">
        <f t="shared" si="111"/>
        <v>Clean</v>
      </c>
    </row>
    <row r="877" spans="1:29">
      <c r="A877" t="s">
        <v>2631</v>
      </c>
      <c r="B877" s="4">
        <v>45514</v>
      </c>
      <c r="C877" s="4">
        <v>45515</v>
      </c>
      <c r="D877" t="s">
        <v>2632</v>
      </c>
      <c r="E877" t="str">
        <f>PROPER(TRIM([1]raw_orders!E877))</f>
        <v>Mira Das</v>
      </c>
      <c r="F877" t="str">
        <f>PROPER(TRIM([1]raw_orders!F877))</f>
        <v>Corporate</v>
      </c>
      <c r="G877" t="str">
        <f>IF('[1]Cleaned Text Field'!G877="","Unknown",'[1]Cleaned Text Field'!G877)</f>
        <v>West</v>
      </c>
      <c r="H877" t="str">
        <f>PROPER(TRIM([1]raw_orders!H877))</f>
        <v>Maharashtra</v>
      </c>
      <c r="I877" t="str">
        <f>PROPER(TRIM([1]raw_orders!I877))</f>
        <v>Mumbai</v>
      </c>
      <c r="J877" t="str">
        <f>PROPER(TRIM([1]raw_orders!J877))</f>
        <v>Technology</v>
      </c>
      <c r="K877" t="str">
        <f>PROPER(TRIM([1]raw_orders!K877))</f>
        <v>Copiers</v>
      </c>
      <c r="L877" t="s">
        <v>2633</v>
      </c>
      <c r="M877" t="str">
        <f>IF('[1]Cleaned Text Field'!M877="","Unknown",'[1]Cleaned Text Field'!M877)</f>
        <v>First Class</v>
      </c>
      <c r="N877">
        <f>IF('[1]Cleaned Text Field'!N877="",0,'[1]Cleaned Text Field'!N877)</f>
        <v>7</v>
      </c>
      <c r="O877">
        <v>3852.62</v>
      </c>
      <c r="P877" s="5">
        <f>IF('[1]Cleaned Text Field'!P877="",0,'[1]Cleaned Text Field'!P877)</f>
        <v>0.2</v>
      </c>
      <c r="Q877">
        <v>21574.67</v>
      </c>
      <c r="R877">
        <v>14672.83</v>
      </c>
      <c r="S877">
        <v>6901.84</v>
      </c>
      <c r="T877" t="str">
        <f>PROPER(TRIM([1]raw_orders!T877))</f>
        <v>Paid</v>
      </c>
      <c r="U877" t="str">
        <f>PROPER(TRIM([1]raw_orders!U877))</f>
        <v>Completed</v>
      </c>
      <c r="V877" s="6">
        <f t="shared" si="104"/>
        <v>0.31990477722254851</v>
      </c>
      <c r="W877" t="str">
        <f t="shared" si="105"/>
        <v>August</v>
      </c>
      <c r="X877">
        <f t="shared" si="106"/>
        <v>2024</v>
      </c>
      <c r="Y877">
        <f t="shared" si="107"/>
        <v>1</v>
      </c>
      <c r="Z877" s="7">
        <f t="shared" si="108"/>
        <v>0.2</v>
      </c>
      <c r="AA877">
        <f t="shared" si="109"/>
        <v>21574.672000000002</v>
      </c>
      <c r="AB877">
        <f t="shared" si="110"/>
        <v>6901.8399999999983</v>
      </c>
      <c r="AC877" t="str">
        <f t="shared" si="111"/>
        <v>Clean</v>
      </c>
    </row>
    <row r="878" spans="1:29">
      <c r="A878" t="s">
        <v>2634</v>
      </c>
      <c r="B878" s="4">
        <v>45614</v>
      </c>
      <c r="C878" s="4">
        <v>45616</v>
      </c>
      <c r="D878" t="s">
        <v>2635</v>
      </c>
      <c r="E878" t="str">
        <f>PROPER(TRIM([1]raw_orders!E878))</f>
        <v>Priya Menon</v>
      </c>
      <c r="F878" t="str">
        <f>PROPER(TRIM([1]raw_orders!F878))</f>
        <v>Consumer</v>
      </c>
      <c r="G878" t="str">
        <f>IF('[1]Cleaned Text Field'!G878="","Unknown",'[1]Cleaned Text Field'!G878)</f>
        <v>West</v>
      </c>
      <c r="H878" t="str">
        <f>PROPER(TRIM([1]raw_orders!H878))</f>
        <v>Rajasthan</v>
      </c>
      <c r="I878" t="str">
        <f>PROPER(TRIM([1]raw_orders!I878))</f>
        <v>Udaipur</v>
      </c>
      <c r="J878" t="str">
        <f>PROPER(TRIM([1]raw_orders!J878))</f>
        <v>Furniture</v>
      </c>
      <c r="K878" t="str">
        <f>PROPER(TRIM([1]raw_orders!K878))</f>
        <v>Chairs</v>
      </c>
      <c r="L878" t="s">
        <v>786</v>
      </c>
      <c r="M878" t="str">
        <f>IF('[1]Cleaned Text Field'!M878="","Unknown",'[1]Cleaned Text Field'!M878)</f>
        <v>First Class</v>
      </c>
      <c r="N878">
        <f>IF('[1]Cleaned Text Field'!N878="",0,'[1]Cleaned Text Field'!N878)</f>
        <v>6</v>
      </c>
      <c r="O878">
        <v>3790.22</v>
      </c>
      <c r="P878" s="5">
        <f>IF('[1]Cleaned Text Field'!P878="",0,'[1]Cleaned Text Field'!P878)</f>
        <v>0</v>
      </c>
      <c r="Q878">
        <v>22741.32</v>
      </c>
      <c r="R878">
        <v>16388.57</v>
      </c>
      <c r="S878">
        <v>6352.75</v>
      </c>
      <c r="T878" t="str">
        <f>PROPER(TRIM([1]raw_orders!T878))</f>
        <v>Paid</v>
      </c>
      <c r="U878" t="str">
        <f>PROPER(TRIM([1]raw_orders!U878))</f>
        <v>Completed</v>
      </c>
      <c r="V878" s="6">
        <f t="shared" si="104"/>
        <v>0.27934834037777928</v>
      </c>
      <c r="W878" t="str">
        <f t="shared" si="105"/>
        <v>November</v>
      </c>
      <c r="X878">
        <f t="shared" si="106"/>
        <v>2024</v>
      </c>
      <c r="Y878">
        <f t="shared" si="107"/>
        <v>2</v>
      </c>
      <c r="Z878" s="7">
        <f t="shared" si="108"/>
        <v>0</v>
      </c>
      <c r="AA878">
        <f t="shared" si="109"/>
        <v>22741.32</v>
      </c>
      <c r="AB878">
        <f t="shared" si="110"/>
        <v>6352.75</v>
      </c>
      <c r="AC878" t="str">
        <f t="shared" si="111"/>
        <v>Clean</v>
      </c>
    </row>
    <row r="879" spans="1:29">
      <c r="A879" t="s">
        <v>2636</v>
      </c>
      <c r="B879" s="4">
        <v>45895</v>
      </c>
      <c r="C879" s="4">
        <v>45903</v>
      </c>
      <c r="D879" t="s">
        <v>2637</v>
      </c>
      <c r="E879" t="str">
        <f>PROPER(TRIM([1]raw_orders!E879))</f>
        <v>Aarav Sharma</v>
      </c>
      <c r="F879" t="str">
        <f>PROPER(TRIM([1]raw_orders!F879))</f>
        <v>Consumer</v>
      </c>
      <c r="G879" t="str">
        <f>IF('[1]Cleaned Text Field'!G879="","Unknown",'[1]Cleaned Text Field'!G879)</f>
        <v>West</v>
      </c>
      <c r="H879" t="str">
        <f>PROPER(TRIM([1]raw_orders!H879))</f>
        <v>Rajasthan</v>
      </c>
      <c r="I879" t="str">
        <f>PROPER(TRIM([1]raw_orders!I879))</f>
        <v>Udaipur</v>
      </c>
      <c r="J879" t="str">
        <f>PROPER(TRIM([1]raw_orders!J879))</f>
        <v>Office Supplies</v>
      </c>
      <c r="K879" t="str">
        <f>PROPER(TRIM([1]raw_orders!K879))</f>
        <v>Storage</v>
      </c>
      <c r="L879" t="s">
        <v>2638</v>
      </c>
      <c r="M879" t="str">
        <f>IF('[1]Cleaned Text Field'!M879="","Unknown",'[1]Cleaned Text Field'!M879)</f>
        <v>Second Class</v>
      </c>
      <c r="N879">
        <f>IF('[1]Cleaned Text Field'!N879="",0,'[1]Cleaned Text Field'!N879)</f>
        <v>6</v>
      </c>
      <c r="O879">
        <v>674.36</v>
      </c>
      <c r="P879" s="5">
        <f>IF('[1]Cleaned Text Field'!P879="",0,'[1]Cleaned Text Field'!P879)</f>
        <v>0.1</v>
      </c>
      <c r="Q879">
        <v>3641.54</v>
      </c>
      <c r="R879">
        <v>2690.37</v>
      </c>
      <c r="S879">
        <v>951.17</v>
      </c>
      <c r="T879" t="str">
        <f>PROPER(TRIM([1]raw_orders!T879))</f>
        <v>Paid</v>
      </c>
      <c r="U879" t="str">
        <f>PROPER(TRIM([1]raw_orders!U879))</f>
        <v>Completed</v>
      </c>
      <c r="V879" s="6">
        <f t="shared" si="104"/>
        <v>0.26119993189694468</v>
      </c>
      <c r="W879" t="str">
        <f t="shared" si="105"/>
        <v>August</v>
      </c>
      <c r="X879">
        <f t="shared" si="106"/>
        <v>2025</v>
      </c>
      <c r="Y879">
        <f t="shared" si="107"/>
        <v>8</v>
      </c>
      <c r="Z879" s="7">
        <f t="shared" si="108"/>
        <v>0.1</v>
      </c>
      <c r="AA879">
        <f t="shared" si="109"/>
        <v>3641.5439999999999</v>
      </c>
      <c r="AB879">
        <f t="shared" si="110"/>
        <v>951.17000000000007</v>
      </c>
      <c r="AC879" t="str">
        <f t="shared" si="111"/>
        <v>Clean</v>
      </c>
    </row>
    <row r="880" spans="1:29">
      <c r="A880" t="s">
        <v>2639</v>
      </c>
      <c r="B880" s="4">
        <v>45313</v>
      </c>
      <c r="C880" s="4">
        <v>45313</v>
      </c>
      <c r="D880" t="s">
        <v>2640</v>
      </c>
      <c r="E880" t="str">
        <f>PROPER(TRIM([1]raw_orders!E880))</f>
        <v>Karan Malhotra</v>
      </c>
      <c r="F880" t="str">
        <f>PROPER(TRIM([1]raw_orders!F880))</f>
        <v>Corporate</v>
      </c>
      <c r="G880" t="str">
        <f>IF('[1]Cleaned Text Field'!G880="","Unknown",'[1]Cleaned Text Field'!G880)</f>
        <v>East</v>
      </c>
      <c r="H880" t="str">
        <f>PROPER(TRIM([1]raw_orders!H880))</f>
        <v>West Bengal</v>
      </c>
      <c r="I880" t="str">
        <f>PROPER(TRIM([1]raw_orders!I880))</f>
        <v>Kolkata</v>
      </c>
      <c r="J880" t="str">
        <f>PROPER(TRIM([1]raw_orders!J880))</f>
        <v>Office Supplies</v>
      </c>
      <c r="K880" t="str">
        <f>PROPER(TRIM([1]raw_orders!K880))</f>
        <v>Paper</v>
      </c>
      <c r="L880" t="s">
        <v>2641</v>
      </c>
      <c r="M880" t="str">
        <f>IF('[1]Cleaned Text Field'!M880="","Unknown",'[1]Cleaned Text Field'!M880)</f>
        <v>First Class</v>
      </c>
      <c r="N880">
        <f>IF('[1]Cleaned Text Field'!N880="",0,'[1]Cleaned Text Field'!N880)</f>
        <v>8</v>
      </c>
      <c r="O880">
        <v>1557.21</v>
      </c>
      <c r="P880" s="5">
        <f>IF('[1]Cleaned Text Field'!P880="",0,'[1]Cleaned Text Field'!P880)</f>
        <v>0.05</v>
      </c>
      <c r="Q880">
        <v>11834.8</v>
      </c>
      <c r="R880">
        <v>9322.36</v>
      </c>
      <c r="S880">
        <v>2512.44</v>
      </c>
      <c r="T880" t="str">
        <f>PROPER(TRIM([1]raw_orders!T880))</f>
        <v>Paid</v>
      </c>
      <c r="U880" t="str">
        <f>PROPER(TRIM([1]raw_orders!U880))</f>
        <v>Completed</v>
      </c>
      <c r="V880" s="6">
        <f t="shared" si="104"/>
        <v>0.21229256092202659</v>
      </c>
      <c r="W880" t="str">
        <f t="shared" si="105"/>
        <v>January</v>
      </c>
      <c r="X880">
        <f t="shared" si="106"/>
        <v>2024</v>
      </c>
      <c r="Y880">
        <f t="shared" si="107"/>
        <v>0</v>
      </c>
      <c r="Z880" s="7">
        <f t="shared" si="108"/>
        <v>0.05</v>
      </c>
      <c r="AA880">
        <f t="shared" si="109"/>
        <v>11834.796</v>
      </c>
      <c r="AB880">
        <f t="shared" si="110"/>
        <v>2512.4399999999987</v>
      </c>
      <c r="AC880" t="str">
        <f t="shared" si="111"/>
        <v>Clean</v>
      </c>
    </row>
    <row r="881" spans="1:29">
      <c r="A881" t="s">
        <v>2642</v>
      </c>
      <c r="B881" s="4">
        <v>45896</v>
      </c>
      <c r="C881" s="4">
        <v>45897</v>
      </c>
      <c r="D881" t="s">
        <v>2643</v>
      </c>
      <c r="E881" t="str">
        <f>PROPER(TRIM([1]raw_orders!E881))</f>
        <v>Ananya Rao</v>
      </c>
      <c r="F881" t="str">
        <f>PROPER(TRIM([1]raw_orders!F881))</f>
        <v>Home Office</v>
      </c>
      <c r="G881" t="str">
        <f>IF('[1]Cleaned Text Field'!G881="","Unknown",'[1]Cleaned Text Field'!G881)</f>
        <v>North</v>
      </c>
      <c r="H881" t="str">
        <f>PROPER(TRIM([1]raw_orders!H881))</f>
        <v>Uttar Pradesh</v>
      </c>
      <c r="I881" t="str">
        <f>PROPER(TRIM([1]raw_orders!I881))</f>
        <v>Noida</v>
      </c>
      <c r="J881" t="str">
        <f>PROPER(TRIM([1]raw_orders!J881))</f>
        <v>Office Supplies</v>
      </c>
      <c r="K881" t="str">
        <f>PROPER(TRIM([1]raw_orders!K881))</f>
        <v>Art</v>
      </c>
      <c r="L881" t="s">
        <v>2644</v>
      </c>
      <c r="M881" t="str">
        <f>IF('[1]Cleaned Text Field'!M881="","Unknown",'[1]Cleaned Text Field'!M881)</f>
        <v>Standard Class</v>
      </c>
      <c r="N881">
        <f>IF('[1]Cleaned Text Field'!N881="",0,'[1]Cleaned Text Field'!N881)</f>
        <v>6</v>
      </c>
      <c r="O881">
        <v>1182.03</v>
      </c>
      <c r="P881" s="5">
        <f>IF('[1]Cleaned Text Field'!P881="",0,'[1]Cleaned Text Field'!P881)</f>
        <v>0.15</v>
      </c>
      <c r="Q881">
        <v>6028.35</v>
      </c>
      <c r="R881">
        <v>4433.63</v>
      </c>
      <c r="S881">
        <v>1594.72</v>
      </c>
      <c r="T881" t="str">
        <f>PROPER(TRIM([1]raw_orders!T881))</f>
        <v>Paid</v>
      </c>
      <c r="U881" t="str">
        <f>PROPER(TRIM([1]raw_orders!U881))</f>
        <v>Completed</v>
      </c>
      <c r="V881" s="6">
        <f t="shared" si="104"/>
        <v>0.2645367306145131</v>
      </c>
      <c r="W881" t="str">
        <f t="shared" si="105"/>
        <v>August</v>
      </c>
      <c r="X881">
        <f t="shared" si="106"/>
        <v>2025</v>
      </c>
      <c r="Y881">
        <f t="shared" si="107"/>
        <v>1</v>
      </c>
      <c r="Z881" s="7">
        <f t="shared" si="108"/>
        <v>0.15</v>
      </c>
      <c r="AA881">
        <f t="shared" si="109"/>
        <v>6028.3530000000001</v>
      </c>
      <c r="AB881">
        <f t="shared" si="110"/>
        <v>1594.7200000000003</v>
      </c>
      <c r="AC881" t="str">
        <f t="shared" si="111"/>
        <v>Clean</v>
      </c>
    </row>
    <row r="882" spans="1:29">
      <c r="A882" t="s">
        <v>2645</v>
      </c>
      <c r="B882" s="4">
        <v>45507</v>
      </c>
      <c r="C882" s="4">
        <v>45366</v>
      </c>
      <c r="D882" t="s">
        <v>2646</v>
      </c>
      <c r="E882" t="str">
        <f>PROPER(TRIM([1]raw_orders!E882))</f>
        <v>Aarav Sharma</v>
      </c>
      <c r="F882" t="str">
        <f>PROPER(TRIM([1]raw_orders!F882))</f>
        <v>Small Business</v>
      </c>
      <c r="G882" t="str">
        <f>IF('[1]Cleaned Text Field'!G882="","Unknown",'[1]Cleaned Text Field'!G882)</f>
        <v>Unknown</v>
      </c>
      <c r="H882" t="str">
        <f>PROPER(TRIM([1]raw_orders!H882))</f>
        <v>Punjab</v>
      </c>
      <c r="I882" t="str">
        <f>PROPER(TRIM([1]raw_orders!I882))</f>
        <v>Ludhiana</v>
      </c>
      <c r="J882" t="str">
        <f>PROPER(TRIM([1]raw_orders!J882))</f>
        <v>Furniture</v>
      </c>
      <c r="K882" t="str">
        <f>PROPER(TRIM([1]raw_orders!K882))</f>
        <v>Chairs</v>
      </c>
      <c r="L882" t="s">
        <v>2647</v>
      </c>
      <c r="M882" t="str">
        <f>IF('[1]Cleaned Text Field'!M882="","Unknown",'[1]Cleaned Text Field'!M882)</f>
        <v>First Class</v>
      </c>
      <c r="N882">
        <f>IF('[1]Cleaned Text Field'!N882="",0,'[1]Cleaned Text Field'!N882)</f>
        <v>5</v>
      </c>
      <c r="O882">
        <v>3234.77</v>
      </c>
      <c r="P882" s="5">
        <f>IF('[1]Cleaned Text Field'!P882="",0,'[1]Cleaned Text Field'!P882)</f>
        <v>0</v>
      </c>
      <c r="Q882">
        <v>16173.85</v>
      </c>
      <c r="R882">
        <v>13636.34</v>
      </c>
      <c r="S882">
        <v>2537.5100000000002</v>
      </c>
      <c r="T882" t="str">
        <f>PROPER(TRIM([1]raw_orders!T882))</f>
        <v>Paid</v>
      </c>
      <c r="U882" t="str">
        <f>PROPER(TRIM([1]raw_orders!U882))</f>
        <v>Completed</v>
      </c>
      <c r="V882" s="6">
        <f t="shared" si="104"/>
        <v>0.15688967067210344</v>
      </c>
      <c r="W882" t="str">
        <f t="shared" si="105"/>
        <v>August</v>
      </c>
      <c r="X882">
        <f t="shared" si="106"/>
        <v>2024</v>
      </c>
      <c r="Y882">
        <f t="shared" si="107"/>
        <v>-141</v>
      </c>
      <c r="Z882" s="7">
        <f t="shared" si="108"/>
        <v>0</v>
      </c>
      <c r="AA882">
        <f t="shared" si="109"/>
        <v>16173.85</v>
      </c>
      <c r="AB882">
        <f t="shared" si="110"/>
        <v>2537.5100000000002</v>
      </c>
      <c r="AC882" t="str">
        <f t="shared" si="111"/>
        <v>Warning</v>
      </c>
    </row>
    <row r="883" spans="1:29">
      <c r="A883" t="s">
        <v>2648</v>
      </c>
      <c r="B883" s="4">
        <v>45627</v>
      </c>
      <c r="C883" s="4">
        <v>45424</v>
      </c>
      <c r="D883" t="s">
        <v>2649</v>
      </c>
      <c r="E883" t="str">
        <f>PROPER(TRIM([1]raw_orders!E883))</f>
        <v>Ananya Rao</v>
      </c>
      <c r="F883" t="str">
        <f>PROPER(TRIM([1]raw_orders!F883))</f>
        <v>Small Business</v>
      </c>
      <c r="G883" t="str">
        <f>IF('[1]Cleaned Text Field'!G883="","Unknown",'[1]Cleaned Text Field'!G883)</f>
        <v>South</v>
      </c>
      <c r="H883" t="str">
        <f>PROPER(TRIM([1]raw_orders!H883))</f>
        <v>Andhra Pradesh</v>
      </c>
      <c r="I883" t="str">
        <f>PROPER(TRIM([1]raw_orders!I883))</f>
        <v>Vijayawada</v>
      </c>
      <c r="J883" t="str">
        <f>PROPER(TRIM([1]raw_orders!J883))</f>
        <v>Technology</v>
      </c>
      <c r="K883" t="str">
        <f>PROPER(TRIM([1]raw_orders!K883))</f>
        <v>Copiers</v>
      </c>
      <c r="L883" t="s">
        <v>2650</v>
      </c>
      <c r="M883" t="str">
        <f>IF('[1]Cleaned Text Field'!M883="","Unknown",'[1]Cleaned Text Field'!M883)</f>
        <v>Second Class</v>
      </c>
      <c r="N883">
        <f>IF('[1]Cleaned Text Field'!N883="",0,'[1]Cleaned Text Field'!N883)</f>
        <v>9</v>
      </c>
      <c r="O883">
        <v>3726.75</v>
      </c>
      <c r="P883" s="5">
        <f>IF('[1]Cleaned Text Field'!P883="",0,'[1]Cleaned Text Field'!P883)</f>
        <v>0.25</v>
      </c>
      <c r="Q883">
        <v>25155.56</v>
      </c>
      <c r="R883">
        <v>17592.689999999999</v>
      </c>
      <c r="S883">
        <v>7562.87</v>
      </c>
      <c r="T883" t="str">
        <f>PROPER(TRIM([1]raw_orders!T883))</f>
        <v>Paid</v>
      </c>
      <c r="U883" t="str">
        <f>PROPER(TRIM([1]raw_orders!U883))</f>
        <v>Completed</v>
      </c>
      <c r="V883" s="6">
        <f t="shared" si="104"/>
        <v>0.30064407232436885</v>
      </c>
      <c r="W883" t="str">
        <f t="shared" si="105"/>
        <v>December</v>
      </c>
      <c r="X883">
        <f t="shared" si="106"/>
        <v>2024</v>
      </c>
      <c r="Y883">
        <f t="shared" si="107"/>
        <v>-203</v>
      </c>
      <c r="Z883" s="7">
        <f t="shared" si="108"/>
        <v>0.25</v>
      </c>
      <c r="AA883">
        <f t="shared" si="109"/>
        <v>25155.5625</v>
      </c>
      <c r="AB883">
        <f t="shared" si="110"/>
        <v>7562.8700000000026</v>
      </c>
      <c r="AC883" t="str">
        <f t="shared" si="111"/>
        <v>Warning</v>
      </c>
    </row>
    <row r="884" spans="1:29">
      <c r="A884" t="s">
        <v>2651</v>
      </c>
      <c r="B884" s="4">
        <v>45690</v>
      </c>
      <c r="C884" s="4">
        <v>45698</v>
      </c>
      <c r="D884" t="s">
        <v>2652</v>
      </c>
      <c r="E884" t="str">
        <f>PROPER(TRIM([1]raw_orders!E884))</f>
        <v>Sneha Kapoor</v>
      </c>
      <c r="F884" t="str">
        <f>PROPER(TRIM([1]raw_orders!F884))</f>
        <v>Corporate</v>
      </c>
      <c r="G884" t="str">
        <f>IF('[1]Cleaned Text Field'!G884="","Unknown",'[1]Cleaned Text Field'!G884)</f>
        <v>East</v>
      </c>
      <c r="H884" t="str">
        <f>PROPER(TRIM([1]raw_orders!H884))</f>
        <v>Bihar</v>
      </c>
      <c r="I884" t="str">
        <f>PROPER(TRIM([1]raw_orders!I884))</f>
        <v>Patna</v>
      </c>
      <c r="J884" t="str">
        <f>PROPER(TRIM([1]raw_orders!J884))</f>
        <v>Technology</v>
      </c>
      <c r="K884" t="str">
        <f>PROPER(TRIM([1]raw_orders!K884))</f>
        <v>Accessories</v>
      </c>
      <c r="L884" t="s">
        <v>2653</v>
      </c>
      <c r="M884" t="str">
        <f>IF('[1]Cleaned Text Field'!M884="","Unknown",'[1]Cleaned Text Field'!M884)</f>
        <v>Standard Class</v>
      </c>
      <c r="N884">
        <f>IF('[1]Cleaned Text Field'!N884="",0,'[1]Cleaned Text Field'!N884)</f>
        <v>4</v>
      </c>
      <c r="O884">
        <v>1912.45</v>
      </c>
      <c r="P884" s="5">
        <f>IF('[1]Cleaned Text Field'!P884="",0,'[1]Cleaned Text Field'!P884)</f>
        <v>0</v>
      </c>
      <c r="Q884">
        <v>7649.8</v>
      </c>
      <c r="R884">
        <v>4894.53</v>
      </c>
      <c r="S884">
        <v>2755.27</v>
      </c>
      <c r="T884" t="str">
        <f>PROPER(TRIM([1]raw_orders!T884))</f>
        <v>Pending</v>
      </c>
      <c r="U884" t="str">
        <f>PROPER(TRIM([1]raw_orders!U884))</f>
        <v>Returned</v>
      </c>
      <c r="V884" s="6">
        <f t="shared" si="104"/>
        <v>0.36017542942299147</v>
      </c>
      <c r="W884" t="str">
        <f t="shared" si="105"/>
        <v>February</v>
      </c>
      <c r="X884">
        <f t="shared" si="106"/>
        <v>2025</v>
      </c>
      <c r="Y884">
        <f t="shared" si="107"/>
        <v>8</v>
      </c>
      <c r="Z884" s="7">
        <f t="shared" si="108"/>
        <v>0</v>
      </c>
      <c r="AA884">
        <f t="shared" si="109"/>
        <v>7649.8</v>
      </c>
      <c r="AB884">
        <f t="shared" si="110"/>
        <v>2755.2700000000004</v>
      </c>
      <c r="AC884" t="str">
        <f t="shared" si="111"/>
        <v>Clean</v>
      </c>
    </row>
    <row r="885" spans="1:29">
      <c r="A885" t="s">
        <v>2654</v>
      </c>
      <c r="B885" s="4">
        <v>45775</v>
      </c>
      <c r="C885" s="4">
        <v>45778</v>
      </c>
      <c r="D885" t="s">
        <v>2655</v>
      </c>
      <c r="E885" t="str">
        <f>PROPER(TRIM([1]raw_orders!E885))</f>
        <v>Aarav Sharma</v>
      </c>
      <c r="F885" t="str">
        <f>PROPER(TRIM([1]raw_orders!F885))</f>
        <v>Small Business</v>
      </c>
      <c r="G885" t="str">
        <f>IF('[1]Cleaned Text Field'!G885="","Unknown",'[1]Cleaned Text Field'!G885)</f>
        <v>West</v>
      </c>
      <c r="H885" t="str">
        <f>PROPER(TRIM([1]raw_orders!H885))</f>
        <v>Goa</v>
      </c>
      <c r="I885" t="str">
        <f>PROPER(TRIM([1]raw_orders!I885))</f>
        <v>Panaji</v>
      </c>
      <c r="J885" t="str">
        <f>PROPER(TRIM([1]raw_orders!J885))</f>
        <v>Office Supplies</v>
      </c>
      <c r="K885" t="str">
        <f>PROPER(TRIM([1]raw_orders!K885))</f>
        <v>Storage</v>
      </c>
      <c r="L885" t="s">
        <v>2656</v>
      </c>
      <c r="M885" t="str">
        <f>IF('[1]Cleaned Text Field'!M885="","Unknown",'[1]Cleaned Text Field'!M885)</f>
        <v>Same Day</v>
      </c>
      <c r="N885">
        <f>IF('[1]Cleaned Text Field'!N885="",0,'[1]Cleaned Text Field'!N885)</f>
        <v>1</v>
      </c>
      <c r="O885">
        <v>1620.87</v>
      </c>
      <c r="P885" s="5">
        <f>IF('[1]Cleaned Text Field'!P885="",0,'[1]Cleaned Text Field'!P885)</f>
        <v>0</v>
      </c>
      <c r="Q885">
        <v>1620.87</v>
      </c>
      <c r="R885">
        <v>1103.6099999999999</v>
      </c>
      <c r="S885">
        <v>517.26</v>
      </c>
      <c r="T885" t="str">
        <f>PROPER(TRIM([1]raw_orders!T885))</f>
        <v>Paid</v>
      </c>
      <c r="U885" t="str">
        <f>PROPER(TRIM([1]raw_orders!U885))</f>
        <v>Completed</v>
      </c>
      <c r="V885" s="6">
        <f t="shared" si="104"/>
        <v>0.31912491439782342</v>
      </c>
      <c r="W885" t="str">
        <f t="shared" si="105"/>
        <v>April</v>
      </c>
      <c r="X885">
        <f t="shared" si="106"/>
        <v>2025</v>
      </c>
      <c r="Y885">
        <f t="shared" si="107"/>
        <v>3</v>
      </c>
      <c r="Z885" s="7">
        <f t="shared" si="108"/>
        <v>0</v>
      </c>
      <c r="AA885">
        <f t="shared" si="109"/>
        <v>1620.87</v>
      </c>
      <c r="AB885">
        <f t="shared" si="110"/>
        <v>517.26</v>
      </c>
      <c r="AC885" t="str">
        <f t="shared" si="111"/>
        <v>Clean</v>
      </c>
    </row>
    <row r="886" spans="1:29">
      <c r="A886" t="s">
        <v>2657</v>
      </c>
      <c r="B886" s="4">
        <v>45675</v>
      </c>
      <c r="C886" s="4">
        <v>45682</v>
      </c>
      <c r="D886" t="s">
        <v>2658</v>
      </c>
      <c r="E886" t="str">
        <f>PROPER(TRIM([1]raw_orders!E886))</f>
        <v>Neha Gupta</v>
      </c>
      <c r="F886" t="str">
        <f>PROPER(TRIM([1]raw_orders!F886))</f>
        <v>Home Office</v>
      </c>
      <c r="G886" t="str">
        <f>IF('[1]Cleaned Text Field'!G886="","Unknown",'[1]Cleaned Text Field'!G886)</f>
        <v>South</v>
      </c>
      <c r="H886" t="str">
        <f>PROPER(TRIM([1]raw_orders!H886))</f>
        <v>Karnataka</v>
      </c>
      <c r="I886" t="str">
        <f>PROPER(TRIM([1]raw_orders!I886))</f>
        <v>Bengaluru</v>
      </c>
      <c r="J886" t="str">
        <f>PROPER(TRIM([1]raw_orders!J886))</f>
        <v>Office Supplies</v>
      </c>
      <c r="K886" t="str">
        <f>PROPER(TRIM([1]raw_orders!K886))</f>
        <v>Storage</v>
      </c>
      <c r="L886" t="s">
        <v>2659</v>
      </c>
      <c r="M886" t="str">
        <f>IF('[1]Cleaned Text Field'!M886="","Unknown",'[1]Cleaned Text Field'!M886)</f>
        <v>Same Day</v>
      </c>
      <c r="N886">
        <f>IF('[1]Cleaned Text Field'!N886="",0,'[1]Cleaned Text Field'!N886)</f>
        <v>2</v>
      </c>
      <c r="O886">
        <v>2098.54</v>
      </c>
      <c r="P886" s="5">
        <f>IF('[1]Cleaned Text Field'!P886="",0,'[1]Cleaned Text Field'!P886)</f>
        <v>0.15</v>
      </c>
      <c r="Q886">
        <v>3567.52</v>
      </c>
      <c r="R886">
        <v>2411.8000000000002</v>
      </c>
      <c r="S886">
        <v>1155.72</v>
      </c>
      <c r="T886" t="str">
        <f>PROPER(TRIM([1]raw_orders!T886))</f>
        <v>Paid</v>
      </c>
      <c r="U886" t="str">
        <f>PROPER(TRIM([1]raw_orders!U886))</f>
        <v>Completed</v>
      </c>
      <c r="V886" s="6">
        <f t="shared" si="104"/>
        <v>0.32395613759698616</v>
      </c>
      <c r="W886" t="str">
        <f t="shared" si="105"/>
        <v>January</v>
      </c>
      <c r="X886">
        <f t="shared" si="106"/>
        <v>2025</v>
      </c>
      <c r="Y886">
        <f t="shared" si="107"/>
        <v>7</v>
      </c>
      <c r="Z886" s="7">
        <f t="shared" si="108"/>
        <v>0.15</v>
      </c>
      <c r="AA886">
        <f t="shared" si="109"/>
        <v>3567.518</v>
      </c>
      <c r="AB886">
        <f t="shared" si="110"/>
        <v>1155.7199999999998</v>
      </c>
      <c r="AC886" t="str">
        <f t="shared" si="111"/>
        <v>Clean</v>
      </c>
    </row>
    <row r="887" spans="1:29">
      <c r="A887" t="s">
        <v>2660</v>
      </c>
      <c r="B887" s="4">
        <v>45296</v>
      </c>
      <c r="C887" s="4">
        <v>45296</v>
      </c>
      <c r="D887" t="s">
        <v>2661</v>
      </c>
      <c r="E887" t="str">
        <f>PROPER(TRIM([1]raw_orders!E887))</f>
        <v>Diya Patel</v>
      </c>
      <c r="F887" t="str">
        <f>PROPER(TRIM([1]raw_orders!F887))</f>
        <v>Consumer</v>
      </c>
      <c r="G887" t="str">
        <f>IF('[1]Cleaned Text Field'!G887="","Unknown",'[1]Cleaned Text Field'!G887)</f>
        <v>North</v>
      </c>
      <c r="H887" t="str">
        <f>PROPER(TRIM([1]raw_orders!H887))</f>
        <v>Rajasthan</v>
      </c>
      <c r="I887" t="str">
        <f>PROPER(TRIM([1]raw_orders!I887))</f>
        <v>Jaipur</v>
      </c>
      <c r="J887" t="str">
        <f>PROPER(TRIM([1]raw_orders!J887))</f>
        <v>Furniture</v>
      </c>
      <c r="K887" t="str">
        <f>PROPER(TRIM([1]raw_orders!K887))</f>
        <v>Tables</v>
      </c>
      <c r="L887" t="s">
        <v>2662</v>
      </c>
      <c r="M887" t="str">
        <f>IF('[1]Cleaned Text Field'!M887="","Unknown",'[1]Cleaned Text Field'!M887)</f>
        <v>Standard Class</v>
      </c>
      <c r="N887">
        <f>IF('[1]Cleaned Text Field'!N887="",0,'[1]Cleaned Text Field'!N887)</f>
        <v>1</v>
      </c>
      <c r="O887">
        <v>2167.08</v>
      </c>
      <c r="P887" s="5">
        <f>IF('[1]Cleaned Text Field'!P887="",0,'[1]Cleaned Text Field'!P887)</f>
        <v>0.25</v>
      </c>
      <c r="Q887">
        <v>1625.31</v>
      </c>
      <c r="R887">
        <v>1157.8900000000001</v>
      </c>
      <c r="S887">
        <v>467.42</v>
      </c>
      <c r="T887" t="str">
        <f>PROPER(TRIM([1]raw_orders!T887))</f>
        <v>Paid</v>
      </c>
      <c r="U887" t="str">
        <f>PROPER(TRIM([1]raw_orders!U887))</f>
        <v>Completed</v>
      </c>
      <c r="V887" s="6">
        <f t="shared" si="104"/>
        <v>0.28758821394072515</v>
      </c>
      <c r="W887" t="str">
        <f t="shared" si="105"/>
        <v>January</v>
      </c>
      <c r="X887">
        <f t="shared" si="106"/>
        <v>2024</v>
      </c>
      <c r="Y887">
        <f t="shared" si="107"/>
        <v>0</v>
      </c>
      <c r="Z887" s="7">
        <f t="shared" si="108"/>
        <v>0.25</v>
      </c>
      <c r="AA887">
        <f t="shared" si="109"/>
        <v>1625.31</v>
      </c>
      <c r="AB887">
        <f t="shared" si="110"/>
        <v>467.41999999999985</v>
      </c>
      <c r="AC887" t="str">
        <f t="shared" si="111"/>
        <v>Clean</v>
      </c>
    </row>
    <row r="888" spans="1:29">
      <c r="A888" t="s">
        <v>2663</v>
      </c>
      <c r="B888" s="4">
        <v>45773</v>
      </c>
      <c r="C888" s="4">
        <v>45721</v>
      </c>
      <c r="D888" t="s">
        <v>2664</v>
      </c>
      <c r="E888" t="str">
        <f>PROPER(TRIM([1]raw_orders!E888))</f>
        <v>Arjun Bose</v>
      </c>
      <c r="F888" t="str">
        <f>PROPER(TRIM([1]raw_orders!F888))</f>
        <v>Home Office</v>
      </c>
      <c r="G888" t="str">
        <f>IF('[1]Cleaned Text Field'!G888="","Unknown",'[1]Cleaned Text Field'!G888)</f>
        <v>South</v>
      </c>
      <c r="H888" t="str">
        <f>PROPER(TRIM([1]raw_orders!H888))</f>
        <v>Tamil Nadu</v>
      </c>
      <c r="I888" t="str">
        <f>PROPER(TRIM([1]raw_orders!I888))</f>
        <v>Chennai</v>
      </c>
      <c r="J888" t="str">
        <f>PROPER(TRIM([1]raw_orders!J888))</f>
        <v>Technology</v>
      </c>
      <c r="K888" t="str">
        <f>PROPER(TRIM([1]raw_orders!K888))</f>
        <v>Accessories</v>
      </c>
      <c r="L888" t="s">
        <v>2665</v>
      </c>
      <c r="M888" t="str">
        <f>IF('[1]Cleaned Text Field'!M888="","Unknown",'[1]Cleaned Text Field'!M888)</f>
        <v>First Class</v>
      </c>
      <c r="N888">
        <f>IF('[1]Cleaned Text Field'!N888="",0,'[1]Cleaned Text Field'!N888)</f>
        <v>7</v>
      </c>
      <c r="O888">
        <v>3989.9</v>
      </c>
      <c r="P888" s="5">
        <f>IF('[1]Cleaned Text Field'!P888="",0,'[1]Cleaned Text Field'!P888)</f>
        <v>0.15</v>
      </c>
      <c r="Q888">
        <v>23739.9</v>
      </c>
      <c r="R888">
        <v>17716.52</v>
      </c>
      <c r="S888">
        <v>6023.38</v>
      </c>
      <c r="T888" t="str">
        <f>PROPER(TRIM([1]raw_orders!T888))</f>
        <v>Paid</v>
      </c>
      <c r="U888" t="str">
        <f>PROPER(TRIM([1]raw_orders!U888))</f>
        <v>Cancelled</v>
      </c>
      <c r="V888" s="6">
        <f t="shared" si="104"/>
        <v>0.25372389942670354</v>
      </c>
      <c r="W888" t="str">
        <f t="shared" si="105"/>
        <v>April</v>
      </c>
      <c r="X888">
        <f t="shared" si="106"/>
        <v>2025</v>
      </c>
      <c r="Y888">
        <f t="shared" si="107"/>
        <v>-52</v>
      </c>
      <c r="Z888" s="7">
        <f t="shared" si="108"/>
        <v>0.15</v>
      </c>
      <c r="AA888">
        <f t="shared" si="109"/>
        <v>23739.904999999999</v>
      </c>
      <c r="AB888">
        <f t="shared" si="110"/>
        <v>6023.380000000001</v>
      </c>
      <c r="AC888" t="str">
        <f t="shared" si="111"/>
        <v>Warning</v>
      </c>
    </row>
    <row r="889" spans="1:29">
      <c r="A889" t="s">
        <v>2666</v>
      </c>
      <c r="B889" s="4">
        <v>45455</v>
      </c>
      <c r="C889" s="4">
        <v>45461</v>
      </c>
      <c r="D889" t="s">
        <v>2667</v>
      </c>
      <c r="E889" t="str">
        <f>PROPER(TRIM([1]raw_orders!E889))</f>
        <v>Aarav Sharma</v>
      </c>
      <c r="F889" t="str">
        <f>PROPER(TRIM([1]raw_orders!F889))</f>
        <v>Small Business</v>
      </c>
      <c r="G889" t="str">
        <f>IF('[1]Cleaned Text Field'!G889="","Unknown",'[1]Cleaned Text Field'!G889)</f>
        <v>South</v>
      </c>
      <c r="H889" t="str">
        <f>PROPER(TRIM([1]raw_orders!H889))</f>
        <v>Andhra Pradesh</v>
      </c>
      <c r="I889" t="str">
        <f>PROPER(TRIM([1]raw_orders!I889))</f>
        <v>Vijayawada</v>
      </c>
      <c r="J889" t="str">
        <f>PROPER(TRIM([1]raw_orders!J889))</f>
        <v>Office Supplies</v>
      </c>
      <c r="K889" t="str">
        <f>PROPER(TRIM([1]raw_orders!K889))</f>
        <v>Art</v>
      </c>
      <c r="L889" t="s">
        <v>2668</v>
      </c>
      <c r="M889" t="str">
        <f>IF('[1]Cleaned Text Field'!M889="","Unknown",'[1]Cleaned Text Field'!M889)</f>
        <v>Standard Class</v>
      </c>
      <c r="N889">
        <f>IF('[1]Cleaned Text Field'!N889="",0,'[1]Cleaned Text Field'!N889)</f>
        <v>4</v>
      </c>
      <c r="O889">
        <v>4176.13</v>
      </c>
      <c r="P889" s="5">
        <f>IF('[1]Cleaned Text Field'!P889="",0,'[1]Cleaned Text Field'!P889)</f>
        <v>0</v>
      </c>
      <c r="Q889">
        <v>16704.52</v>
      </c>
      <c r="R889">
        <v>10158.280000000001</v>
      </c>
      <c r="S889">
        <v>6546.24</v>
      </c>
      <c r="T889" t="str">
        <f>PROPER(TRIM([1]raw_orders!T889))</f>
        <v>Paid</v>
      </c>
      <c r="U889" t="str">
        <f>PROPER(TRIM([1]raw_orders!U889))</f>
        <v>Completed</v>
      </c>
      <c r="V889" s="6">
        <f t="shared" si="104"/>
        <v>0.39188435225914897</v>
      </c>
      <c r="W889" t="str">
        <f t="shared" si="105"/>
        <v>June</v>
      </c>
      <c r="X889">
        <f t="shared" si="106"/>
        <v>2024</v>
      </c>
      <c r="Y889">
        <f t="shared" si="107"/>
        <v>6</v>
      </c>
      <c r="Z889" s="7">
        <f t="shared" si="108"/>
        <v>0</v>
      </c>
      <c r="AA889">
        <f t="shared" si="109"/>
        <v>16704.52</v>
      </c>
      <c r="AB889">
        <f t="shared" si="110"/>
        <v>6546.24</v>
      </c>
      <c r="AC889" t="str">
        <f t="shared" si="111"/>
        <v>Clean</v>
      </c>
    </row>
    <row r="890" spans="1:29">
      <c r="A890" t="s">
        <v>2669</v>
      </c>
      <c r="B890" s="4">
        <v>45816</v>
      </c>
      <c r="C890" s="4">
        <v>45846</v>
      </c>
      <c r="D890" t="s">
        <v>2670</v>
      </c>
      <c r="E890" t="str">
        <f>PROPER(TRIM([1]raw_orders!E890))</f>
        <v>Rahul Verma</v>
      </c>
      <c r="F890" t="str">
        <f>PROPER(TRIM([1]raw_orders!F890))</f>
        <v>Small Business</v>
      </c>
      <c r="G890" t="str">
        <f>IF('[1]Cleaned Text Field'!G890="","Unknown",'[1]Cleaned Text Field'!G890)</f>
        <v>West</v>
      </c>
      <c r="H890" t="str">
        <f>PROPER(TRIM([1]raw_orders!H890))</f>
        <v>Maharashtra</v>
      </c>
      <c r="I890" t="str">
        <f>PROPER(TRIM([1]raw_orders!I890))</f>
        <v>Mumbai</v>
      </c>
      <c r="J890" t="str">
        <f>PROPER(TRIM([1]raw_orders!J890))</f>
        <v>Office Supplies</v>
      </c>
      <c r="K890" t="str">
        <f>PROPER(TRIM([1]raw_orders!K890))</f>
        <v>Art</v>
      </c>
      <c r="L890" t="s">
        <v>2671</v>
      </c>
      <c r="M890" t="str">
        <f>IF('[1]Cleaned Text Field'!M890="","Unknown",'[1]Cleaned Text Field'!M890)</f>
        <v>Standard Class</v>
      </c>
      <c r="N890">
        <f>IF('[1]Cleaned Text Field'!N890="",0,'[1]Cleaned Text Field'!N890)</f>
        <v>4</v>
      </c>
      <c r="O890">
        <v>3523.64</v>
      </c>
      <c r="P890" s="5">
        <f>IF('[1]Cleaned Text Field'!P890="",0,'[1]Cleaned Text Field'!P890)</f>
        <v>0.1</v>
      </c>
      <c r="Q890">
        <v>12685.1</v>
      </c>
      <c r="R890">
        <v>10779.56</v>
      </c>
      <c r="S890">
        <v>1905.54</v>
      </c>
      <c r="T890" t="str">
        <f>PROPER(TRIM([1]raw_orders!T890))</f>
        <v>Refunded</v>
      </c>
      <c r="U890" t="str">
        <f>PROPER(TRIM([1]raw_orders!U890))</f>
        <v>Cancelled</v>
      </c>
      <c r="V890" s="6">
        <f t="shared" si="104"/>
        <v>0.15021876059313682</v>
      </c>
      <c r="W890" t="str">
        <f t="shared" si="105"/>
        <v>June</v>
      </c>
      <c r="X890">
        <f t="shared" si="106"/>
        <v>2025</v>
      </c>
      <c r="Y890">
        <f t="shared" si="107"/>
        <v>30</v>
      </c>
      <c r="Z890" s="7">
        <f t="shared" si="108"/>
        <v>0.1</v>
      </c>
      <c r="AA890">
        <f t="shared" si="109"/>
        <v>12685.103999999999</v>
      </c>
      <c r="AB890">
        <f t="shared" si="110"/>
        <v>1905.5400000000009</v>
      </c>
      <c r="AC890" t="str">
        <f t="shared" si="111"/>
        <v>Clean</v>
      </c>
    </row>
    <row r="891" spans="1:29">
      <c r="A891" t="s">
        <v>2672</v>
      </c>
      <c r="B891" s="4">
        <v>45726</v>
      </c>
      <c r="C891" s="4">
        <v>45727</v>
      </c>
      <c r="D891" t="s">
        <v>824</v>
      </c>
      <c r="E891" t="str">
        <f>PROPER(TRIM([1]raw_orders!E891))</f>
        <v>Aditi Sen</v>
      </c>
      <c r="F891" t="str">
        <f>PROPER(TRIM([1]raw_orders!F891))</f>
        <v>Home Office</v>
      </c>
      <c r="G891" t="str">
        <f>IF('[1]Cleaned Text Field'!G891="","Unknown",'[1]Cleaned Text Field'!G891)</f>
        <v>West</v>
      </c>
      <c r="H891" t="str">
        <f>PROPER(TRIM([1]raw_orders!H891))</f>
        <v>Madhya Pradesh</v>
      </c>
      <c r="I891" t="str">
        <f>PROPER(TRIM([1]raw_orders!I891))</f>
        <v>Indore</v>
      </c>
      <c r="J891" t="str">
        <f>PROPER(TRIM([1]raw_orders!J891))</f>
        <v>Office Supplies</v>
      </c>
      <c r="K891" t="str">
        <f>PROPER(TRIM([1]raw_orders!K891))</f>
        <v>Storage</v>
      </c>
      <c r="L891" t="s">
        <v>2673</v>
      </c>
      <c r="M891" t="str">
        <f>IF('[1]Cleaned Text Field'!M891="","Unknown",'[1]Cleaned Text Field'!M891)</f>
        <v>First Class</v>
      </c>
      <c r="N891">
        <f>IF('[1]Cleaned Text Field'!N891="",0,'[1]Cleaned Text Field'!N891)</f>
        <v>2</v>
      </c>
      <c r="O891">
        <v>3922.08</v>
      </c>
      <c r="P891" s="5">
        <f>IF('[1]Cleaned Text Field'!P891="",0,'[1]Cleaned Text Field'!P891)</f>
        <v>0.25</v>
      </c>
      <c r="Q891">
        <v>5883.12</v>
      </c>
      <c r="R891">
        <v>4647.91</v>
      </c>
      <c r="S891">
        <v>1235.21</v>
      </c>
      <c r="T891" t="str">
        <f>PROPER(TRIM([1]raw_orders!T891))</f>
        <v>Paid</v>
      </c>
      <c r="U891" t="str">
        <f>PROPER(TRIM([1]raw_orders!U891))</f>
        <v>Returned</v>
      </c>
      <c r="V891" s="6">
        <f t="shared" si="104"/>
        <v>0.20995832143488491</v>
      </c>
      <c r="W891" t="str">
        <f t="shared" si="105"/>
        <v>March</v>
      </c>
      <c r="X891">
        <f t="shared" si="106"/>
        <v>2025</v>
      </c>
      <c r="Y891">
        <f t="shared" si="107"/>
        <v>1</v>
      </c>
      <c r="Z891" s="7">
        <f t="shared" si="108"/>
        <v>0.25</v>
      </c>
      <c r="AA891">
        <f t="shared" si="109"/>
        <v>5883.12</v>
      </c>
      <c r="AB891">
        <f t="shared" si="110"/>
        <v>1235.21</v>
      </c>
      <c r="AC891" t="str">
        <f t="shared" si="111"/>
        <v>Clean</v>
      </c>
    </row>
    <row r="892" spans="1:29">
      <c r="A892" t="s">
        <v>2674</v>
      </c>
      <c r="B892" s="4">
        <v>45427</v>
      </c>
      <c r="C892" s="4">
        <v>45433</v>
      </c>
      <c r="D892" t="s">
        <v>2675</v>
      </c>
      <c r="E892" t="str">
        <f>PROPER(TRIM([1]raw_orders!E892))</f>
        <v>Karan Malhotra</v>
      </c>
      <c r="F892" t="str">
        <f>PROPER(TRIM([1]raw_orders!F892))</f>
        <v>Consumer</v>
      </c>
      <c r="G892" t="str">
        <f>IF('[1]Cleaned Text Field'!G892="","Unknown",'[1]Cleaned Text Field'!G892)</f>
        <v>West</v>
      </c>
      <c r="H892" t="str">
        <f>PROPER(TRIM([1]raw_orders!H892))</f>
        <v>Goa</v>
      </c>
      <c r="I892" t="str">
        <f>PROPER(TRIM([1]raw_orders!I892))</f>
        <v>Panaji</v>
      </c>
      <c r="J892" t="str">
        <f>PROPER(TRIM([1]raw_orders!J892))</f>
        <v>Office Supplies</v>
      </c>
      <c r="K892" t="str">
        <f>PROPER(TRIM([1]raw_orders!K892))</f>
        <v>Storage</v>
      </c>
      <c r="L892" t="s">
        <v>2676</v>
      </c>
      <c r="M892" t="str">
        <f>IF('[1]Cleaned Text Field'!M892="","Unknown",'[1]Cleaned Text Field'!M892)</f>
        <v>Standard Class</v>
      </c>
      <c r="N892">
        <f>IF('[1]Cleaned Text Field'!N892="",0,'[1]Cleaned Text Field'!N892)</f>
        <v>6</v>
      </c>
      <c r="O892">
        <v>2909.56</v>
      </c>
      <c r="P892" s="5">
        <f>IF('[1]Cleaned Text Field'!P892="",0,'[1]Cleaned Text Field'!P892)</f>
        <v>0.2</v>
      </c>
      <c r="Q892">
        <v>13965.89</v>
      </c>
      <c r="R892">
        <v>11646.12</v>
      </c>
      <c r="S892">
        <v>2319.77</v>
      </c>
      <c r="T892" t="str">
        <f>PROPER(TRIM([1]raw_orders!T892))</f>
        <v>Paid</v>
      </c>
      <c r="U892" t="str">
        <f>PROPER(TRIM([1]raw_orders!U892))</f>
        <v>Completed</v>
      </c>
      <c r="V892" s="6">
        <f t="shared" si="104"/>
        <v>0.16610255415157932</v>
      </c>
      <c r="W892" t="str">
        <f t="shared" si="105"/>
        <v>May</v>
      </c>
      <c r="X892">
        <f t="shared" si="106"/>
        <v>2024</v>
      </c>
      <c r="Y892">
        <f t="shared" si="107"/>
        <v>6</v>
      </c>
      <c r="Z892" s="7">
        <f t="shared" si="108"/>
        <v>0.2</v>
      </c>
      <c r="AA892">
        <f t="shared" si="109"/>
        <v>13965.888000000001</v>
      </c>
      <c r="AB892">
        <f t="shared" si="110"/>
        <v>2319.7699999999986</v>
      </c>
      <c r="AC892" t="str">
        <f t="shared" si="111"/>
        <v>Clean</v>
      </c>
    </row>
    <row r="893" spans="1:29">
      <c r="A893" t="s">
        <v>2677</v>
      </c>
      <c r="B893" s="4">
        <v>45573</v>
      </c>
      <c r="C893" s="4">
        <v>45545</v>
      </c>
      <c r="D893" t="s">
        <v>2678</v>
      </c>
      <c r="E893" t="str">
        <f>PROPER(TRIM([1]raw_orders!E893))</f>
        <v>Kabir Singh</v>
      </c>
      <c r="F893" t="str">
        <f>PROPER(TRIM([1]raw_orders!F893))</f>
        <v>Corporate</v>
      </c>
      <c r="G893" t="str">
        <f>IF('[1]Cleaned Text Field'!G893="","Unknown",'[1]Cleaned Text Field'!G893)</f>
        <v>South</v>
      </c>
      <c r="H893" t="str">
        <f>PROPER(TRIM([1]raw_orders!H893))</f>
        <v>Tamil Nadu</v>
      </c>
      <c r="I893" t="str">
        <f>PROPER(TRIM([1]raw_orders!I893))</f>
        <v>Chennai</v>
      </c>
      <c r="J893" t="str">
        <f>PROPER(TRIM([1]raw_orders!J893))</f>
        <v>Technology</v>
      </c>
      <c r="K893" t="str">
        <f>PROPER(TRIM([1]raw_orders!K893))</f>
        <v>Machines</v>
      </c>
      <c r="L893" t="s">
        <v>2679</v>
      </c>
      <c r="M893" t="str">
        <f>IF('[1]Cleaned Text Field'!M893="","Unknown",'[1]Cleaned Text Field'!M893)</f>
        <v>Same Day</v>
      </c>
      <c r="N893">
        <f>IF('[1]Cleaned Text Field'!N893="",0,'[1]Cleaned Text Field'!N893)</f>
        <v>5</v>
      </c>
      <c r="O893">
        <v>2407.9699999999998</v>
      </c>
      <c r="P893" s="5">
        <f>IF('[1]Cleaned Text Field'!P893="",0,'[1]Cleaned Text Field'!P893)</f>
        <v>0.1</v>
      </c>
      <c r="Q893">
        <v>10835.86</v>
      </c>
      <c r="R893">
        <v>6419.92</v>
      </c>
      <c r="S893">
        <v>4415.9399999999996</v>
      </c>
      <c r="T893" t="str">
        <f>PROPER(TRIM([1]raw_orders!T893))</f>
        <v>Failed</v>
      </c>
      <c r="U893" t="str">
        <f>PROPER(TRIM([1]raw_orders!U893))</f>
        <v>Cancelled</v>
      </c>
      <c r="V893" s="6">
        <f t="shared" si="104"/>
        <v>0.40753018219135345</v>
      </c>
      <c r="W893" t="str">
        <f t="shared" si="105"/>
        <v>October</v>
      </c>
      <c r="X893">
        <f t="shared" si="106"/>
        <v>2024</v>
      </c>
      <c r="Y893">
        <f t="shared" si="107"/>
        <v>-28</v>
      </c>
      <c r="Z893" s="7">
        <f t="shared" si="108"/>
        <v>0.1</v>
      </c>
      <c r="AA893">
        <f t="shared" si="109"/>
        <v>10835.865</v>
      </c>
      <c r="AB893">
        <f t="shared" si="110"/>
        <v>4415.9400000000005</v>
      </c>
      <c r="AC893" t="str">
        <f t="shared" si="111"/>
        <v>Warning</v>
      </c>
    </row>
    <row r="894" spans="1:29">
      <c r="A894" t="s">
        <v>2680</v>
      </c>
      <c r="B894" s="4">
        <v>45759</v>
      </c>
      <c r="C894" s="4">
        <v>45765</v>
      </c>
      <c r="D894" t="s">
        <v>2681</v>
      </c>
      <c r="E894" t="str">
        <f>PROPER(TRIM([1]raw_orders!E894))</f>
        <v>Isha Nair</v>
      </c>
      <c r="F894" t="str">
        <f>PROPER(TRIM([1]raw_orders!F894))</f>
        <v>Small Business</v>
      </c>
      <c r="G894" t="str">
        <f>IF('[1]Cleaned Text Field'!G894="","Unknown",'[1]Cleaned Text Field'!G894)</f>
        <v>East</v>
      </c>
      <c r="H894" t="str">
        <f>PROPER(TRIM([1]raw_orders!H894))</f>
        <v>Jharkhand</v>
      </c>
      <c r="I894" t="str">
        <f>PROPER(TRIM([1]raw_orders!I894))</f>
        <v>Ranchi</v>
      </c>
      <c r="J894" t="str">
        <f>PROPER(TRIM([1]raw_orders!J894))</f>
        <v>Technology</v>
      </c>
      <c r="K894" t="str">
        <f>PROPER(TRIM([1]raw_orders!K894))</f>
        <v>Copiers</v>
      </c>
      <c r="L894" t="s">
        <v>2682</v>
      </c>
      <c r="M894" t="str">
        <f>IF('[1]Cleaned Text Field'!M894="","Unknown",'[1]Cleaned Text Field'!M894)</f>
        <v>Same Day</v>
      </c>
      <c r="N894">
        <f>IF('[1]Cleaned Text Field'!N894="",0,'[1]Cleaned Text Field'!N894)</f>
        <v>1</v>
      </c>
      <c r="O894">
        <v>726.89</v>
      </c>
      <c r="P894" s="5">
        <f>IF('[1]Cleaned Text Field'!P894="",0,'[1]Cleaned Text Field'!P894)</f>
        <v>0.2</v>
      </c>
      <c r="Q894">
        <v>581.51</v>
      </c>
      <c r="R894">
        <v>423.86</v>
      </c>
      <c r="S894">
        <v>157.65</v>
      </c>
      <c r="T894" t="str">
        <f>PROPER(TRIM([1]raw_orders!T894))</f>
        <v>Paid</v>
      </c>
      <c r="U894" t="str">
        <f>PROPER(TRIM([1]raw_orders!U894))</f>
        <v>Completed</v>
      </c>
      <c r="V894" s="6">
        <f t="shared" si="104"/>
        <v>0.27110453818506991</v>
      </c>
      <c r="W894" t="str">
        <f t="shared" si="105"/>
        <v>April</v>
      </c>
      <c r="X894">
        <f t="shared" si="106"/>
        <v>2025</v>
      </c>
      <c r="Y894">
        <f t="shared" si="107"/>
        <v>6</v>
      </c>
      <c r="Z894" s="7">
        <f t="shared" si="108"/>
        <v>0.2</v>
      </c>
      <c r="AA894">
        <f t="shared" si="109"/>
        <v>581.51200000000006</v>
      </c>
      <c r="AB894">
        <f t="shared" si="110"/>
        <v>157.64999999999998</v>
      </c>
      <c r="AC894" t="str">
        <f t="shared" si="111"/>
        <v>Clean</v>
      </c>
    </row>
    <row r="895" spans="1:29">
      <c r="A895" t="s">
        <v>2683</v>
      </c>
      <c r="B895" s="4">
        <v>45449</v>
      </c>
      <c r="C895" s="4">
        <v>45451</v>
      </c>
      <c r="D895" t="s">
        <v>2684</v>
      </c>
      <c r="E895" t="str">
        <f>PROPER(TRIM([1]raw_orders!E895))</f>
        <v>Aarav Sharma</v>
      </c>
      <c r="F895" t="str">
        <f>PROPER(TRIM([1]raw_orders!F895))</f>
        <v>Corporate</v>
      </c>
      <c r="G895" t="str">
        <f>IF('[1]Cleaned Text Field'!G895="","Unknown",'[1]Cleaned Text Field'!G895)</f>
        <v>South</v>
      </c>
      <c r="H895" t="str">
        <f>PROPER(TRIM([1]raw_orders!H895))</f>
        <v>Karnataka</v>
      </c>
      <c r="I895" t="str">
        <f>PROPER(TRIM([1]raw_orders!I895))</f>
        <v>Bengaluru</v>
      </c>
      <c r="J895" t="str">
        <f>PROPER(TRIM([1]raw_orders!J895))</f>
        <v>Furniture</v>
      </c>
      <c r="K895" t="str">
        <f>PROPER(TRIM([1]raw_orders!K895))</f>
        <v>Tables</v>
      </c>
      <c r="L895" t="s">
        <v>2685</v>
      </c>
      <c r="M895" t="str">
        <f>IF('[1]Cleaned Text Field'!M895="","Unknown",'[1]Cleaned Text Field'!M895)</f>
        <v>Second Class</v>
      </c>
      <c r="N895">
        <f>IF('[1]Cleaned Text Field'!N895="",0,'[1]Cleaned Text Field'!N895)</f>
        <v>3</v>
      </c>
      <c r="O895">
        <v>395.49</v>
      </c>
      <c r="P895" s="5">
        <f>IF('[1]Cleaned Text Field'!P895="",0,'[1]Cleaned Text Field'!P895)</f>
        <v>0.05</v>
      </c>
      <c r="Q895">
        <v>1127.1500000000001</v>
      </c>
      <c r="R895">
        <v>845.62</v>
      </c>
      <c r="S895">
        <v>281.52999999999997</v>
      </c>
      <c r="T895" t="str">
        <f>PROPER(TRIM([1]raw_orders!T895))</f>
        <v>Paid</v>
      </c>
      <c r="U895" t="str">
        <f>PROPER(TRIM([1]raw_orders!U895))</f>
        <v>Returned</v>
      </c>
      <c r="V895" s="6">
        <f t="shared" si="104"/>
        <v>0.24977154770882309</v>
      </c>
      <c r="W895" t="str">
        <f t="shared" si="105"/>
        <v>June</v>
      </c>
      <c r="X895">
        <f t="shared" si="106"/>
        <v>2024</v>
      </c>
      <c r="Y895">
        <f t="shared" si="107"/>
        <v>2</v>
      </c>
      <c r="Z895" s="7">
        <f t="shared" si="108"/>
        <v>0.05</v>
      </c>
      <c r="AA895">
        <f t="shared" si="109"/>
        <v>1127.1465000000001</v>
      </c>
      <c r="AB895">
        <f t="shared" si="110"/>
        <v>281.53000000000009</v>
      </c>
      <c r="AC895" t="str">
        <f t="shared" si="111"/>
        <v>Clean</v>
      </c>
    </row>
    <row r="896" spans="1:29">
      <c r="A896" t="s">
        <v>2686</v>
      </c>
      <c r="B896" s="4">
        <v>45344</v>
      </c>
      <c r="C896" s="4">
        <v>45351</v>
      </c>
      <c r="D896" t="s">
        <v>2687</v>
      </c>
      <c r="E896" t="str">
        <f>PROPER(TRIM([1]raw_orders!E896))</f>
        <v>Isha Nair</v>
      </c>
      <c r="F896" t="str">
        <f>PROPER(TRIM([1]raw_orders!F896))</f>
        <v>Home Office</v>
      </c>
      <c r="G896" t="str">
        <f>IF('[1]Cleaned Text Field'!G896="","Unknown",'[1]Cleaned Text Field'!G896)</f>
        <v>South</v>
      </c>
      <c r="H896" t="str">
        <f>PROPER(TRIM([1]raw_orders!H896))</f>
        <v>Telangana</v>
      </c>
      <c r="I896" t="str">
        <f>PROPER(TRIM([1]raw_orders!I896))</f>
        <v>Hyderabad</v>
      </c>
      <c r="J896" t="str">
        <f>PROPER(TRIM([1]raw_orders!J896))</f>
        <v>Furniture</v>
      </c>
      <c r="K896" t="str">
        <f>PROPER(TRIM([1]raw_orders!K896))</f>
        <v>Tables</v>
      </c>
      <c r="L896" t="s">
        <v>2688</v>
      </c>
      <c r="M896" t="str">
        <f>IF('[1]Cleaned Text Field'!M896="","Unknown",'[1]Cleaned Text Field'!M896)</f>
        <v>First Class</v>
      </c>
      <c r="N896">
        <f>IF('[1]Cleaned Text Field'!N896="",0,'[1]Cleaned Text Field'!N896)</f>
        <v>6</v>
      </c>
      <c r="O896">
        <v>4254.05</v>
      </c>
      <c r="P896" s="5">
        <f>IF('[1]Cleaned Text Field'!P896="",0,'[1]Cleaned Text Field'!P896)</f>
        <v>0</v>
      </c>
      <c r="Q896">
        <v>25524.3</v>
      </c>
      <c r="R896">
        <v>16711.93</v>
      </c>
      <c r="S896">
        <v>8812.3700000000008</v>
      </c>
      <c r="T896" t="str">
        <f>PROPER(TRIM([1]raw_orders!T896))</f>
        <v>Paid</v>
      </c>
      <c r="U896" t="str">
        <f>PROPER(TRIM([1]raw_orders!U896))</f>
        <v>Completed</v>
      </c>
      <c r="V896" s="6">
        <f t="shared" si="104"/>
        <v>0.34525413037771852</v>
      </c>
      <c r="W896" t="str">
        <f t="shared" si="105"/>
        <v>February</v>
      </c>
      <c r="X896">
        <f t="shared" si="106"/>
        <v>2024</v>
      </c>
      <c r="Y896">
        <f t="shared" si="107"/>
        <v>7</v>
      </c>
      <c r="Z896" s="7">
        <f t="shared" si="108"/>
        <v>0</v>
      </c>
      <c r="AA896">
        <f t="shared" si="109"/>
        <v>25524.300000000003</v>
      </c>
      <c r="AB896">
        <f t="shared" si="110"/>
        <v>8812.369999999999</v>
      </c>
      <c r="AC896" t="str">
        <f t="shared" si="111"/>
        <v>Clean</v>
      </c>
    </row>
    <row r="897" spans="1:29">
      <c r="A897" t="s">
        <v>2689</v>
      </c>
      <c r="B897" s="4">
        <v>45601</v>
      </c>
      <c r="C897" s="4">
        <v>45606</v>
      </c>
      <c r="D897" t="s">
        <v>2690</v>
      </c>
      <c r="E897" t="str">
        <f>PROPER(TRIM([1]raw_orders!E897))</f>
        <v>Arjun Bose</v>
      </c>
      <c r="F897" t="str">
        <f>PROPER(TRIM([1]raw_orders!F897))</f>
        <v>Consumer</v>
      </c>
      <c r="G897" t="str">
        <f>IF('[1]Cleaned Text Field'!G897="","Unknown",'[1]Cleaned Text Field'!G897)</f>
        <v>South</v>
      </c>
      <c r="H897" t="str">
        <f>PROPER(TRIM([1]raw_orders!H897))</f>
        <v>Kerala</v>
      </c>
      <c r="I897" t="str">
        <f>PROPER(TRIM([1]raw_orders!I897))</f>
        <v>Kochi</v>
      </c>
      <c r="J897" t="str">
        <f>PROPER(TRIM([1]raw_orders!J897))</f>
        <v>Furniture</v>
      </c>
      <c r="K897" t="str">
        <f>PROPER(TRIM([1]raw_orders!K897))</f>
        <v>Chairs</v>
      </c>
      <c r="L897" t="s">
        <v>2691</v>
      </c>
      <c r="M897" t="str">
        <f>IF('[1]Cleaned Text Field'!M897="","Unknown",'[1]Cleaned Text Field'!M897)</f>
        <v>Same Day</v>
      </c>
      <c r="N897">
        <f>IF('[1]Cleaned Text Field'!N897="",0,'[1]Cleaned Text Field'!N897)</f>
        <v>4</v>
      </c>
      <c r="O897">
        <v>711.18</v>
      </c>
      <c r="P897" s="5">
        <f>IF('[1]Cleaned Text Field'!P897="",0,'[1]Cleaned Text Field'!P897)</f>
        <v>0.15</v>
      </c>
      <c r="Q897">
        <v>2418.0100000000002</v>
      </c>
      <c r="R897">
        <v>1441.89</v>
      </c>
      <c r="S897">
        <v>976.12</v>
      </c>
      <c r="T897" t="str">
        <f>PROPER(TRIM([1]raw_orders!T897))</f>
        <v>Pending</v>
      </c>
      <c r="U897" t="str">
        <f>PROPER(TRIM([1]raw_orders!U897))</f>
        <v>Returned</v>
      </c>
      <c r="V897" s="6">
        <f t="shared" si="104"/>
        <v>0.40368732966364901</v>
      </c>
      <c r="W897" t="str">
        <f t="shared" si="105"/>
        <v>November</v>
      </c>
      <c r="X897">
        <f t="shared" si="106"/>
        <v>2024</v>
      </c>
      <c r="Y897">
        <f t="shared" si="107"/>
        <v>5</v>
      </c>
      <c r="Z897" s="7">
        <f t="shared" si="108"/>
        <v>0.15</v>
      </c>
      <c r="AA897">
        <f t="shared" si="109"/>
        <v>2418.0119999999997</v>
      </c>
      <c r="AB897">
        <f t="shared" si="110"/>
        <v>976.12000000000012</v>
      </c>
      <c r="AC897" t="str">
        <f t="shared" si="111"/>
        <v>Clean</v>
      </c>
    </row>
    <row r="898" spans="1:29">
      <c r="A898" t="s">
        <v>2692</v>
      </c>
      <c r="B898" s="4">
        <v>45650</v>
      </c>
      <c r="C898" s="4">
        <v>45651</v>
      </c>
      <c r="D898" t="s">
        <v>2693</v>
      </c>
      <c r="E898" t="str">
        <f>PROPER(TRIM([1]raw_orders!E898))</f>
        <v>Ananya Rao</v>
      </c>
      <c r="F898" t="str">
        <f>PROPER(TRIM([1]raw_orders!F898))</f>
        <v>Small Business</v>
      </c>
      <c r="G898" t="str">
        <f>IF('[1]Cleaned Text Field'!G898="","Unknown",'[1]Cleaned Text Field'!G898)</f>
        <v>South</v>
      </c>
      <c r="H898" t="str">
        <f>PROPER(TRIM([1]raw_orders!H898))</f>
        <v>Tamil Nadu</v>
      </c>
      <c r="I898" t="str">
        <f>PROPER(TRIM([1]raw_orders!I898))</f>
        <v>Chennai</v>
      </c>
      <c r="J898" t="str">
        <f>PROPER(TRIM([1]raw_orders!J898))</f>
        <v>Technology</v>
      </c>
      <c r="K898" t="str">
        <f>PROPER(TRIM([1]raw_orders!K898))</f>
        <v>Copiers</v>
      </c>
      <c r="L898" t="s">
        <v>2694</v>
      </c>
      <c r="M898" t="str">
        <f>IF('[1]Cleaned Text Field'!M898="","Unknown",'[1]Cleaned Text Field'!M898)</f>
        <v>Second Class</v>
      </c>
      <c r="N898">
        <f>IF('[1]Cleaned Text Field'!N898="",0,'[1]Cleaned Text Field'!N898)</f>
        <v>1</v>
      </c>
      <c r="O898">
        <v>3693.03</v>
      </c>
      <c r="P898" s="5">
        <f>IF('[1]Cleaned Text Field'!P898="",0,'[1]Cleaned Text Field'!P898)</f>
        <v>0.05</v>
      </c>
      <c r="Q898">
        <v>3508.38</v>
      </c>
      <c r="R898">
        <v>2828.06</v>
      </c>
      <c r="S898">
        <v>680.32</v>
      </c>
      <c r="T898" t="str">
        <f>PROPER(TRIM([1]raw_orders!T898))</f>
        <v>Failed</v>
      </c>
      <c r="U898" t="str">
        <f>PROPER(TRIM([1]raw_orders!U898))</f>
        <v>Returned</v>
      </c>
      <c r="V898" s="6">
        <f t="shared" si="104"/>
        <v>0.19391286006646943</v>
      </c>
      <c r="W898" t="str">
        <f t="shared" si="105"/>
        <v>December</v>
      </c>
      <c r="X898">
        <f t="shared" si="106"/>
        <v>2024</v>
      </c>
      <c r="Y898">
        <f t="shared" si="107"/>
        <v>1</v>
      </c>
      <c r="Z898" s="7">
        <f t="shared" si="108"/>
        <v>0.05</v>
      </c>
      <c r="AA898">
        <f t="shared" si="109"/>
        <v>3508.3784999999998</v>
      </c>
      <c r="AB898">
        <f t="shared" si="110"/>
        <v>680.32000000000016</v>
      </c>
      <c r="AC898" t="str">
        <f t="shared" si="111"/>
        <v>Clean</v>
      </c>
    </row>
    <row r="899" spans="1:29">
      <c r="A899" t="s">
        <v>2695</v>
      </c>
      <c r="B899" s="4">
        <v>45776</v>
      </c>
      <c r="C899" s="4">
        <v>45780</v>
      </c>
      <c r="D899" t="s">
        <v>2062</v>
      </c>
      <c r="E899" t="str">
        <f>PROPER(TRIM([1]raw_orders!E899))</f>
        <v>Rohan Mehta</v>
      </c>
      <c r="F899" t="str">
        <f>PROPER(TRIM([1]raw_orders!F899))</f>
        <v>Corporate</v>
      </c>
      <c r="G899" t="str">
        <f>IF('[1]Cleaned Text Field'!G899="","Unknown",'[1]Cleaned Text Field'!G899)</f>
        <v>North</v>
      </c>
      <c r="H899" t="str">
        <f>PROPER(TRIM([1]raw_orders!H899))</f>
        <v>Haryana</v>
      </c>
      <c r="I899" t="str">
        <f>PROPER(TRIM([1]raw_orders!I899))</f>
        <v>Gurugram</v>
      </c>
      <c r="J899" t="str">
        <f>PROPER(TRIM([1]raw_orders!J899))</f>
        <v>Office Supplies</v>
      </c>
      <c r="K899" t="str">
        <f>PROPER(TRIM([1]raw_orders!K899))</f>
        <v>Paper</v>
      </c>
      <c r="L899" t="s">
        <v>2696</v>
      </c>
      <c r="M899" t="str">
        <f>IF('[1]Cleaned Text Field'!M899="","Unknown",'[1]Cleaned Text Field'!M899)</f>
        <v>First Class</v>
      </c>
      <c r="N899">
        <f>IF('[1]Cleaned Text Field'!N899="",0,'[1]Cleaned Text Field'!N899)</f>
        <v>4</v>
      </c>
      <c r="O899">
        <v>1786.65</v>
      </c>
      <c r="P899" s="5">
        <f>IF('[1]Cleaned Text Field'!P899="",0,'[1]Cleaned Text Field'!P899)</f>
        <v>0.05</v>
      </c>
      <c r="Q899">
        <v>6789.27</v>
      </c>
      <c r="R899">
        <v>5626.43</v>
      </c>
      <c r="S899">
        <v>1162.8399999999999</v>
      </c>
      <c r="T899" t="str">
        <f>PROPER(TRIM([1]raw_orders!T899))</f>
        <v>Paid</v>
      </c>
      <c r="U899" t="str">
        <f>PROPER(TRIM([1]raw_orders!U899))</f>
        <v>Completed</v>
      </c>
      <c r="V899" s="6">
        <f t="shared" ref="V899:V933" si="112">IF(Q899=0,0,S899/Q899)</f>
        <v>0.17127614603631905</v>
      </c>
      <c r="W899" t="str">
        <f t="shared" ref="W899:W933" si="113">TEXT(B899,"mmmm")</f>
        <v>April</v>
      </c>
      <c r="X899">
        <f t="shared" ref="X899:X933" si="114">YEAR(B899)</f>
        <v>2025</v>
      </c>
      <c r="Y899">
        <f t="shared" ref="Y899:Y933" si="115">C899-B899</f>
        <v>4</v>
      </c>
      <c r="Z899" s="7">
        <f t="shared" ref="Z899:Z933" si="116">P899</f>
        <v>0.05</v>
      </c>
      <c r="AA899">
        <f t="shared" ref="AA899:AA933" si="117">N899*O899*(1-P899)</f>
        <v>6789.27</v>
      </c>
      <c r="AB899">
        <f t="shared" ref="AB899:AB933" si="118">Q899-R899</f>
        <v>1162.8400000000001</v>
      </c>
      <c r="AC899" t="str">
        <f t="shared" ref="AC899:AC933" si="119">IF(OR(B899="",C899="",AA899&lt;=0),"Invalid",IF(Y899&lt;0,"Warning",IF(Z899&gt;100%,"Warning","Clean")))</f>
        <v>Clean</v>
      </c>
    </row>
    <row r="900" spans="1:29">
      <c r="A900" t="s">
        <v>2697</v>
      </c>
      <c r="B900" s="4">
        <v>45445</v>
      </c>
      <c r="C900" s="4">
        <v>45451</v>
      </c>
      <c r="D900" t="s">
        <v>2698</v>
      </c>
      <c r="E900" t="str">
        <f>PROPER(TRIM([1]raw_orders!E900))</f>
        <v>Vikram Iyer</v>
      </c>
      <c r="F900" t="str">
        <f>PROPER(TRIM([1]raw_orders!F900))</f>
        <v>Consumer</v>
      </c>
      <c r="G900" t="str">
        <f>IF('[1]Cleaned Text Field'!G900="","Unknown",'[1]Cleaned Text Field'!G900)</f>
        <v>North</v>
      </c>
      <c r="H900" t="str">
        <f>PROPER(TRIM([1]raw_orders!H900))</f>
        <v>Delhi</v>
      </c>
      <c r="I900" t="str">
        <f>PROPER(TRIM([1]raw_orders!I900))</f>
        <v>New Delhi</v>
      </c>
      <c r="J900" t="str">
        <f>PROPER(TRIM([1]raw_orders!J900))</f>
        <v>Furniture</v>
      </c>
      <c r="K900" t="str">
        <f>PROPER(TRIM([1]raw_orders!K900))</f>
        <v>Tables</v>
      </c>
      <c r="L900" t="s">
        <v>2699</v>
      </c>
      <c r="M900" t="str">
        <f>IF('[1]Cleaned Text Field'!M900="","Unknown",'[1]Cleaned Text Field'!M900)</f>
        <v>First Class</v>
      </c>
      <c r="N900">
        <f>IF('[1]Cleaned Text Field'!N900="",0,'[1]Cleaned Text Field'!N900)</f>
        <v>4</v>
      </c>
      <c r="O900">
        <v>1536.7</v>
      </c>
      <c r="P900" s="5">
        <f>IF('[1]Cleaned Text Field'!P900="",0,'[1]Cleaned Text Field'!P900)</f>
        <v>0.2</v>
      </c>
      <c r="Q900">
        <v>4917.4399999999996</v>
      </c>
      <c r="R900">
        <v>3846.77</v>
      </c>
      <c r="S900">
        <v>1070.67</v>
      </c>
      <c r="T900" t="str">
        <f>PROPER(TRIM([1]raw_orders!T900))</f>
        <v>Paid</v>
      </c>
      <c r="U900" t="str">
        <f>PROPER(TRIM([1]raw_orders!U900))</f>
        <v>Completed</v>
      </c>
      <c r="V900" s="6">
        <f t="shared" si="112"/>
        <v>0.21772914361944429</v>
      </c>
      <c r="W900" t="str">
        <f t="shared" si="113"/>
        <v>June</v>
      </c>
      <c r="X900">
        <f t="shared" si="114"/>
        <v>2024</v>
      </c>
      <c r="Y900">
        <f t="shared" si="115"/>
        <v>6</v>
      </c>
      <c r="Z900" s="7">
        <f t="shared" si="116"/>
        <v>0.2</v>
      </c>
      <c r="AA900">
        <f t="shared" si="117"/>
        <v>4917.4400000000005</v>
      </c>
      <c r="AB900">
        <f t="shared" si="118"/>
        <v>1070.6699999999996</v>
      </c>
      <c r="AC900" t="str">
        <f t="shared" si="119"/>
        <v>Clean</v>
      </c>
    </row>
    <row r="901" spans="1:29">
      <c r="A901" t="s">
        <v>2700</v>
      </c>
      <c r="B901" s="4">
        <v>45804</v>
      </c>
      <c r="C901" s="4">
        <v>45811</v>
      </c>
      <c r="D901" t="s">
        <v>2701</v>
      </c>
      <c r="E901" t="str">
        <f>PROPER(TRIM([1]raw_orders!E901))</f>
        <v>Karan Malhotra</v>
      </c>
      <c r="F901" t="str">
        <f>PROPER(TRIM([1]raw_orders!F901))</f>
        <v>Consumer</v>
      </c>
      <c r="G901" t="str">
        <f>IF('[1]Cleaned Text Field'!G901="","Unknown",'[1]Cleaned Text Field'!G901)</f>
        <v>North</v>
      </c>
      <c r="H901" t="str">
        <f>PROPER(TRIM([1]raw_orders!H901))</f>
        <v>Punjab</v>
      </c>
      <c r="I901" t="str">
        <f>PROPER(TRIM([1]raw_orders!I901))</f>
        <v>Ludhiana</v>
      </c>
      <c r="J901" t="str">
        <f>PROPER(TRIM([1]raw_orders!J901))</f>
        <v>Furniture</v>
      </c>
      <c r="K901" t="str">
        <f>PROPER(TRIM([1]raw_orders!K901))</f>
        <v>Chairs</v>
      </c>
      <c r="L901" t="s">
        <v>2702</v>
      </c>
      <c r="M901" t="str">
        <f>IF('[1]Cleaned Text Field'!M901="","Unknown",'[1]Cleaned Text Field'!M901)</f>
        <v>First Class</v>
      </c>
      <c r="N901">
        <f>IF('[1]Cleaned Text Field'!N901="",0,'[1]Cleaned Text Field'!N901)</f>
        <v>5</v>
      </c>
      <c r="O901">
        <v>881.08</v>
      </c>
      <c r="P901" s="5">
        <f>IF('[1]Cleaned Text Field'!P901="",0,'[1]Cleaned Text Field'!P901)</f>
        <v>0.25</v>
      </c>
      <c r="Q901">
        <v>3304.05</v>
      </c>
      <c r="R901">
        <v>2279.41</v>
      </c>
      <c r="S901">
        <v>1024.6400000000001</v>
      </c>
      <c r="T901" t="str">
        <f>PROPER(TRIM([1]raw_orders!T901))</f>
        <v>Failed</v>
      </c>
      <c r="U901" t="str">
        <f>PROPER(TRIM([1]raw_orders!U901))</f>
        <v>Cancelled</v>
      </c>
      <c r="V901" s="6">
        <f t="shared" si="112"/>
        <v>0.3101163723309272</v>
      </c>
      <c r="W901" t="str">
        <f t="shared" si="113"/>
        <v>May</v>
      </c>
      <c r="X901">
        <f t="shared" si="114"/>
        <v>2025</v>
      </c>
      <c r="Y901">
        <f t="shared" si="115"/>
        <v>7</v>
      </c>
      <c r="Z901" s="7">
        <f t="shared" si="116"/>
        <v>0.25</v>
      </c>
      <c r="AA901">
        <f t="shared" si="117"/>
        <v>3304.05</v>
      </c>
      <c r="AB901">
        <f t="shared" si="118"/>
        <v>1024.6400000000003</v>
      </c>
      <c r="AC901" t="str">
        <f t="shared" si="119"/>
        <v>Clean</v>
      </c>
    </row>
    <row r="902" spans="1:29">
      <c r="A902" t="s">
        <v>1546</v>
      </c>
      <c r="B902" s="4">
        <v>45383</v>
      </c>
      <c r="C902" s="4">
        <v>45391</v>
      </c>
      <c r="D902" t="s">
        <v>1547</v>
      </c>
      <c r="E902" t="str">
        <f>PROPER(TRIM([1]raw_orders!E902))</f>
        <v>Priya Menon</v>
      </c>
      <c r="F902" t="str">
        <f>PROPER(TRIM([1]raw_orders!F902))</f>
        <v>Small Business</v>
      </c>
      <c r="G902" t="str">
        <f>IF('[1]Cleaned Text Field'!G902="","Unknown",'[1]Cleaned Text Field'!G902)</f>
        <v>East</v>
      </c>
      <c r="H902" t="str">
        <f>PROPER(TRIM([1]raw_orders!H902))</f>
        <v>Odisha</v>
      </c>
      <c r="I902" t="str">
        <f>PROPER(TRIM([1]raw_orders!I902))</f>
        <v>Bhubaneswar</v>
      </c>
      <c r="J902" t="str">
        <f>PROPER(TRIM([1]raw_orders!J902))</f>
        <v>Technology</v>
      </c>
      <c r="K902" t="str">
        <f>PROPER(TRIM([1]raw_orders!K902))</f>
        <v>Copiers</v>
      </c>
      <c r="L902" t="s">
        <v>1548</v>
      </c>
      <c r="M902" t="str">
        <f>IF('[1]Cleaned Text Field'!M902="","Unknown",'[1]Cleaned Text Field'!M902)</f>
        <v>Second Class</v>
      </c>
      <c r="N902">
        <f>IF('[1]Cleaned Text Field'!N902="",0,'[1]Cleaned Text Field'!N902)</f>
        <v>6</v>
      </c>
      <c r="O902">
        <v>826.93</v>
      </c>
      <c r="P902" s="5">
        <f>IF('[1]Cleaned Text Field'!P902="",0,'[1]Cleaned Text Field'!P902)</f>
        <v>0.1</v>
      </c>
      <c r="Q902">
        <v>4465.42</v>
      </c>
      <c r="R902">
        <v>3377.1</v>
      </c>
      <c r="S902">
        <v>1088.32</v>
      </c>
      <c r="T902" t="str">
        <f>PROPER(TRIM([1]raw_orders!T902))</f>
        <v>Paid</v>
      </c>
      <c r="U902" t="str">
        <f>PROPER(TRIM([1]raw_orders!U902))</f>
        <v>Completed</v>
      </c>
      <c r="V902" s="6">
        <f t="shared" si="112"/>
        <v>0.24372175517644476</v>
      </c>
      <c r="W902" t="str">
        <f t="shared" si="113"/>
        <v>April</v>
      </c>
      <c r="X902">
        <f t="shared" si="114"/>
        <v>2024</v>
      </c>
      <c r="Y902">
        <f t="shared" si="115"/>
        <v>8</v>
      </c>
      <c r="Z902" s="7">
        <f t="shared" si="116"/>
        <v>0.1</v>
      </c>
      <c r="AA902">
        <f t="shared" si="117"/>
        <v>4465.4220000000005</v>
      </c>
      <c r="AB902">
        <f t="shared" si="118"/>
        <v>1088.3200000000002</v>
      </c>
      <c r="AC902" t="str">
        <f t="shared" si="119"/>
        <v>Clean</v>
      </c>
    </row>
    <row r="903" spans="1:29">
      <c r="A903" t="s">
        <v>1828</v>
      </c>
      <c r="B903" s="4">
        <v>45521</v>
      </c>
      <c r="C903" s="4">
        <v>45528</v>
      </c>
      <c r="D903" t="s">
        <v>1829</v>
      </c>
      <c r="E903" t="str">
        <f>PROPER(TRIM([1]raw_orders!E903))</f>
        <v>Ananya Rao</v>
      </c>
      <c r="F903" t="str">
        <f>PROPER(TRIM([1]raw_orders!F903))</f>
        <v>Corporate</v>
      </c>
      <c r="G903" t="str">
        <f>IF('[1]Cleaned Text Field'!G903="","Unknown",'[1]Cleaned Text Field'!G903)</f>
        <v>East</v>
      </c>
      <c r="H903" t="str">
        <f>PROPER(TRIM([1]raw_orders!H903))</f>
        <v>West Bengal</v>
      </c>
      <c r="I903" t="str">
        <f>PROPER(TRIM([1]raw_orders!I903))</f>
        <v>Kolkata</v>
      </c>
      <c r="J903" t="str">
        <f>PROPER(TRIM([1]raw_orders!J903))</f>
        <v>Technology</v>
      </c>
      <c r="K903" t="str">
        <f>PROPER(TRIM([1]raw_orders!K903))</f>
        <v>Copiers</v>
      </c>
      <c r="L903" t="s">
        <v>1830</v>
      </c>
      <c r="M903" t="str">
        <f>IF('[1]Cleaned Text Field'!M903="","Unknown",'[1]Cleaned Text Field'!M903)</f>
        <v>Same Day</v>
      </c>
      <c r="N903">
        <f>IF('[1]Cleaned Text Field'!N903="",0,'[1]Cleaned Text Field'!N903)</f>
        <v>3</v>
      </c>
      <c r="O903">
        <v>1490.69</v>
      </c>
      <c r="P903" s="5">
        <f>IF('[1]Cleaned Text Field'!P903="",0,'[1]Cleaned Text Field'!P903)</f>
        <v>0.25</v>
      </c>
      <c r="Q903">
        <v>3354.05</v>
      </c>
      <c r="R903">
        <v>2672.67</v>
      </c>
      <c r="S903">
        <v>681.38</v>
      </c>
      <c r="T903" t="str">
        <f>PROPER(TRIM([1]raw_orders!T903))</f>
        <v>Paid</v>
      </c>
      <c r="U903" t="str">
        <f>PROPER(TRIM([1]raw_orders!U903))</f>
        <v>Completed</v>
      </c>
      <c r="V903" s="6">
        <f t="shared" si="112"/>
        <v>0.20315141396222475</v>
      </c>
      <c r="W903" t="str">
        <f t="shared" si="113"/>
        <v>August</v>
      </c>
      <c r="X903">
        <f t="shared" si="114"/>
        <v>2024</v>
      </c>
      <c r="Y903">
        <f t="shared" si="115"/>
        <v>7</v>
      </c>
      <c r="Z903" s="7">
        <f t="shared" si="116"/>
        <v>0.25</v>
      </c>
      <c r="AA903">
        <f t="shared" si="117"/>
        <v>3354.0524999999998</v>
      </c>
      <c r="AB903">
        <f t="shared" si="118"/>
        <v>681.38000000000011</v>
      </c>
      <c r="AC903" t="str">
        <f t="shared" si="119"/>
        <v>Clean</v>
      </c>
    </row>
    <row r="904" spans="1:29">
      <c r="A904" t="s">
        <v>2105</v>
      </c>
      <c r="B904" s="4">
        <v>45665</v>
      </c>
      <c r="C904" s="4">
        <v>45908</v>
      </c>
      <c r="D904" t="s">
        <v>1078</v>
      </c>
      <c r="E904" t="str">
        <f>PROPER(TRIM([1]raw_orders!E904))</f>
        <v>Isha Nair</v>
      </c>
      <c r="F904" t="str">
        <f>PROPER(TRIM([1]raw_orders!F904))</f>
        <v>Consumer</v>
      </c>
      <c r="G904" t="str">
        <f>IF('[1]Cleaned Text Field'!G904="","Unknown",'[1]Cleaned Text Field'!G904)</f>
        <v>South</v>
      </c>
      <c r="H904" t="str">
        <f>PROPER(TRIM([1]raw_orders!H904))</f>
        <v>Andhra Pradesh</v>
      </c>
      <c r="I904" t="str">
        <f>PROPER(TRIM([1]raw_orders!I904))</f>
        <v>Vijayawada</v>
      </c>
      <c r="J904" t="str">
        <f>PROPER(TRIM([1]raw_orders!J904))</f>
        <v>Office Supplies</v>
      </c>
      <c r="K904" t="str">
        <f>PROPER(TRIM([1]raw_orders!K904))</f>
        <v>Storage</v>
      </c>
      <c r="L904" t="s">
        <v>2106</v>
      </c>
      <c r="M904" t="str">
        <f>IF('[1]Cleaned Text Field'!M904="","Unknown",'[1]Cleaned Text Field'!M904)</f>
        <v>First Class</v>
      </c>
      <c r="N904">
        <f>IF('[1]Cleaned Text Field'!N904="",0,'[1]Cleaned Text Field'!N904)</f>
        <v>5</v>
      </c>
      <c r="O904">
        <v>2736.24</v>
      </c>
      <c r="P904" s="5">
        <f>IF('[1]Cleaned Text Field'!P904="",0,'[1]Cleaned Text Field'!P904)</f>
        <v>0.15</v>
      </c>
      <c r="Q904">
        <v>11629.02</v>
      </c>
      <c r="R904">
        <v>9627.2099999999991</v>
      </c>
      <c r="S904">
        <v>2001.81</v>
      </c>
      <c r="T904" t="str">
        <f>PROPER(TRIM([1]raw_orders!T904))</f>
        <v>Paid</v>
      </c>
      <c r="U904" t="str">
        <f>PROPER(TRIM([1]raw_orders!U904))</f>
        <v>Completed</v>
      </c>
      <c r="V904" s="6">
        <f t="shared" si="112"/>
        <v>0.1721391828374188</v>
      </c>
      <c r="W904" t="str">
        <f t="shared" si="113"/>
        <v>January</v>
      </c>
      <c r="X904">
        <f t="shared" si="114"/>
        <v>2025</v>
      </c>
      <c r="Y904">
        <f t="shared" si="115"/>
        <v>243</v>
      </c>
      <c r="Z904" s="7">
        <f t="shared" si="116"/>
        <v>0.15</v>
      </c>
      <c r="AA904">
        <f t="shared" si="117"/>
        <v>11629.019999999999</v>
      </c>
      <c r="AB904">
        <f t="shared" si="118"/>
        <v>2001.8100000000013</v>
      </c>
      <c r="AC904" t="str">
        <f t="shared" si="119"/>
        <v>Clean</v>
      </c>
    </row>
    <row r="905" spans="1:29">
      <c r="A905" t="s">
        <v>2134</v>
      </c>
      <c r="B905" s="4">
        <v>45364</v>
      </c>
      <c r="C905" s="4">
        <v>45371</v>
      </c>
      <c r="D905" t="s">
        <v>2135</v>
      </c>
      <c r="E905" t="str">
        <f>PROPER(TRIM([1]raw_orders!E905))</f>
        <v>Priya Menon</v>
      </c>
      <c r="F905" t="str">
        <f>PROPER(TRIM([1]raw_orders!F905))</f>
        <v>Home Office</v>
      </c>
      <c r="G905" t="str">
        <f>IF('[1]Cleaned Text Field'!G905="","Unknown",'[1]Cleaned Text Field'!G905)</f>
        <v>South</v>
      </c>
      <c r="H905" t="str">
        <f>PROPER(TRIM([1]raw_orders!H905))</f>
        <v>Tamil Nadu</v>
      </c>
      <c r="I905" t="str">
        <f>PROPER(TRIM([1]raw_orders!I905))</f>
        <v>Chennai</v>
      </c>
      <c r="J905" t="str">
        <f>PROPER(TRIM([1]raw_orders!J905))</f>
        <v>Furniture</v>
      </c>
      <c r="K905" t="str">
        <f>PROPER(TRIM([1]raw_orders!K905))</f>
        <v>Bookcases</v>
      </c>
      <c r="L905" t="s">
        <v>2136</v>
      </c>
      <c r="M905" t="str">
        <f>IF('[1]Cleaned Text Field'!M905="","Unknown",'[1]Cleaned Text Field'!M905)</f>
        <v>Unknown</v>
      </c>
      <c r="N905">
        <f>IF('[1]Cleaned Text Field'!N905="",0,'[1]Cleaned Text Field'!N905)</f>
        <v>1</v>
      </c>
      <c r="O905">
        <v>2825.63</v>
      </c>
      <c r="P905" s="5">
        <f>IF('[1]Cleaned Text Field'!P905="",0,'[1]Cleaned Text Field'!P905)</f>
        <v>0.15</v>
      </c>
      <c r="Q905">
        <v>2401.79</v>
      </c>
      <c r="R905">
        <v>1820.34</v>
      </c>
      <c r="S905">
        <v>581.45000000000005</v>
      </c>
      <c r="T905" t="str">
        <f>PROPER(TRIM([1]raw_orders!T905))</f>
        <v>Paid</v>
      </c>
      <c r="U905" t="str">
        <f>PROPER(TRIM([1]raw_orders!U905))</f>
        <v>Completed</v>
      </c>
      <c r="V905" s="6">
        <f t="shared" si="112"/>
        <v>0.24209027433705696</v>
      </c>
      <c r="W905" t="str">
        <f t="shared" si="113"/>
        <v>March</v>
      </c>
      <c r="X905">
        <f t="shared" si="114"/>
        <v>2024</v>
      </c>
      <c r="Y905">
        <f t="shared" si="115"/>
        <v>7</v>
      </c>
      <c r="Z905" s="7">
        <f t="shared" si="116"/>
        <v>0.15</v>
      </c>
      <c r="AA905">
        <f t="shared" si="117"/>
        <v>2401.7855</v>
      </c>
      <c r="AB905">
        <f t="shared" si="118"/>
        <v>581.45000000000005</v>
      </c>
      <c r="AC905" t="str">
        <f t="shared" si="119"/>
        <v>Clean</v>
      </c>
    </row>
    <row r="906" spans="1:29">
      <c r="A906" t="s">
        <v>876</v>
      </c>
      <c r="B906" s="4">
        <v>45313</v>
      </c>
      <c r="C906" s="4">
        <v>45314</v>
      </c>
      <c r="D906" t="s">
        <v>877</v>
      </c>
      <c r="E906" t="str">
        <f>PROPER(TRIM([1]raw_orders!E906))</f>
        <v>Aarav Sharma</v>
      </c>
      <c r="F906" t="str">
        <f>PROPER(TRIM([1]raw_orders!F906))</f>
        <v>Small Business</v>
      </c>
      <c r="G906" t="str">
        <f>IF('[1]Cleaned Text Field'!G906="","Unknown",'[1]Cleaned Text Field'!G906)</f>
        <v>Unknown</v>
      </c>
      <c r="H906" t="str">
        <f>PROPER(TRIM([1]raw_orders!H906))</f>
        <v>Assam</v>
      </c>
      <c r="I906" t="str">
        <f>PROPER(TRIM([1]raw_orders!I906))</f>
        <v>Guwahati</v>
      </c>
      <c r="J906" t="str">
        <f>PROPER(TRIM([1]raw_orders!J906))</f>
        <v>Furniture</v>
      </c>
      <c r="K906" t="str">
        <f>PROPER(TRIM([1]raw_orders!K906))</f>
        <v>Chairs</v>
      </c>
      <c r="L906" t="s">
        <v>878</v>
      </c>
      <c r="M906" t="str">
        <f>IF('[1]Cleaned Text Field'!M906="","Unknown",'[1]Cleaned Text Field'!M906)</f>
        <v>Second Class</v>
      </c>
      <c r="N906">
        <f>IF('[1]Cleaned Text Field'!N906="",0,'[1]Cleaned Text Field'!N906)</f>
        <v>6</v>
      </c>
      <c r="O906">
        <v>3391.53</v>
      </c>
      <c r="P906" s="5">
        <f>IF('[1]Cleaned Text Field'!P906="",0,'[1]Cleaned Text Field'!P906)</f>
        <v>-0.14000000000000001</v>
      </c>
      <c r="Q906">
        <v>15261.89</v>
      </c>
      <c r="R906">
        <v>8413.5300000000007</v>
      </c>
      <c r="S906">
        <v>6848.36</v>
      </c>
      <c r="T906" t="str">
        <f>PROPER(TRIM([1]raw_orders!T906))</f>
        <v>Paid</v>
      </c>
      <c r="U906" t="str">
        <f>PROPER(TRIM([1]raw_orders!U906))</f>
        <v>Completed</v>
      </c>
      <c r="V906" s="6">
        <f t="shared" si="112"/>
        <v>0.44872293012202291</v>
      </c>
      <c r="W906" t="str">
        <f t="shared" si="113"/>
        <v>January</v>
      </c>
      <c r="X906">
        <f t="shared" si="114"/>
        <v>2024</v>
      </c>
      <c r="Y906">
        <f t="shared" si="115"/>
        <v>1</v>
      </c>
      <c r="Z906" s="7">
        <f t="shared" si="116"/>
        <v>-0.14000000000000001</v>
      </c>
      <c r="AA906">
        <f t="shared" si="117"/>
        <v>23198.065200000005</v>
      </c>
      <c r="AB906">
        <f t="shared" si="118"/>
        <v>6848.3599999999988</v>
      </c>
      <c r="AC906" t="str">
        <f t="shared" si="119"/>
        <v>Clean</v>
      </c>
    </row>
    <row r="907" spans="1:29">
      <c r="A907" t="s">
        <v>1927</v>
      </c>
      <c r="B907" s="4">
        <v>45762</v>
      </c>
      <c r="C907" s="4">
        <v>45763</v>
      </c>
      <c r="D907" t="s">
        <v>1928</v>
      </c>
      <c r="E907" t="str">
        <f>PROPER(TRIM([1]raw_orders!E907))</f>
        <v>Sneha Kapoor</v>
      </c>
      <c r="F907" t="str">
        <f>PROPER(TRIM([1]raw_orders!F907))</f>
        <v>Small Business</v>
      </c>
      <c r="G907" t="str">
        <f>IF('[1]Cleaned Text Field'!G907="","Unknown",'[1]Cleaned Text Field'!G907)</f>
        <v>South</v>
      </c>
      <c r="H907" t="str">
        <f>PROPER(TRIM([1]raw_orders!H907))</f>
        <v>Karnataka</v>
      </c>
      <c r="I907" t="str">
        <f>PROPER(TRIM([1]raw_orders!I907))</f>
        <v>Bengaluru</v>
      </c>
      <c r="J907" t="str">
        <f>PROPER(TRIM([1]raw_orders!J907))</f>
        <v>Furniture</v>
      </c>
      <c r="K907" t="str">
        <f>PROPER(TRIM([1]raw_orders!K907))</f>
        <v>Furnishings</v>
      </c>
      <c r="L907" t="s">
        <v>1929</v>
      </c>
      <c r="M907" t="str">
        <f>IF('[1]Cleaned Text Field'!M907="","Unknown",'[1]Cleaned Text Field'!M907)</f>
        <v>First Class</v>
      </c>
      <c r="N907">
        <f>IF('[1]Cleaned Text Field'!N907="",0,'[1]Cleaned Text Field'!N907)</f>
        <v>5</v>
      </c>
      <c r="O907">
        <v>2850.53</v>
      </c>
      <c r="P907" s="5">
        <f>IF('[1]Cleaned Text Field'!P907="",0,'[1]Cleaned Text Field'!P907)</f>
        <v>0</v>
      </c>
      <c r="Q907">
        <v>14252.65</v>
      </c>
      <c r="R907">
        <v>11558.31</v>
      </c>
      <c r="S907">
        <v>2694.34</v>
      </c>
      <c r="T907" t="str">
        <f>PROPER(TRIM([1]raw_orders!T907))</f>
        <v>Paid</v>
      </c>
      <c r="U907" t="str">
        <f>PROPER(TRIM([1]raw_orders!U907))</f>
        <v>Completed</v>
      </c>
      <c r="V907" s="6">
        <f t="shared" si="112"/>
        <v>0.18904133617257143</v>
      </c>
      <c r="W907" t="str">
        <f t="shared" si="113"/>
        <v>April</v>
      </c>
      <c r="X907">
        <f t="shared" si="114"/>
        <v>2025</v>
      </c>
      <c r="Y907">
        <f t="shared" si="115"/>
        <v>1</v>
      </c>
      <c r="Z907" s="7">
        <f t="shared" si="116"/>
        <v>0</v>
      </c>
      <c r="AA907">
        <f t="shared" si="117"/>
        <v>14252.650000000001</v>
      </c>
      <c r="AB907">
        <f t="shared" si="118"/>
        <v>2694.34</v>
      </c>
      <c r="AC907" t="str">
        <f t="shared" si="119"/>
        <v>Clean</v>
      </c>
    </row>
    <row r="908" spans="1:29">
      <c r="A908" t="s">
        <v>2207</v>
      </c>
      <c r="B908" s="4">
        <v>45794</v>
      </c>
      <c r="C908" s="4">
        <v>45802</v>
      </c>
      <c r="D908" t="s">
        <v>2208</v>
      </c>
      <c r="E908" t="str">
        <f>PROPER(TRIM([1]raw_orders!E908))</f>
        <v>Ananya Rao</v>
      </c>
      <c r="F908" t="str">
        <f>PROPER(TRIM([1]raw_orders!F908))</f>
        <v>Corporate</v>
      </c>
      <c r="G908" t="str">
        <f>IF('[1]Cleaned Text Field'!G908="","Unknown",'[1]Cleaned Text Field'!G908)</f>
        <v>South</v>
      </c>
      <c r="H908" t="str">
        <f>PROPER(TRIM([1]raw_orders!H908))</f>
        <v>Tamil Nadu</v>
      </c>
      <c r="I908" t="str">
        <f>PROPER(TRIM([1]raw_orders!I908))</f>
        <v>Chennai</v>
      </c>
      <c r="J908" t="str">
        <f>PROPER(TRIM([1]raw_orders!J908))</f>
        <v>Technology</v>
      </c>
      <c r="K908" t="str">
        <f>PROPER(TRIM([1]raw_orders!K908))</f>
        <v>Machines</v>
      </c>
      <c r="L908" t="s">
        <v>2209</v>
      </c>
      <c r="M908" t="str">
        <f>IF('[1]Cleaned Text Field'!M908="","Unknown",'[1]Cleaned Text Field'!M908)</f>
        <v>Same Day</v>
      </c>
      <c r="N908">
        <f>IF('[1]Cleaned Text Field'!N908="",0,'[1]Cleaned Text Field'!N908)</f>
        <v>6</v>
      </c>
      <c r="O908">
        <v>1810.63</v>
      </c>
      <c r="P908" s="5">
        <f>IF('[1]Cleaned Text Field'!P908="",0,'[1]Cleaned Text Field'!P908)</f>
        <v>0.15</v>
      </c>
      <c r="Q908">
        <v>9234.2099999999991</v>
      </c>
      <c r="R908">
        <v>5516.52</v>
      </c>
      <c r="S908">
        <v>3717.69</v>
      </c>
      <c r="T908" t="str">
        <f>PROPER(TRIM([1]raw_orders!T908))</f>
        <v>Paid</v>
      </c>
      <c r="U908" t="str">
        <f>PROPER(TRIM([1]raw_orders!U908))</f>
        <v>Completed</v>
      </c>
      <c r="V908" s="6">
        <f t="shared" si="112"/>
        <v>0.4025996809689189</v>
      </c>
      <c r="W908" t="str">
        <f t="shared" si="113"/>
        <v>May</v>
      </c>
      <c r="X908">
        <f t="shared" si="114"/>
        <v>2025</v>
      </c>
      <c r="Y908">
        <f t="shared" si="115"/>
        <v>8</v>
      </c>
      <c r="Z908" s="7">
        <f t="shared" si="116"/>
        <v>0.15</v>
      </c>
      <c r="AA908">
        <f t="shared" si="117"/>
        <v>9234.2129999999997</v>
      </c>
      <c r="AB908">
        <f t="shared" si="118"/>
        <v>3717.6899999999987</v>
      </c>
      <c r="AC908" t="str">
        <f t="shared" si="119"/>
        <v>Clean</v>
      </c>
    </row>
    <row r="909" spans="1:29">
      <c r="A909" t="s">
        <v>451</v>
      </c>
      <c r="B909" s="4">
        <v>45639</v>
      </c>
      <c r="C909" s="4">
        <v>45644</v>
      </c>
      <c r="D909" t="s">
        <v>452</v>
      </c>
      <c r="E909" t="str">
        <f>PROPER(TRIM([1]raw_orders!E909))</f>
        <v>Karan Malhotra</v>
      </c>
      <c r="F909" t="str">
        <f>PROPER(TRIM([1]raw_orders!F909))</f>
        <v>Consumer</v>
      </c>
      <c r="G909" t="str">
        <f>IF('[1]Cleaned Text Field'!G909="","Unknown",'[1]Cleaned Text Field'!G909)</f>
        <v>West</v>
      </c>
      <c r="H909" t="str">
        <f>PROPER(TRIM([1]raw_orders!H909))</f>
        <v>Goa</v>
      </c>
      <c r="I909" t="str">
        <f>PROPER(TRIM([1]raw_orders!I909))</f>
        <v>Panaji</v>
      </c>
      <c r="J909" t="str">
        <f>PROPER(TRIM([1]raw_orders!J909))</f>
        <v>Technology</v>
      </c>
      <c r="K909" t="str">
        <f>PROPER(TRIM([1]raw_orders!K909))</f>
        <v>Phones</v>
      </c>
      <c r="L909" t="s">
        <v>453</v>
      </c>
      <c r="M909" t="str">
        <f>IF('[1]Cleaned Text Field'!M909="","Unknown",'[1]Cleaned Text Field'!M909)</f>
        <v>Second Class</v>
      </c>
      <c r="N909">
        <f>IF('[1]Cleaned Text Field'!N909="",0,'[1]Cleaned Text Field'!N909)</f>
        <v>8</v>
      </c>
      <c r="O909">
        <v>3372.15</v>
      </c>
      <c r="P909" s="5">
        <f>IF('[1]Cleaned Text Field'!P909="",0,'[1]Cleaned Text Field'!P909)</f>
        <v>0.15</v>
      </c>
      <c r="Q909">
        <v>22930.62</v>
      </c>
      <c r="R909">
        <v>16875.55</v>
      </c>
      <c r="S909">
        <v>6055.07</v>
      </c>
      <c r="T909" t="str">
        <f>PROPER(TRIM([1]raw_orders!T909))</f>
        <v>Paid</v>
      </c>
      <c r="U909" t="str">
        <f>PROPER(TRIM([1]raw_orders!U909))</f>
        <v>Completed</v>
      </c>
      <c r="V909" s="6">
        <f t="shared" si="112"/>
        <v>0.26406045715292475</v>
      </c>
      <c r="W909" t="str">
        <f t="shared" si="113"/>
        <v>December</v>
      </c>
      <c r="X909">
        <f t="shared" si="114"/>
        <v>2024</v>
      </c>
      <c r="Y909">
        <f t="shared" si="115"/>
        <v>5</v>
      </c>
      <c r="Z909" s="7">
        <f t="shared" si="116"/>
        <v>0.15</v>
      </c>
      <c r="AA909">
        <f t="shared" si="117"/>
        <v>22930.62</v>
      </c>
      <c r="AB909">
        <f t="shared" si="118"/>
        <v>6055.07</v>
      </c>
      <c r="AC909" t="str">
        <f t="shared" si="119"/>
        <v>Clean</v>
      </c>
    </row>
    <row r="910" spans="1:29">
      <c r="A910" t="s">
        <v>2178</v>
      </c>
      <c r="B910" s="4">
        <v>45908</v>
      </c>
      <c r="C910" s="4">
        <v>45909</v>
      </c>
      <c r="D910" t="s">
        <v>114</v>
      </c>
      <c r="E910" t="str">
        <f>PROPER(TRIM([1]raw_orders!E910))</f>
        <v>Kabir Singh</v>
      </c>
      <c r="F910" t="str">
        <f>PROPER(TRIM([1]raw_orders!F910))</f>
        <v>Corporate</v>
      </c>
      <c r="G910" t="str">
        <f>IF('[1]Cleaned Text Field'!G910="","Unknown",'[1]Cleaned Text Field'!G910)</f>
        <v>West</v>
      </c>
      <c r="H910" t="str">
        <f>PROPER(TRIM([1]raw_orders!H910))</f>
        <v>Gujarat</v>
      </c>
      <c r="I910" t="str">
        <f>PROPER(TRIM([1]raw_orders!I910))</f>
        <v>Ahmedabad</v>
      </c>
      <c r="J910" t="str">
        <f>PROPER(TRIM([1]raw_orders!J910))</f>
        <v>Office Supplies</v>
      </c>
      <c r="K910" t="str">
        <f>PROPER(TRIM([1]raw_orders!K910))</f>
        <v>Art</v>
      </c>
      <c r="L910" t="s">
        <v>2179</v>
      </c>
      <c r="M910" t="str">
        <f>IF('[1]Cleaned Text Field'!M910="","Unknown",'[1]Cleaned Text Field'!M910)</f>
        <v>Same Day</v>
      </c>
      <c r="N910">
        <f>IF('[1]Cleaned Text Field'!N910="",0,'[1]Cleaned Text Field'!N910)</f>
        <v>2</v>
      </c>
      <c r="O910">
        <v>2372.41</v>
      </c>
      <c r="P910" s="5">
        <f>IF('[1]Cleaned Text Field'!P910="",0,'[1]Cleaned Text Field'!P910)</f>
        <v>0.2</v>
      </c>
      <c r="Q910">
        <v>3795.86</v>
      </c>
      <c r="R910">
        <v>2264.92</v>
      </c>
      <c r="S910">
        <v>1530.94</v>
      </c>
      <c r="T910" t="str">
        <f>PROPER(TRIM([1]raw_orders!T910))</f>
        <v>Paid</v>
      </c>
      <c r="U910" t="str">
        <f>PROPER(TRIM([1]raw_orders!U910))</f>
        <v>Completed</v>
      </c>
      <c r="V910" s="6">
        <f t="shared" si="112"/>
        <v>0.40331835209939249</v>
      </c>
      <c r="W910" t="str">
        <f t="shared" si="113"/>
        <v>September</v>
      </c>
      <c r="X910">
        <f t="shared" si="114"/>
        <v>2025</v>
      </c>
      <c r="Y910">
        <f t="shared" si="115"/>
        <v>1</v>
      </c>
      <c r="Z910" s="7">
        <f t="shared" si="116"/>
        <v>0.2</v>
      </c>
      <c r="AA910">
        <f t="shared" si="117"/>
        <v>3795.8559999999998</v>
      </c>
      <c r="AB910">
        <f t="shared" si="118"/>
        <v>1530.94</v>
      </c>
      <c r="AC910" t="str">
        <f t="shared" si="119"/>
        <v>Clean</v>
      </c>
    </row>
    <row r="911" spans="1:29">
      <c r="A911" t="s">
        <v>1240</v>
      </c>
      <c r="B911" s="4">
        <v>45771</v>
      </c>
      <c r="C911" s="4">
        <v>45776</v>
      </c>
      <c r="D911" t="s">
        <v>1241</v>
      </c>
      <c r="E911" t="str">
        <f>PROPER(TRIM([1]raw_orders!E911))</f>
        <v>Diya Patel</v>
      </c>
      <c r="F911" t="str">
        <f>PROPER(TRIM([1]raw_orders!F911))</f>
        <v>Small Business</v>
      </c>
      <c r="G911" t="str">
        <f>IF('[1]Cleaned Text Field'!G911="","Unknown",'[1]Cleaned Text Field'!G911)</f>
        <v>South</v>
      </c>
      <c r="H911" t="str">
        <f>PROPER(TRIM([1]raw_orders!H911))</f>
        <v>Andhra Pradesh</v>
      </c>
      <c r="I911" t="str">
        <f>PROPER(TRIM([1]raw_orders!I911))</f>
        <v>Vijayawada</v>
      </c>
      <c r="J911" t="str">
        <f>PROPER(TRIM([1]raw_orders!J911))</f>
        <v>Office Supplies</v>
      </c>
      <c r="K911" t="str">
        <f>PROPER(TRIM([1]raw_orders!K911))</f>
        <v>Paper</v>
      </c>
      <c r="L911" t="s">
        <v>1242</v>
      </c>
      <c r="M911" t="str">
        <f>IF('[1]Cleaned Text Field'!M911="","Unknown",'[1]Cleaned Text Field'!M911)</f>
        <v>Same Day</v>
      </c>
      <c r="N911">
        <f>IF('[1]Cleaned Text Field'!N911="",0,'[1]Cleaned Text Field'!N911)</f>
        <v>1</v>
      </c>
      <c r="O911">
        <v>4358.5</v>
      </c>
      <c r="P911" s="5">
        <f>IF('[1]Cleaned Text Field'!P911="",0,'[1]Cleaned Text Field'!P911)</f>
        <v>0.25</v>
      </c>
      <c r="Q911">
        <v>3268.88</v>
      </c>
      <c r="R911">
        <v>1993.74</v>
      </c>
      <c r="S911">
        <v>1275.1400000000001</v>
      </c>
      <c r="T911" t="str">
        <f>PROPER(TRIM([1]raw_orders!T911))</f>
        <v>Paid</v>
      </c>
      <c r="U911" t="str">
        <f>PROPER(TRIM([1]raw_orders!U911))</f>
        <v>Completed</v>
      </c>
      <c r="V911" s="6">
        <f t="shared" si="112"/>
        <v>0.39008467732067253</v>
      </c>
      <c r="W911" t="str">
        <f t="shared" si="113"/>
        <v>April</v>
      </c>
      <c r="X911">
        <f t="shared" si="114"/>
        <v>2025</v>
      </c>
      <c r="Y911">
        <f t="shared" si="115"/>
        <v>5</v>
      </c>
      <c r="Z911" s="7">
        <f t="shared" si="116"/>
        <v>0.25</v>
      </c>
      <c r="AA911">
        <f t="shared" si="117"/>
        <v>3268.875</v>
      </c>
      <c r="AB911">
        <f t="shared" si="118"/>
        <v>1275.1400000000001</v>
      </c>
      <c r="AC911" t="str">
        <f t="shared" si="119"/>
        <v>Clean</v>
      </c>
    </row>
    <row r="912" spans="1:29">
      <c r="A912" t="s">
        <v>421</v>
      </c>
      <c r="B912" s="4">
        <v>45436</v>
      </c>
      <c r="C912" s="4">
        <v>45437</v>
      </c>
      <c r="D912" t="s">
        <v>422</v>
      </c>
      <c r="E912" t="str">
        <f>PROPER(TRIM([1]raw_orders!E912))</f>
        <v>Sneha Kapoor</v>
      </c>
      <c r="F912" t="str">
        <f>PROPER(TRIM([1]raw_orders!F912))</f>
        <v>Small Business</v>
      </c>
      <c r="G912" t="str">
        <f>IF('[1]Cleaned Text Field'!G912="","Unknown",'[1]Cleaned Text Field'!G912)</f>
        <v>North</v>
      </c>
      <c r="H912" t="str">
        <f>PROPER(TRIM([1]raw_orders!H912))</f>
        <v>Punjab</v>
      </c>
      <c r="I912" t="str">
        <f>PROPER(TRIM([1]raw_orders!I912))</f>
        <v>Ludhiana</v>
      </c>
      <c r="J912" t="str">
        <f>PROPER(TRIM([1]raw_orders!J912))</f>
        <v>Technology</v>
      </c>
      <c r="K912" t="str">
        <f>PROPER(TRIM([1]raw_orders!K912))</f>
        <v>Copiers</v>
      </c>
      <c r="L912" t="s">
        <v>423</v>
      </c>
      <c r="M912" t="str">
        <f>IF('[1]Cleaned Text Field'!M912="","Unknown",'[1]Cleaned Text Field'!M912)</f>
        <v>Same Day</v>
      </c>
      <c r="N912">
        <f>IF('[1]Cleaned Text Field'!N912="",0,'[1]Cleaned Text Field'!N912)</f>
        <v>1</v>
      </c>
      <c r="O912">
        <v>634.13</v>
      </c>
      <c r="P912" s="5">
        <f>IF('[1]Cleaned Text Field'!P912="",0,'[1]Cleaned Text Field'!P912)</f>
        <v>0</v>
      </c>
      <c r="Q912">
        <v>634.13</v>
      </c>
      <c r="R912">
        <v>453.35</v>
      </c>
      <c r="S912">
        <v>180.78</v>
      </c>
      <c r="T912" t="str">
        <f>PROPER(TRIM([1]raw_orders!T912))</f>
        <v>Refunded</v>
      </c>
      <c r="U912" t="str">
        <f>PROPER(TRIM([1]raw_orders!U912))</f>
        <v>Cancelled</v>
      </c>
      <c r="V912" s="6">
        <f t="shared" si="112"/>
        <v>0.28508350022865975</v>
      </c>
      <c r="W912" t="str">
        <f t="shared" si="113"/>
        <v>May</v>
      </c>
      <c r="X912">
        <f t="shared" si="114"/>
        <v>2024</v>
      </c>
      <c r="Y912">
        <f t="shared" si="115"/>
        <v>1</v>
      </c>
      <c r="Z912" s="7">
        <f t="shared" si="116"/>
        <v>0</v>
      </c>
      <c r="AA912">
        <f t="shared" si="117"/>
        <v>634.13</v>
      </c>
      <c r="AB912">
        <f t="shared" si="118"/>
        <v>180.77999999999997</v>
      </c>
      <c r="AC912" t="str">
        <f t="shared" si="119"/>
        <v>Clean</v>
      </c>
    </row>
    <row r="913" spans="1:29">
      <c r="A913" t="s">
        <v>799</v>
      </c>
      <c r="B913" s="4">
        <v>45343</v>
      </c>
      <c r="C913" s="4">
        <v>45349</v>
      </c>
      <c r="D913" t="s">
        <v>800</v>
      </c>
      <c r="E913" t="str">
        <f>PROPER(TRIM([1]raw_orders!E913))</f>
        <v>Arjun Bose</v>
      </c>
      <c r="F913" t="str">
        <f>PROPER(TRIM([1]raw_orders!F913))</f>
        <v>Small Business</v>
      </c>
      <c r="G913" t="str">
        <f>IF('[1]Cleaned Text Field'!G913="","Unknown",'[1]Cleaned Text Field'!G913)</f>
        <v>East</v>
      </c>
      <c r="H913" t="str">
        <f>PROPER(TRIM([1]raw_orders!H913))</f>
        <v>West Bengal</v>
      </c>
      <c r="I913" t="str">
        <f>PROPER(TRIM([1]raw_orders!I913))</f>
        <v>Kolkata</v>
      </c>
      <c r="J913" t="str">
        <f>PROPER(TRIM([1]raw_orders!J913))</f>
        <v>Furniture</v>
      </c>
      <c r="K913" t="str">
        <f>PROPER(TRIM([1]raw_orders!K913))</f>
        <v>Furnishings</v>
      </c>
      <c r="L913" t="s">
        <v>801</v>
      </c>
      <c r="M913" t="str">
        <f>IF('[1]Cleaned Text Field'!M913="","Unknown",'[1]Cleaned Text Field'!M913)</f>
        <v>Standard Class</v>
      </c>
      <c r="N913">
        <f>IF('[1]Cleaned Text Field'!N913="",0,'[1]Cleaned Text Field'!N913)</f>
        <v>5</v>
      </c>
      <c r="O913">
        <v>3373.86</v>
      </c>
      <c r="P913" s="5">
        <f>IF('[1]Cleaned Text Field'!P913="",0,'[1]Cleaned Text Field'!P913)</f>
        <v>0.15</v>
      </c>
      <c r="Q913">
        <v>14338.9</v>
      </c>
      <c r="R913">
        <v>11897.65</v>
      </c>
      <c r="S913">
        <v>2441.25</v>
      </c>
      <c r="T913" t="str">
        <f>PROPER(TRIM([1]raw_orders!T913))</f>
        <v>Pending</v>
      </c>
      <c r="U913" t="str">
        <f>PROPER(TRIM([1]raw_orders!U913))</f>
        <v>Returned</v>
      </c>
      <c r="V913" s="6">
        <f t="shared" si="112"/>
        <v>0.17025364567714399</v>
      </c>
      <c r="W913" t="str">
        <f t="shared" si="113"/>
        <v>February</v>
      </c>
      <c r="X913">
        <f t="shared" si="114"/>
        <v>2024</v>
      </c>
      <c r="Y913">
        <f t="shared" si="115"/>
        <v>6</v>
      </c>
      <c r="Z913" s="7">
        <f t="shared" si="116"/>
        <v>0.15</v>
      </c>
      <c r="AA913">
        <f t="shared" si="117"/>
        <v>14338.904999999999</v>
      </c>
      <c r="AB913">
        <f t="shared" si="118"/>
        <v>2441.25</v>
      </c>
      <c r="AC913" t="str">
        <f t="shared" si="119"/>
        <v>Clean</v>
      </c>
    </row>
    <row r="914" spans="1:29">
      <c r="A914" t="s">
        <v>1175</v>
      </c>
      <c r="B914" s="4">
        <v>45801</v>
      </c>
      <c r="C914" s="4">
        <v>45807</v>
      </c>
      <c r="D914" t="s">
        <v>1176</v>
      </c>
      <c r="E914" t="str">
        <f>PROPER(TRIM([1]raw_orders!E914))</f>
        <v>Kabir Singh</v>
      </c>
      <c r="F914" t="str">
        <f>PROPER(TRIM([1]raw_orders!F914))</f>
        <v>Small Business</v>
      </c>
      <c r="G914" t="str">
        <f>IF('[1]Cleaned Text Field'!G914="","Unknown",'[1]Cleaned Text Field'!G914)</f>
        <v>East</v>
      </c>
      <c r="H914" t="str">
        <f>PROPER(TRIM([1]raw_orders!H914))</f>
        <v>Odisha</v>
      </c>
      <c r="I914" t="str">
        <f>PROPER(TRIM([1]raw_orders!I914))</f>
        <v>Bhubaneswar</v>
      </c>
      <c r="J914" t="str">
        <f>PROPER(TRIM([1]raw_orders!J914))</f>
        <v>Office Supplies</v>
      </c>
      <c r="K914" t="str">
        <f>PROPER(TRIM([1]raw_orders!K914))</f>
        <v>Storage</v>
      </c>
      <c r="L914" t="s">
        <v>1177</v>
      </c>
      <c r="M914" t="str">
        <f>IF('[1]Cleaned Text Field'!M914="","Unknown",'[1]Cleaned Text Field'!M914)</f>
        <v>Same Day</v>
      </c>
      <c r="N914">
        <f>IF('[1]Cleaned Text Field'!N914="",0,'[1]Cleaned Text Field'!N914)</f>
        <v>1</v>
      </c>
      <c r="O914">
        <v>2564.7399999999998</v>
      </c>
      <c r="P914" s="5">
        <f>IF('[1]Cleaned Text Field'!P914="",0,'[1]Cleaned Text Field'!P914)</f>
        <v>0</v>
      </c>
      <c r="Q914">
        <v>2564.7399999999998</v>
      </c>
      <c r="R914">
        <v>1754.58</v>
      </c>
      <c r="S914">
        <v>810.16</v>
      </c>
      <c r="T914" t="str">
        <f>PROPER(TRIM([1]raw_orders!T914))</f>
        <v>Paid</v>
      </c>
      <c r="U914" t="str">
        <f>PROPER(TRIM([1]raw_orders!U914))</f>
        <v>Completed</v>
      </c>
      <c r="V914" s="6">
        <f t="shared" si="112"/>
        <v>0.31588387126960238</v>
      </c>
      <c r="W914" t="str">
        <f t="shared" si="113"/>
        <v>May</v>
      </c>
      <c r="X914">
        <f t="shared" si="114"/>
        <v>2025</v>
      </c>
      <c r="Y914">
        <f t="shared" si="115"/>
        <v>6</v>
      </c>
      <c r="Z914" s="7">
        <f t="shared" si="116"/>
        <v>0</v>
      </c>
      <c r="AA914">
        <f t="shared" si="117"/>
        <v>2564.7399999999998</v>
      </c>
      <c r="AB914">
        <f t="shared" si="118"/>
        <v>810.15999999999985</v>
      </c>
      <c r="AC914" t="str">
        <f t="shared" si="119"/>
        <v>Clean</v>
      </c>
    </row>
    <row r="915" spans="1:29">
      <c r="A915" t="s">
        <v>887</v>
      </c>
      <c r="B915" s="4">
        <v>45649</v>
      </c>
      <c r="C915" s="4">
        <v>45652</v>
      </c>
      <c r="D915" t="s">
        <v>888</v>
      </c>
      <c r="E915" t="str">
        <f>PROPER(TRIM([1]raw_orders!E915))</f>
        <v>Aditi Sen</v>
      </c>
      <c r="F915" t="str">
        <f>PROPER(TRIM([1]raw_orders!F915))</f>
        <v>Consumer</v>
      </c>
      <c r="G915" t="str">
        <f>IF('[1]Cleaned Text Field'!G915="","Unknown",'[1]Cleaned Text Field'!G915)</f>
        <v>South</v>
      </c>
      <c r="H915" t="str">
        <f>PROPER(TRIM([1]raw_orders!H915))</f>
        <v>Karnataka</v>
      </c>
      <c r="I915" t="str">
        <f>PROPER(TRIM([1]raw_orders!I915))</f>
        <v>Bengaluru</v>
      </c>
      <c r="J915" t="str">
        <f>PROPER(TRIM([1]raw_orders!J915))</f>
        <v>Technology</v>
      </c>
      <c r="K915" t="str">
        <f>PROPER(TRIM([1]raw_orders!K915))</f>
        <v>Copiers</v>
      </c>
      <c r="L915" t="s">
        <v>889</v>
      </c>
      <c r="M915" t="str">
        <f>IF('[1]Cleaned Text Field'!M915="","Unknown",'[1]Cleaned Text Field'!M915)</f>
        <v>Standard Class</v>
      </c>
      <c r="N915">
        <f>IF('[1]Cleaned Text Field'!N915="",0,'[1]Cleaned Text Field'!N915)</f>
        <v>9</v>
      </c>
      <c r="O915">
        <v>993.67</v>
      </c>
      <c r="P915" s="5">
        <f>IF('[1]Cleaned Text Field'!P915="",0,'[1]Cleaned Text Field'!P915)</f>
        <v>0</v>
      </c>
      <c r="Q915">
        <v>8943.0300000000007</v>
      </c>
      <c r="R915">
        <v>5165.38</v>
      </c>
      <c r="S915">
        <v>3777.65</v>
      </c>
      <c r="T915" t="str">
        <f>PROPER(TRIM([1]raw_orders!T915))</f>
        <v>Paid</v>
      </c>
      <c r="U915" t="str">
        <f>PROPER(TRIM([1]raw_orders!U915))</f>
        <v>Completed</v>
      </c>
      <c r="V915" s="6">
        <f t="shared" si="112"/>
        <v>0.42241276167026165</v>
      </c>
      <c r="W915" t="str">
        <f t="shared" si="113"/>
        <v>December</v>
      </c>
      <c r="X915">
        <f t="shared" si="114"/>
        <v>2024</v>
      </c>
      <c r="Y915">
        <f t="shared" si="115"/>
        <v>3</v>
      </c>
      <c r="Z915" s="7">
        <f t="shared" si="116"/>
        <v>0</v>
      </c>
      <c r="AA915">
        <f t="shared" si="117"/>
        <v>8943.0299999999988</v>
      </c>
      <c r="AB915">
        <f t="shared" si="118"/>
        <v>3777.6500000000005</v>
      </c>
      <c r="AC915" t="str">
        <f t="shared" si="119"/>
        <v>Clean</v>
      </c>
    </row>
    <row r="916" spans="1:29">
      <c r="A916" t="s">
        <v>2158</v>
      </c>
      <c r="B916" s="4">
        <v>45332</v>
      </c>
      <c r="C916" s="4">
        <v>45340</v>
      </c>
      <c r="D916" t="s">
        <v>2159</v>
      </c>
      <c r="E916" t="str">
        <f>PROPER(TRIM([1]raw_orders!E916))</f>
        <v>Isha Nair</v>
      </c>
      <c r="F916" t="str">
        <f>PROPER(TRIM([1]raw_orders!F916))</f>
        <v>Home Office</v>
      </c>
      <c r="G916" t="str">
        <f>IF('[1]Cleaned Text Field'!G916="","Unknown",'[1]Cleaned Text Field'!G916)</f>
        <v>West</v>
      </c>
      <c r="H916" t="str">
        <f>PROPER(TRIM([1]raw_orders!H916))</f>
        <v>Madhya Pradesh</v>
      </c>
      <c r="I916" t="str">
        <f>PROPER(TRIM([1]raw_orders!I916))</f>
        <v>Indore</v>
      </c>
      <c r="J916" t="str">
        <f>PROPER(TRIM([1]raw_orders!J916))</f>
        <v>Furniture</v>
      </c>
      <c r="K916" t="str">
        <f>PROPER(TRIM([1]raw_orders!K916))</f>
        <v>Chairs</v>
      </c>
      <c r="L916" t="s">
        <v>2160</v>
      </c>
      <c r="M916" t="str">
        <f>IF('[1]Cleaned Text Field'!M916="","Unknown",'[1]Cleaned Text Field'!M916)</f>
        <v>First Class</v>
      </c>
      <c r="N916">
        <f>IF('[1]Cleaned Text Field'!N916="",0,'[1]Cleaned Text Field'!N916)</f>
        <v>7</v>
      </c>
      <c r="O916">
        <v>1382.86</v>
      </c>
      <c r="P916" s="5">
        <f>IF('[1]Cleaned Text Field'!P916="",0,'[1]Cleaned Text Field'!P916)</f>
        <v>0</v>
      </c>
      <c r="Q916">
        <v>9680.02</v>
      </c>
      <c r="R916">
        <v>6876.66</v>
      </c>
      <c r="S916">
        <v>2803.36</v>
      </c>
      <c r="T916" t="str">
        <f>PROPER(TRIM([1]raw_orders!T916))</f>
        <v>Paid</v>
      </c>
      <c r="U916" t="str">
        <f>PROPER(TRIM([1]raw_orders!U916))</f>
        <v>Completed</v>
      </c>
      <c r="V916" s="6">
        <f t="shared" si="112"/>
        <v>0.28960270743242267</v>
      </c>
      <c r="W916" t="str">
        <f t="shared" si="113"/>
        <v>February</v>
      </c>
      <c r="X916">
        <f t="shared" si="114"/>
        <v>2024</v>
      </c>
      <c r="Y916">
        <f t="shared" si="115"/>
        <v>8</v>
      </c>
      <c r="Z916" s="7">
        <f t="shared" si="116"/>
        <v>0</v>
      </c>
      <c r="AA916">
        <f t="shared" si="117"/>
        <v>9680.0199999999986</v>
      </c>
      <c r="AB916">
        <f t="shared" si="118"/>
        <v>2803.3600000000006</v>
      </c>
      <c r="AC916" t="str">
        <f t="shared" si="119"/>
        <v>Clean</v>
      </c>
    </row>
    <row r="917" spans="1:29">
      <c r="A917" t="s">
        <v>1685</v>
      </c>
      <c r="B917" s="4">
        <v>45941</v>
      </c>
      <c r="C917" s="4">
        <v>45943</v>
      </c>
      <c r="D917" t="s">
        <v>1686</v>
      </c>
      <c r="E917" t="str">
        <f>PROPER(TRIM([1]raw_orders!E917))</f>
        <v>Mira Das</v>
      </c>
      <c r="F917" t="str">
        <f>PROPER(TRIM([1]raw_orders!F917))</f>
        <v>Corporate</v>
      </c>
      <c r="G917" t="str">
        <f>IF('[1]Cleaned Text Field'!G917="","Unknown",'[1]Cleaned Text Field'!G917)</f>
        <v>South</v>
      </c>
      <c r="H917" t="str">
        <f>PROPER(TRIM([1]raw_orders!H917))</f>
        <v>Telangana</v>
      </c>
      <c r="I917" t="str">
        <f>PROPER(TRIM([1]raw_orders!I917))</f>
        <v>Hyderabad</v>
      </c>
      <c r="J917" t="str">
        <f>PROPER(TRIM([1]raw_orders!J917))</f>
        <v>Office Supplies</v>
      </c>
      <c r="K917" t="str">
        <f>PROPER(TRIM([1]raw_orders!K917))</f>
        <v>Art</v>
      </c>
      <c r="L917" t="s">
        <v>1687</v>
      </c>
      <c r="M917" t="str">
        <f>IF('[1]Cleaned Text Field'!M917="","Unknown",'[1]Cleaned Text Field'!M917)</f>
        <v>Second Class</v>
      </c>
      <c r="N917">
        <f>IF('[1]Cleaned Text Field'!N917="",0,'[1]Cleaned Text Field'!N917)</f>
        <v>3</v>
      </c>
      <c r="O917">
        <v>3804.27</v>
      </c>
      <c r="P917" s="5">
        <f>IF('[1]Cleaned Text Field'!P917="",0,'[1]Cleaned Text Field'!P917)</f>
        <v>0.1</v>
      </c>
      <c r="Q917">
        <v>10271.530000000001</v>
      </c>
      <c r="R917">
        <v>8272.24</v>
      </c>
      <c r="S917">
        <v>1999.29</v>
      </c>
      <c r="T917" t="str">
        <f>PROPER(TRIM([1]raw_orders!T917))</f>
        <v>Paid</v>
      </c>
      <c r="U917" t="str">
        <f>PROPER(TRIM([1]raw_orders!U917))</f>
        <v>Completed</v>
      </c>
      <c r="V917" s="6">
        <f t="shared" si="112"/>
        <v>0.19464383592317794</v>
      </c>
      <c r="W917" t="str">
        <f t="shared" si="113"/>
        <v>October</v>
      </c>
      <c r="X917">
        <f t="shared" si="114"/>
        <v>2025</v>
      </c>
      <c r="Y917">
        <f t="shared" si="115"/>
        <v>2</v>
      </c>
      <c r="Z917" s="7">
        <f t="shared" si="116"/>
        <v>0.1</v>
      </c>
      <c r="AA917">
        <f t="shared" si="117"/>
        <v>10271.529</v>
      </c>
      <c r="AB917">
        <f t="shared" si="118"/>
        <v>1999.2900000000009</v>
      </c>
      <c r="AC917" t="str">
        <f t="shared" si="119"/>
        <v>Clean</v>
      </c>
    </row>
    <row r="918" spans="1:29">
      <c r="A918" t="s">
        <v>2559</v>
      </c>
      <c r="B918" s="4">
        <v>45357</v>
      </c>
      <c r="C918" s="4">
        <v>45629</v>
      </c>
      <c r="D918" t="s">
        <v>2560</v>
      </c>
      <c r="E918" t="str">
        <f>PROPER(TRIM([1]raw_orders!E918))</f>
        <v>Isha Nair</v>
      </c>
      <c r="F918" t="str">
        <f>PROPER(TRIM([1]raw_orders!F918))</f>
        <v>Home Office</v>
      </c>
      <c r="G918" t="str">
        <f>IF('[1]Cleaned Text Field'!G918="","Unknown",'[1]Cleaned Text Field'!G918)</f>
        <v>West</v>
      </c>
      <c r="H918" t="str">
        <f>PROPER(TRIM([1]raw_orders!H918))</f>
        <v>Gujarat</v>
      </c>
      <c r="I918" t="str">
        <f>PROPER(TRIM([1]raw_orders!I918))</f>
        <v>Ahmedabad</v>
      </c>
      <c r="J918" t="str">
        <f>PROPER(TRIM([1]raw_orders!J918))</f>
        <v>Furniture</v>
      </c>
      <c r="K918" t="str">
        <f>PROPER(TRIM([1]raw_orders!K918))</f>
        <v>Bookcases</v>
      </c>
      <c r="L918" t="s">
        <v>2561</v>
      </c>
      <c r="M918" t="str">
        <f>IF('[1]Cleaned Text Field'!M918="","Unknown",'[1]Cleaned Text Field'!M918)</f>
        <v>Standard Class</v>
      </c>
      <c r="N918">
        <f>IF('[1]Cleaned Text Field'!N918="",0,'[1]Cleaned Text Field'!N918)</f>
        <v>3</v>
      </c>
      <c r="O918">
        <v>679.63</v>
      </c>
      <c r="P918" s="5">
        <f>IF('[1]Cleaned Text Field'!P918="",0,'[1]Cleaned Text Field'!P918)</f>
        <v>0.2</v>
      </c>
      <c r="Q918">
        <v>1631.11</v>
      </c>
      <c r="R918">
        <v>898.73</v>
      </c>
      <c r="S918">
        <v>396.58</v>
      </c>
      <c r="T918" t="str">
        <f>PROPER(TRIM([1]raw_orders!T918))</f>
        <v>Paid</v>
      </c>
      <c r="U918" t="str">
        <f>PROPER(TRIM([1]raw_orders!U918))</f>
        <v>Completed</v>
      </c>
      <c r="V918" s="6">
        <f t="shared" si="112"/>
        <v>0.24313504300752248</v>
      </c>
      <c r="W918" t="str">
        <f t="shared" si="113"/>
        <v>March</v>
      </c>
      <c r="X918">
        <f t="shared" si="114"/>
        <v>2024</v>
      </c>
      <c r="Y918">
        <f t="shared" si="115"/>
        <v>272</v>
      </c>
      <c r="Z918" s="7">
        <f t="shared" si="116"/>
        <v>0.2</v>
      </c>
      <c r="AA918">
        <f t="shared" si="117"/>
        <v>1631.1120000000001</v>
      </c>
      <c r="AB918">
        <f t="shared" si="118"/>
        <v>732.37999999999988</v>
      </c>
      <c r="AC918" t="str">
        <f t="shared" si="119"/>
        <v>Clean</v>
      </c>
    </row>
    <row r="919" spans="1:29">
      <c r="A919" t="s">
        <v>433</v>
      </c>
      <c r="B919" s="4">
        <v>45687</v>
      </c>
      <c r="C919" s="4">
        <v>45683</v>
      </c>
      <c r="D919" t="s">
        <v>434</v>
      </c>
      <c r="E919" t="str">
        <f>PROPER(TRIM([1]raw_orders!E919))</f>
        <v>Priya Menon</v>
      </c>
      <c r="F919" t="str">
        <f>PROPER(TRIM([1]raw_orders!F919))</f>
        <v>Corporate</v>
      </c>
      <c r="G919" t="str">
        <f>IF('[1]Cleaned Text Field'!G919="","Unknown",'[1]Cleaned Text Field'!G919)</f>
        <v>West</v>
      </c>
      <c r="H919" t="str">
        <f>PROPER(TRIM([1]raw_orders!H919))</f>
        <v>Madhya Pradesh</v>
      </c>
      <c r="I919" t="str">
        <f>PROPER(TRIM([1]raw_orders!I919))</f>
        <v>Indore</v>
      </c>
      <c r="J919" t="str">
        <f>PROPER(TRIM([1]raw_orders!J919))</f>
        <v>Office Supplies</v>
      </c>
      <c r="K919" t="str">
        <f>PROPER(TRIM([1]raw_orders!K919))</f>
        <v>Storage</v>
      </c>
      <c r="L919" t="s">
        <v>435</v>
      </c>
      <c r="M919" t="str">
        <f>IF('[1]Cleaned Text Field'!M919="","Unknown",'[1]Cleaned Text Field'!M919)</f>
        <v>Second Class</v>
      </c>
      <c r="N919">
        <f>IF('[1]Cleaned Text Field'!N919="",0,'[1]Cleaned Text Field'!N919)</f>
        <v>2</v>
      </c>
      <c r="O919">
        <v>3039.3</v>
      </c>
      <c r="P919" s="5">
        <f>IF('[1]Cleaned Text Field'!P919="",0,'[1]Cleaned Text Field'!P919)</f>
        <v>0.05</v>
      </c>
      <c r="Q919">
        <v>5774.67</v>
      </c>
      <c r="R919">
        <v>3518.36</v>
      </c>
      <c r="S919">
        <v>2256.31</v>
      </c>
      <c r="T919" t="str">
        <f>PROPER(TRIM([1]raw_orders!T919))</f>
        <v>Paid</v>
      </c>
      <c r="U919" t="str">
        <f>PROPER(TRIM([1]raw_orders!U919))</f>
        <v>Completed</v>
      </c>
      <c r="V919" s="6">
        <f t="shared" si="112"/>
        <v>0.39072535746631409</v>
      </c>
      <c r="W919" t="str">
        <f t="shared" si="113"/>
        <v>January</v>
      </c>
      <c r="X919">
        <f t="shared" si="114"/>
        <v>2025</v>
      </c>
      <c r="Y919">
        <f t="shared" si="115"/>
        <v>-4</v>
      </c>
      <c r="Z919" s="7">
        <f t="shared" si="116"/>
        <v>0.05</v>
      </c>
      <c r="AA919">
        <f t="shared" si="117"/>
        <v>5774.67</v>
      </c>
      <c r="AB919">
        <f t="shared" si="118"/>
        <v>2256.31</v>
      </c>
      <c r="AC919" t="str">
        <f t="shared" si="119"/>
        <v>Warning</v>
      </c>
    </row>
    <row r="920" spans="1:29">
      <c r="A920" t="s">
        <v>2053</v>
      </c>
      <c r="B920" s="4">
        <v>45911</v>
      </c>
      <c r="C920" s="4">
        <v>45918</v>
      </c>
      <c r="D920" t="s">
        <v>2054</v>
      </c>
      <c r="E920" t="str">
        <f>PROPER(TRIM([1]raw_orders!E920))</f>
        <v>Rahul Verma</v>
      </c>
      <c r="F920" t="str">
        <f>PROPER(TRIM([1]raw_orders!F920))</f>
        <v>Small Business</v>
      </c>
      <c r="G920" t="str">
        <f>IF('[1]Cleaned Text Field'!G920="","Unknown",'[1]Cleaned Text Field'!G920)</f>
        <v>North</v>
      </c>
      <c r="H920" t="str">
        <f>PROPER(TRIM([1]raw_orders!H920))</f>
        <v>Delhi</v>
      </c>
      <c r="I920" t="str">
        <f>PROPER(TRIM([1]raw_orders!I920))</f>
        <v>New Delhi</v>
      </c>
      <c r="J920" t="str">
        <f>PROPER(TRIM([1]raw_orders!J920))</f>
        <v>Technology</v>
      </c>
      <c r="K920" t="str">
        <f>PROPER(TRIM([1]raw_orders!K920))</f>
        <v>Phones</v>
      </c>
      <c r="L920" t="s">
        <v>2055</v>
      </c>
      <c r="M920" t="str">
        <f>IF('[1]Cleaned Text Field'!M920="","Unknown",'[1]Cleaned Text Field'!M920)</f>
        <v>Same Day</v>
      </c>
      <c r="N920">
        <f>IF('[1]Cleaned Text Field'!N920="",0,'[1]Cleaned Text Field'!N920)</f>
        <v>7</v>
      </c>
      <c r="O920">
        <v>3411.21</v>
      </c>
      <c r="P920" s="5">
        <f>IF('[1]Cleaned Text Field'!P920="",0,'[1]Cleaned Text Field'!P920)</f>
        <v>0.15</v>
      </c>
      <c r="Q920">
        <v>20296.7</v>
      </c>
      <c r="R920">
        <v>14920.87</v>
      </c>
      <c r="S920">
        <v>5375.83</v>
      </c>
      <c r="T920" t="str">
        <f>PROPER(TRIM([1]raw_orders!T920))</f>
        <v>Paid</v>
      </c>
      <c r="U920" t="str">
        <f>PROPER(TRIM([1]raw_orders!U920))</f>
        <v>Completed</v>
      </c>
      <c r="V920" s="6">
        <f t="shared" si="112"/>
        <v>0.26486226825050374</v>
      </c>
      <c r="W920" t="str">
        <f t="shared" si="113"/>
        <v>September</v>
      </c>
      <c r="X920">
        <f t="shared" si="114"/>
        <v>2025</v>
      </c>
      <c r="Y920">
        <f t="shared" si="115"/>
        <v>7</v>
      </c>
      <c r="Z920" s="7">
        <f t="shared" si="116"/>
        <v>0.15</v>
      </c>
      <c r="AA920">
        <f t="shared" si="117"/>
        <v>20296.699499999999</v>
      </c>
      <c r="AB920">
        <f t="shared" si="118"/>
        <v>5375.83</v>
      </c>
      <c r="AC920" t="str">
        <f t="shared" si="119"/>
        <v>Clean</v>
      </c>
    </row>
    <row r="921" spans="1:29">
      <c r="A921" t="s">
        <v>71</v>
      </c>
      <c r="B921" s="4">
        <v>45757</v>
      </c>
      <c r="C921" s="4">
        <v>45763</v>
      </c>
      <c r="D921" t="s">
        <v>72</v>
      </c>
      <c r="E921" t="str">
        <f>PROPER(TRIM([1]raw_orders!E921))</f>
        <v>Neha Gupta</v>
      </c>
      <c r="F921" t="str">
        <f>PROPER(TRIM([1]raw_orders!F921))</f>
        <v>Consumer</v>
      </c>
      <c r="G921" t="str">
        <f>IF('[1]Cleaned Text Field'!G921="","Unknown",'[1]Cleaned Text Field'!G921)</f>
        <v>East</v>
      </c>
      <c r="H921" t="str">
        <f>PROPER(TRIM([1]raw_orders!H921))</f>
        <v>Odisha</v>
      </c>
      <c r="I921" t="str">
        <f>PROPER(TRIM([1]raw_orders!I921))</f>
        <v>Bhubaneswar</v>
      </c>
      <c r="J921" t="str">
        <f>PROPER(TRIM([1]raw_orders!J921))</f>
        <v>Technology</v>
      </c>
      <c r="K921" t="str">
        <f>PROPER(TRIM([1]raw_orders!K921))</f>
        <v>Copiers</v>
      </c>
      <c r="L921" t="s">
        <v>73</v>
      </c>
      <c r="M921" t="str">
        <f>IF('[1]Cleaned Text Field'!M921="","Unknown",'[1]Cleaned Text Field'!M921)</f>
        <v>Standard Class</v>
      </c>
      <c r="N921">
        <f>IF('[1]Cleaned Text Field'!N921="",0,'[1]Cleaned Text Field'!N921)</f>
        <v>4</v>
      </c>
      <c r="O921">
        <v>1719.87</v>
      </c>
      <c r="P921" s="5">
        <f>IF('[1]Cleaned Text Field'!P921="",0,'[1]Cleaned Text Field'!P921)</f>
        <v>0.15</v>
      </c>
      <c r="Q921">
        <v>5847.56</v>
      </c>
      <c r="R921">
        <v>4727.25</v>
      </c>
      <c r="S921">
        <v>1120.31</v>
      </c>
      <c r="T921" t="str">
        <f>PROPER(TRIM([1]raw_orders!T921))</f>
        <v>Paid</v>
      </c>
      <c r="U921" t="str">
        <f>PROPER(TRIM([1]raw_orders!U921))</f>
        <v>Completed</v>
      </c>
      <c r="V921" s="6">
        <f t="shared" si="112"/>
        <v>0.19158589223539388</v>
      </c>
      <c r="W921" t="str">
        <f t="shared" si="113"/>
        <v>April</v>
      </c>
      <c r="X921">
        <f t="shared" si="114"/>
        <v>2025</v>
      </c>
      <c r="Y921">
        <f t="shared" si="115"/>
        <v>6</v>
      </c>
      <c r="Z921" s="7">
        <f t="shared" si="116"/>
        <v>0.15</v>
      </c>
      <c r="AA921">
        <f t="shared" si="117"/>
        <v>5847.5579999999991</v>
      </c>
      <c r="AB921">
        <f t="shared" si="118"/>
        <v>1120.3100000000004</v>
      </c>
      <c r="AC921" t="str">
        <f t="shared" si="119"/>
        <v>Clean</v>
      </c>
    </row>
    <row r="922" spans="1:29">
      <c r="A922" t="s">
        <v>1039</v>
      </c>
      <c r="B922" s="4">
        <v>45394</v>
      </c>
      <c r="C922" s="4">
        <v>45632</v>
      </c>
      <c r="D922" t="s">
        <v>1040</v>
      </c>
      <c r="E922" t="str">
        <f>PROPER(TRIM([1]raw_orders!E922))</f>
        <v>Sneha Kapoor</v>
      </c>
      <c r="F922" t="str">
        <f>PROPER(TRIM([1]raw_orders!F922))</f>
        <v>Home Office</v>
      </c>
      <c r="G922" t="str">
        <f>IF('[1]Cleaned Text Field'!G922="","Unknown",'[1]Cleaned Text Field'!G922)</f>
        <v>East</v>
      </c>
      <c r="H922" t="str">
        <f>PROPER(TRIM([1]raw_orders!H922))</f>
        <v>Odisha</v>
      </c>
      <c r="I922" t="str">
        <f>PROPER(TRIM([1]raw_orders!I922))</f>
        <v>Bhubaneswar</v>
      </c>
      <c r="J922" t="str">
        <f>PROPER(TRIM([1]raw_orders!J922))</f>
        <v>Office Supplies</v>
      </c>
      <c r="K922" t="str">
        <f>PROPER(TRIM([1]raw_orders!K922))</f>
        <v>Binders</v>
      </c>
      <c r="L922" t="s">
        <v>1041</v>
      </c>
      <c r="M922" t="str">
        <f>IF('[1]Cleaned Text Field'!M922="","Unknown",'[1]Cleaned Text Field'!M922)</f>
        <v>Second Class</v>
      </c>
      <c r="N922">
        <f>IF('[1]Cleaned Text Field'!N922="",0,'[1]Cleaned Text Field'!N922)</f>
        <v>4</v>
      </c>
      <c r="O922">
        <v>2685.66</v>
      </c>
      <c r="P922" s="5">
        <f>IF('[1]Cleaned Text Field'!P922="",0,'[1]Cleaned Text Field'!P922)</f>
        <v>0</v>
      </c>
      <c r="Q922">
        <v>10989.89</v>
      </c>
      <c r="R922">
        <v>6477.37</v>
      </c>
      <c r="S922">
        <v>4265.2700000000004</v>
      </c>
      <c r="T922" t="str">
        <f>PROPER(TRIM([1]raw_orders!T922))</f>
        <v>Paid</v>
      </c>
      <c r="U922" t="str">
        <f>PROPER(TRIM([1]raw_orders!U922))</f>
        <v>Completed</v>
      </c>
      <c r="V922" s="6">
        <f t="shared" si="112"/>
        <v>0.38810852519906941</v>
      </c>
      <c r="W922" t="str">
        <f t="shared" si="113"/>
        <v>April</v>
      </c>
      <c r="X922">
        <f t="shared" si="114"/>
        <v>2024</v>
      </c>
      <c r="Y922">
        <f t="shared" si="115"/>
        <v>238</v>
      </c>
      <c r="Z922" s="7">
        <f t="shared" si="116"/>
        <v>0</v>
      </c>
      <c r="AA922">
        <f t="shared" si="117"/>
        <v>10742.64</v>
      </c>
      <c r="AB922">
        <f t="shared" si="118"/>
        <v>4512.5199999999995</v>
      </c>
      <c r="AC922" t="str">
        <f t="shared" si="119"/>
        <v>Clean</v>
      </c>
    </row>
    <row r="923" spans="1:29">
      <c r="A923" t="s">
        <v>323</v>
      </c>
      <c r="B923" s="4">
        <v>45893</v>
      </c>
      <c r="C923" s="4">
        <v>45898</v>
      </c>
      <c r="D923" t="s">
        <v>324</v>
      </c>
      <c r="E923" t="str">
        <f>PROPER(TRIM([1]raw_orders!E923))</f>
        <v>Aarav Sharma</v>
      </c>
      <c r="F923" t="str">
        <f>PROPER(TRIM([1]raw_orders!F923))</f>
        <v>Small Business</v>
      </c>
      <c r="G923" t="str">
        <f>IF('[1]Cleaned Text Field'!G923="","Unknown",'[1]Cleaned Text Field'!G923)</f>
        <v>East</v>
      </c>
      <c r="H923" t="str">
        <f>PROPER(TRIM([1]raw_orders!H923))</f>
        <v>Bihar</v>
      </c>
      <c r="I923" t="str">
        <f>PROPER(TRIM([1]raw_orders!I923))</f>
        <v>Patna</v>
      </c>
      <c r="J923" t="str">
        <f>PROPER(TRIM([1]raw_orders!J923))</f>
        <v>Technology</v>
      </c>
      <c r="K923" t="str">
        <f>PROPER(TRIM([1]raw_orders!K923))</f>
        <v>Copiers</v>
      </c>
      <c r="L923" t="s">
        <v>325</v>
      </c>
      <c r="M923" t="str">
        <f>IF('[1]Cleaned Text Field'!M923="","Unknown",'[1]Cleaned Text Field'!M923)</f>
        <v>First Class</v>
      </c>
      <c r="N923">
        <f>IF('[1]Cleaned Text Field'!N923="",0,'[1]Cleaned Text Field'!N923)</f>
        <v>3</v>
      </c>
      <c r="O923">
        <v>3703.96</v>
      </c>
      <c r="P923" s="5">
        <f>IF('[1]Cleaned Text Field'!P923="",0,'[1]Cleaned Text Field'!P923)</f>
        <v>0.15</v>
      </c>
      <c r="Q923">
        <v>9549.44</v>
      </c>
      <c r="R923">
        <v>5586.28</v>
      </c>
      <c r="S923">
        <v>3858.82</v>
      </c>
      <c r="T923" t="str">
        <f>PROPER(TRIM([1]raw_orders!T923))</f>
        <v>Paid</v>
      </c>
      <c r="U923" t="str">
        <f>PROPER(TRIM([1]raw_orders!U923))</f>
        <v>Returned</v>
      </c>
      <c r="V923" s="6">
        <f t="shared" si="112"/>
        <v>0.40408861671469742</v>
      </c>
      <c r="W923" t="str">
        <f t="shared" si="113"/>
        <v>August</v>
      </c>
      <c r="X923">
        <f t="shared" si="114"/>
        <v>2025</v>
      </c>
      <c r="Y923">
        <f t="shared" si="115"/>
        <v>5</v>
      </c>
      <c r="Z923" s="7">
        <f t="shared" si="116"/>
        <v>0.15</v>
      </c>
      <c r="AA923">
        <f t="shared" si="117"/>
        <v>9445.098</v>
      </c>
      <c r="AB923">
        <f t="shared" si="118"/>
        <v>3963.1600000000008</v>
      </c>
      <c r="AC923" t="str">
        <f t="shared" si="119"/>
        <v>Clean</v>
      </c>
    </row>
    <row r="924" spans="1:29">
      <c r="A924" t="s">
        <v>1163</v>
      </c>
      <c r="B924" s="4">
        <v>45760</v>
      </c>
      <c r="C924" s="4">
        <v>45760</v>
      </c>
      <c r="D924" t="s">
        <v>1164</v>
      </c>
      <c r="E924" t="str">
        <f>PROPER(TRIM([1]raw_orders!E924))</f>
        <v>Sneha Kapoor</v>
      </c>
      <c r="F924" t="str">
        <f>PROPER(TRIM([1]raw_orders!F924))</f>
        <v>Small Business</v>
      </c>
      <c r="G924" t="str">
        <f>IF('[1]Cleaned Text Field'!G924="","Unknown",'[1]Cleaned Text Field'!G924)</f>
        <v>North</v>
      </c>
      <c r="H924" t="str">
        <f>PROPER(TRIM([1]raw_orders!H924))</f>
        <v>Uttar Pradesh</v>
      </c>
      <c r="I924" t="str">
        <f>PROPER(TRIM([1]raw_orders!I924))</f>
        <v>Noida</v>
      </c>
      <c r="J924" t="str">
        <f>PROPER(TRIM([1]raw_orders!J924))</f>
        <v>Office Supplies</v>
      </c>
      <c r="K924" t="str">
        <f>PROPER(TRIM([1]raw_orders!K924))</f>
        <v>Storage</v>
      </c>
      <c r="L924" t="s">
        <v>1165</v>
      </c>
      <c r="M924" t="str">
        <f>IF('[1]Cleaned Text Field'!M924="","Unknown",'[1]Cleaned Text Field'!M924)</f>
        <v>Second Class</v>
      </c>
      <c r="N924">
        <f>IF('[1]Cleaned Text Field'!N924="",0,'[1]Cleaned Text Field'!N924)</f>
        <v>9</v>
      </c>
      <c r="O924">
        <v>1118.68</v>
      </c>
      <c r="P924" s="5">
        <f>IF('[1]Cleaned Text Field'!P924="",0,'[1]Cleaned Text Field'!P924)</f>
        <v>0</v>
      </c>
      <c r="Q924">
        <v>10348.43</v>
      </c>
      <c r="R924">
        <v>8595.3700000000008</v>
      </c>
      <c r="S924">
        <v>1472.75</v>
      </c>
      <c r="T924" t="str">
        <f>PROPER(TRIM([1]raw_orders!T924))</f>
        <v>Paid</v>
      </c>
      <c r="U924" t="str">
        <f>PROPER(TRIM([1]raw_orders!U924))</f>
        <v>Returned</v>
      </c>
      <c r="V924" s="6">
        <f t="shared" si="112"/>
        <v>0.14231627406282885</v>
      </c>
      <c r="W924" t="str">
        <f t="shared" si="113"/>
        <v>April</v>
      </c>
      <c r="X924">
        <f t="shared" si="114"/>
        <v>2025</v>
      </c>
      <c r="Y924">
        <f t="shared" si="115"/>
        <v>0</v>
      </c>
      <c r="Z924" s="7">
        <f t="shared" si="116"/>
        <v>0</v>
      </c>
      <c r="AA924">
        <f t="shared" si="117"/>
        <v>10068.120000000001</v>
      </c>
      <c r="AB924">
        <f t="shared" si="118"/>
        <v>1753.0599999999995</v>
      </c>
      <c r="AC924" t="str">
        <f t="shared" si="119"/>
        <v>Clean</v>
      </c>
    </row>
    <row r="925" spans="1:29">
      <c r="A925" t="s">
        <v>721</v>
      </c>
      <c r="B925" s="4">
        <v>45932</v>
      </c>
      <c r="C925" s="4">
        <v>45938</v>
      </c>
      <c r="D925" t="s">
        <v>722</v>
      </c>
      <c r="E925" t="str">
        <f>PROPER(TRIM([1]raw_orders!E925))</f>
        <v>Isha Nair</v>
      </c>
      <c r="F925" t="str">
        <f>PROPER(TRIM([1]raw_orders!F925))</f>
        <v>Small Business</v>
      </c>
      <c r="G925" t="str">
        <f>IF('[1]Cleaned Text Field'!G925="","Unknown",'[1]Cleaned Text Field'!G925)</f>
        <v>North</v>
      </c>
      <c r="H925" t="str">
        <f>PROPER(TRIM([1]raw_orders!H925))</f>
        <v>Punjab</v>
      </c>
      <c r="I925" t="str">
        <f>PROPER(TRIM([1]raw_orders!I925))</f>
        <v>Ludhiana</v>
      </c>
      <c r="J925" t="str">
        <f>PROPER(TRIM([1]raw_orders!J925))</f>
        <v>Furniture</v>
      </c>
      <c r="K925" t="str">
        <f>PROPER(TRIM([1]raw_orders!K925))</f>
        <v>Furnishings</v>
      </c>
      <c r="L925" t="s">
        <v>723</v>
      </c>
      <c r="M925" t="str">
        <f>IF('[1]Cleaned Text Field'!M925="","Unknown",'[1]Cleaned Text Field'!M925)</f>
        <v>Standard Class</v>
      </c>
      <c r="N925">
        <f>IF('[1]Cleaned Text Field'!N925="",0,'[1]Cleaned Text Field'!N925)</f>
        <v>4</v>
      </c>
      <c r="O925">
        <v>3944.64</v>
      </c>
      <c r="P925" s="5">
        <f>IF('[1]Cleaned Text Field'!P925="",0,'[1]Cleaned Text Field'!P925)</f>
        <v>0.25</v>
      </c>
      <c r="Q925">
        <v>12116.89</v>
      </c>
      <c r="R925">
        <v>6682.92</v>
      </c>
      <c r="S925">
        <v>5151</v>
      </c>
      <c r="T925" t="str">
        <f>PROPER(TRIM([1]raw_orders!T925))</f>
        <v>Paid</v>
      </c>
      <c r="U925" t="str">
        <f>PROPER(TRIM([1]raw_orders!U925))</f>
        <v>Returned</v>
      </c>
      <c r="V925" s="6">
        <f t="shared" si="112"/>
        <v>0.42510908327136748</v>
      </c>
      <c r="W925" t="str">
        <f t="shared" si="113"/>
        <v>October</v>
      </c>
      <c r="X925">
        <f t="shared" si="114"/>
        <v>2025</v>
      </c>
      <c r="Y925">
        <f t="shared" si="115"/>
        <v>6</v>
      </c>
      <c r="Z925" s="7">
        <f t="shared" si="116"/>
        <v>0.25</v>
      </c>
      <c r="AA925">
        <f t="shared" si="117"/>
        <v>11833.92</v>
      </c>
      <c r="AB925">
        <f t="shared" si="118"/>
        <v>5433.9699999999993</v>
      </c>
      <c r="AC925" t="str">
        <f t="shared" si="119"/>
        <v>Clean</v>
      </c>
    </row>
    <row r="926" spans="1:29">
      <c r="A926" t="s">
        <v>989</v>
      </c>
      <c r="B926" s="4">
        <v>45795</v>
      </c>
      <c r="C926" s="4">
        <v>45797</v>
      </c>
      <c r="D926" t="s">
        <v>990</v>
      </c>
      <c r="E926" t="str">
        <f>PROPER(TRIM([1]raw_orders!E926))</f>
        <v>Isha Nair</v>
      </c>
      <c r="F926" t="str">
        <f>PROPER(TRIM([1]raw_orders!F926))</f>
        <v>Corporate</v>
      </c>
      <c r="G926" t="str">
        <f>IF('[1]Cleaned Text Field'!G926="","Unknown",'[1]Cleaned Text Field'!G926)</f>
        <v>West</v>
      </c>
      <c r="H926" t="str">
        <f>PROPER(TRIM([1]raw_orders!H926))</f>
        <v>Madhya Pradesh</v>
      </c>
      <c r="I926" t="str">
        <f>PROPER(TRIM([1]raw_orders!I926))</f>
        <v>Indore</v>
      </c>
      <c r="J926" t="str">
        <f>PROPER(TRIM([1]raw_orders!J926))</f>
        <v>Office Supplies</v>
      </c>
      <c r="K926" t="str">
        <f>PROPER(TRIM([1]raw_orders!K926))</f>
        <v>Labels</v>
      </c>
      <c r="L926" t="s">
        <v>991</v>
      </c>
      <c r="M926" t="str">
        <f>IF('[1]Cleaned Text Field'!M926="","Unknown",'[1]Cleaned Text Field'!M926)</f>
        <v>Standard Class</v>
      </c>
      <c r="N926">
        <f>IF('[1]Cleaned Text Field'!N926="",0,'[1]Cleaned Text Field'!N926)</f>
        <v>9</v>
      </c>
      <c r="O926">
        <v>847.76</v>
      </c>
      <c r="P926" s="5">
        <f>IF('[1]Cleaned Text Field'!P926="",0,'[1]Cleaned Text Field'!P926)</f>
        <v>0.15</v>
      </c>
      <c r="Q926">
        <v>6589.37</v>
      </c>
      <c r="R926">
        <v>5376.17</v>
      </c>
      <c r="S926">
        <v>1109.19</v>
      </c>
      <c r="T926" t="str">
        <f>PROPER(TRIM([1]raw_orders!T926))</f>
        <v>Failed</v>
      </c>
      <c r="U926" t="str">
        <f>PROPER(TRIM([1]raw_orders!U926))</f>
        <v>Completed</v>
      </c>
      <c r="V926" s="6">
        <f t="shared" si="112"/>
        <v>0.16833020455673306</v>
      </c>
      <c r="W926" t="str">
        <f t="shared" si="113"/>
        <v>May</v>
      </c>
      <c r="X926">
        <f t="shared" si="114"/>
        <v>2025</v>
      </c>
      <c r="Y926">
        <f t="shared" si="115"/>
        <v>2</v>
      </c>
      <c r="Z926" s="7">
        <f t="shared" si="116"/>
        <v>0.15</v>
      </c>
      <c r="AA926">
        <f t="shared" si="117"/>
        <v>6485.3639999999996</v>
      </c>
      <c r="AB926">
        <f t="shared" si="118"/>
        <v>1213.1999999999998</v>
      </c>
      <c r="AC926" t="str">
        <f t="shared" si="119"/>
        <v>Clean</v>
      </c>
    </row>
    <row r="927" spans="1:29">
      <c r="A927" t="s">
        <v>561</v>
      </c>
      <c r="B927" s="4">
        <v>45847</v>
      </c>
      <c r="C927" s="4">
        <v>45915</v>
      </c>
      <c r="D927" t="s">
        <v>562</v>
      </c>
      <c r="E927" t="str">
        <f>PROPER(TRIM([1]raw_orders!E927))</f>
        <v>Rohan Mehta</v>
      </c>
      <c r="F927" t="str">
        <f>PROPER(TRIM([1]raw_orders!F927))</f>
        <v>Corporate</v>
      </c>
      <c r="G927" t="str">
        <f>IF('[1]Cleaned Text Field'!G927="","Unknown",'[1]Cleaned Text Field'!G927)</f>
        <v>East</v>
      </c>
      <c r="H927" t="str">
        <f>PROPER(TRIM([1]raw_orders!H927))</f>
        <v>Bihar</v>
      </c>
      <c r="I927" t="str">
        <f>PROPER(TRIM([1]raw_orders!I927))</f>
        <v>Patna</v>
      </c>
      <c r="J927" t="str">
        <f>PROPER(TRIM([1]raw_orders!J927))</f>
        <v>Technology</v>
      </c>
      <c r="K927" t="str">
        <f>PROPER(TRIM([1]raw_orders!K927))</f>
        <v>Copiers</v>
      </c>
      <c r="L927" t="s">
        <v>563</v>
      </c>
      <c r="M927" t="str">
        <f>IF('[1]Cleaned Text Field'!M927="","Unknown",'[1]Cleaned Text Field'!M927)</f>
        <v>Standard Class</v>
      </c>
      <c r="N927">
        <f>IF('[1]Cleaned Text Field'!N927="",0,'[1]Cleaned Text Field'!N927)</f>
        <v>3</v>
      </c>
      <c r="O927">
        <v>1711.32</v>
      </c>
      <c r="P927" s="5">
        <f>IF('[1]Cleaned Text Field'!P927="",0,'[1]Cleaned Text Field'!P927)</f>
        <v>0</v>
      </c>
      <c r="Q927">
        <v>5206.53</v>
      </c>
      <c r="R927">
        <v>3930</v>
      </c>
      <c r="S927">
        <v>1203.96</v>
      </c>
      <c r="T927" t="str">
        <f>PROPER(TRIM([1]raw_orders!T927))</f>
        <v>Paid</v>
      </c>
      <c r="U927" t="str">
        <f>PROPER(TRIM([1]raw_orders!U927))</f>
        <v>Returned</v>
      </c>
      <c r="V927" s="6">
        <f t="shared" si="112"/>
        <v>0.23124038467078845</v>
      </c>
      <c r="W927" t="str">
        <f t="shared" si="113"/>
        <v>July</v>
      </c>
      <c r="X927">
        <f t="shared" si="114"/>
        <v>2025</v>
      </c>
      <c r="Y927">
        <f t="shared" si="115"/>
        <v>68</v>
      </c>
      <c r="Z927" s="7">
        <f t="shared" si="116"/>
        <v>0</v>
      </c>
      <c r="AA927">
        <f t="shared" si="117"/>
        <v>5133.96</v>
      </c>
      <c r="AB927">
        <f t="shared" si="118"/>
        <v>1276.5299999999997</v>
      </c>
      <c r="AC927" t="str">
        <f t="shared" si="119"/>
        <v>Clean</v>
      </c>
    </row>
    <row r="928" spans="1:29">
      <c r="A928" t="s">
        <v>1312</v>
      </c>
      <c r="B928" s="4">
        <v>45342</v>
      </c>
      <c r="C928" s="4">
        <v>45349</v>
      </c>
      <c r="D928" t="s">
        <v>1313</v>
      </c>
      <c r="E928" t="str">
        <f>PROPER(TRIM([1]raw_orders!E928))</f>
        <v>Diya Patel</v>
      </c>
      <c r="F928" t="str">
        <f>PROPER(TRIM([1]raw_orders!F928))</f>
        <v>Consumer</v>
      </c>
      <c r="G928" t="str">
        <f>IF('[1]Cleaned Text Field'!G928="","Unknown",'[1]Cleaned Text Field'!G928)</f>
        <v>South</v>
      </c>
      <c r="H928" t="str">
        <f>PROPER(TRIM([1]raw_orders!H928))</f>
        <v>Kerala</v>
      </c>
      <c r="I928" t="str">
        <f>PROPER(TRIM([1]raw_orders!I928))</f>
        <v>Kochi</v>
      </c>
      <c r="J928" t="str">
        <f>PROPER(TRIM([1]raw_orders!J928))</f>
        <v>Technology</v>
      </c>
      <c r="K928" t="str">
        <f>PROPER(TRIM([1]raw_orders!K928))</f>
        <v>Accessories</v>
      </c>
      <c r="L928" t="s">
        <v>1314</v>
      </c>
      <c r="M928" t="str">
        <f>IF('[1]Cleaned Text Field'!M928="","Unknown",'[1]Cleaned Text Field'!M928)</f>
        <v>First Class</v>
      </c>
      <c r="N928">
        <f>IF('[1]Cleaned Text Field'!N928="",0,'[1]Cleaned Text Field'!N928)</f>
        <v>9</v>
      </c>
      <c r="O928">
        <v>3779.31</v>
      </c>
      <c r="P928" s="5">
        <f>IF('[1]Cleaned Text Field'!P928="",0,'[1]Cleaned Text Field'!P928)</f>
        <v>0.2</v>
      </c>
      <c r="Q928">
        <v>27322.9</v>
      </c>
      <c r="R928">
        <v>17940.43</v>
      </c>
      <c r="S928">
        <v>9270.6</v>
      </c>
      <c r="T928" t="str">
        <f>PROPER(TRIM([1]raw_orders!T928))</f>
        <v>Paid</v>
      </c>
      <c r="U928" t="str">
        <f>PROPER(TRIM([1]raw_orders!U928))</f>
        <v>Returned</v>
      </c>
      <c r="V928" s="6">
        <f t="shared" si="112"/>
        <v>0.33929780513781482</v>
      </c>
      <c r="W928" t="str">
        <f t="shared" si="113"/>
        <v>February</v>
      </c>
      <c r="X928">
        <f t="shared" si="114"/>
        <v>2024</v>
      </c>
      <c r="Y928">
        <f t="shared" si="115"/>
        <v>7</v>
      </c>
      <c r="Z928" s="7">
        <f t="shared" si="116"/>
        <v>0.2</v>
      </c>
      <c r="AA928">
        <f t="shared" si="117"/>
        <v>27211.032000000003</v>
      </c>
      <c r="AB928">
        <f t="shared" si="118"/>
        <v>9382.4700000000012</v>
      </c>
      <c r="AC928" t="str">
        <f t="shared" si="119"/>
        <v>Clean</v>
      </c>
    </row>
    <row r="929" spans="1:29">
      <c r="A929" t="s">
        <v>1750</v>
      </c>
      <c r="B929" s="4">
        <v>45698</v>
      </c>
      <c r="C929" s="4">
        <v>45702</v>
      </c>
      <c r="D929" t="s">
        <v>1751</v>
      </c>
      <c r="E929" t="str">
        <f>PROPER(TRIM([1]raw_orders!E929))</f>
        <v>Priya Menon</v>
      </c>
      <c r="F929" t="str">
        <f>PROPER(TRIM([1]raw_orders!F929))</f>
        <v>Small Business</v>
      </c>
      <c r="G929" t="str">
        <f>IF('[1]Cleaned Text Field'!G929="","Unknown",'[1]Cleaned Text Field'!G929)</f>
        <v>North</v>
      </c>
      <c r="H929" t="str">
        <f>PROPER(TRIM([1]raw_orders!H929))</f>
        <v>Uttar Pradesh</v>
      </c>
      <c r="I929" t="str">
        <f>PROPER(TRIM([1]raw_orders!I929))</f>
        <v>Noida</v>
      </c>
      <c r="J929" t="str">
        <f>PROPER(TRIM([1]raw_orders!J929))</f>
        <v>Technology</v>
      </c>
      <c r="K929" t="str">
        <f>PROPER(TRIM([1]raw_orders!K929))</f>
        <v>Phones</v>
      </c>
      <c r="L929" t="s">
        <v>1752</v>
      </c>
      <c r="M929" t="str">
        <f>IF('[1]Cleaned Text Field'!M929="","Unknown",'[1]Cleaned Text Field'!M929)</f>
        <v>Unknown</v>
      </c>
      <c r="N929">
        <f>IF('[1]Cleaned Text Field'!N929="",0,'[1]Cleaned Text Field'!N929)</f>
        <v>5</v>
      </c>
      <c r="O929">
        <v>4276.29</v>
      </c>
      <c r="P929" s="5">
        <f>IF('[1]Cleaned Text Field'!P929="",0,'[1]Cleaned Text Field'!P929)</f>
        <v>0</v>
      </c>
      <c r="Q929">
        <v>21443.63</v>
      </c>
      <c r="R929">
        <v>13240.21</v>
      </c>
      <c r="S929">
        <v>8141.24</v>
      </c>
      <c r="T929" t="str">
        <f>PROPER(TRIM([1]raw_orders!T929))</f>
        <v>Failed</v>
      </c>
      <c r="U929" t="str">
        <f>PROPER(TRIM([1]raw_orders!U929))</f>
        <v>Completed</v>
      </c>
      <c r="V929" s="6">
        <f t="shared" si="112"/>
        <v>0.37965773518755919</v>
      </c>
      <c r="W929" t="str">
        <f t="shared" si="113"/>
        <v>February</v>
      </c>
      <c r="X929">
        <f t="shared" si="114"/>
        <v>2025</v>
      </c>
      <c r="Y929">
        <f t="shared" si="115"/>
        <v>4</v>
      </c>
      <c r="Z929" s="7">
        <f t="shared" si="116"/>
        <v>0</v>
      </c>
      <c r="AA929">
        <f t="shared" si="117"/>
        <v>21381.45</v>
      </c>
      <c r="AB929">
        <f t="shared" si="118"/>
        <v>8203.4200000000019</v>
      </c>
      <c r="AC929" t="str">
        <f t="shared" si="119"/>
        <v>Clean</v>
      </c>
    </row>
    <row r="930" spans="1:29">
      <c r="A930" t="s">
        <v>478</v>
      </c>
      <c r="B930" s="4">
        <v>45381</v>
      </c>
      <c r="C930" s="4">
        <v>45377</v>
      </c>
      <c r="D930" t="s">
        <v>479</v>
      </c>
      <c r="E930" t="str">
        <f>PROPER(TRIM([1]raw_orders!E930))</f>
        <v>Aditi Sen</v>
      </c>
      <c r="F930" t="str">
        <f>PROPER(TRIM([1]raw_orders!F930))</f>
        <v>Home Office</v>
      </c>
      <c r="G930" t="str">
        <f>IF('[1]Cleaned Text Field'!G930="","Unknown",'[1]Cleaned Text Field'!G930)</f>
        <v>North</v>
      </c>
      <c r="H930" t="str">
        <f>PROPER(TRIM([1]raw_orders!H930))</f>
        <v>Rajasthan</v>
      </c>
      <c r="I930" t="str">
        <f>PROPER(TRIM([1]raw_orders!I930))</f>
        <v>Jaipur</v>
      </c>
      <c r="J930" t="str">
        <f>PROPER(TRIM([1]raw_orders!J930))</f>
        <v>Technology</v>
      </c>
      <c r="K930" t="str">
        <f>PROPER(TRIM([1]raw_orders!K930))</f>
        <v>Phones</v>
      </c>
      <c r="L930" t="s">
        <v>480</v>
      </c>
      <c r="M930" t="str">
        <f>IF('[1]Cleaned Text Field'!M930="","Unknown",'[1]Cleaned Text Field'!M930)</f>
        <v>Second Class</v>
      </c>
      <c r="N930">
        <f>IF('[1]Cleaned Text Field'!N930="",0,'[1]Cleaned Text Field'!N930)</f>
        <v>5</v>
      </c>
      <c r="O930">
        <v>907.54</v>
      </c>
      <c r="P930" s="5">
        <f>IF('[1]Cleaned Text Field'!P930="",0,'[1]Cleaned Text Field'!P930)</f>
        <v>0.15</v>
      </c>
      <c r="Q930">
        <v>4099.6899999999996</v>
      </c>
      <c r="R930">
        <v>2769.26</v>
      </c>
      <c r="S930">
        <v>1087.78</v>
      </c>
      <c r="T930" t="str">
        <f>PROPER(TRIM([1]raw_orders!T930))</f>
        <v>Paid</v>
      </c>
      <c r="U930" t="str">
        <f>PROPER(TRIM([1]raw_orders!U930))</f>
        <v>Returned</v>
      </c>
      <c r="V930" s="6">
        <f t="shared" si="112"/>
        <v>0.26533225682917488</v>
      </c>
      <c r="W930" t="str">
        <f t="shared" si="113"/>
        <v>March</v>
      </c>
      <c r="X930">
        <f t="shared" si="114"/>
        <v>2024</v>
      </c>
      <c r="Y930">
        <f t="shared" si="115"/>
        <v>-4</v>
      </c>
      <c r="Z930" s="7">
        <f t="shared" si="116"/>
        <v>0.15</v>
      </c>
      <c r="AA930">
        <f t="shared" si="117"/>
        <v>3857.0449999999996</v>
      </c>
      <c r="AB930">
        <f t="shared" si="118"/>
        <v>1330.4299999999994</v>
      </c>
      <c r="AC930" t="str">
        <f t="shared" si="119"/>
        <v>Warning</v>
      </c>
    </row>
    <row r="931" spans="1:29">
      <c r="A931" t="s">
        <v>864</v>
      </c>
      <c r="B931" s="4">
        <v>45522</v>
      </c>
      <c r="C931" s="4">
        <v>45528</v>
      </c>
      <c r="D931" t="s">
        <v>865</v>
      </c>
      <c r="E931" t="str">
        <f>PROPER(TRIM([1]raw_orders!E931))</f>
        <v>Arjun Bose</v>
      </c>
      <c r="F931" t="str">
        <f>PROPER(TRIM([1]raw_orders!F931))</f>
        <v>Consumer</v>
      </c>
      <c r="G931" t="str">
        <f>IF('[1]Cleaned Text Field'!G931="","Unknown",'[1]Cleaned Text Field'!G931)</f>
        <v>South</v>
      </c>
      <c r="H931" t="str">
        <f>PROPER(TRIM([1]raw_orders!H931))</f>
        <v>Andhra Pradesh</v>
      </c>
      <c r="I931" t="str">
        <f>PROPER(TRIM([1]raw_orders!I931))</f>
        <v>Vijayawada</v>
      </c>
      <c r="J931" t="str">
        <f>PROPER(TRIM([1]raw_orders!J931))</f>
        <v>Furniture</v>
      </c>
      <c r="K931" t="str">
        <f>PROPER(TRIM([1]raw_orders!K931))</f>
        <v>Chairs</v>
      </c>
      <c r="L931" t="s">
        <v>866</v>
      </c>
      <c r="M931" t="str">
        <f>IF('[1]Cleaned Text Field'!M931="","Unknown",'[1]Cleaned Text Field'!M931)</f>
        <v>First Class</v>
      </c>
      <c r="N931">
        <f>IF('[1]Cleaned Text Field'!N931="",0,'[1]Cleaned Text Field'!N931)</f>
        <v>7</v>
      </c>
      <c r="O931">
        <v>557.21</v>
      </c>
      <c r="P931" s="5">
        <f>IF('[1]Cleaned Text Field'!P931="",0,'[1]Cleaned Text Field'!P931)</f>
        <v>0.1</v>
      </c>
      <c r="Q931">
        <v>3797.79</v>
      </c>
      <c r="R931">
        <v>2191.5</v>
      </c>
      <c r="S931">
        <v>1213.48</v>
      </c>
      <c r="T931" t="str">
        <f>PROPER(TRIM([1]raw_orders!T931))</f>
        <v>Paid</v>
      </c>
      <c r="U931" t="str">
        <f>PROPER(TRIM([1]raw_orders!U931))</f>
        <v>Returned</v>
      </c>
      <c r="V931" s="6">
        <f t="shared" si="112"/>
        <v>0.31952266976320443</v>
      </c>
      <c r="W931" t="str">
        <f t="shared" si="113"/>
        <v>August</v>
      </c>
      <c r="X931">
        <f t="shared" si="114"/>
        <v>2024</v>
      </c>
      <c r="Y931">
        <f t="shared" si="115"/>
        <v>6</v>
      </c>
      <c r="Z931" s="7">
        <f t="shared" si="116"/>
        <v>0.1</v>
      </c>
      <c r="AA931">
        <f t="shared" si="117"/>
        <v>3510.4230000000002</v>
      </c>
      <c r="AB931">
        <f t="shared" si="118"/>
        <v>1606.29</v>
      </c>
      <c r="AC931" t="str">
        <f t="shared" si="119"/>
        <v>Clean</v>
      </c>
    </row>
    <row r="932" spans="1:29">
      <c r="A932" t="s">
        <v>421</v>
      </c>
      <c r="B932" s="4">
        <v>45436</v>
      </c>
      <c r="C932" s="4">
        <v>45437</v>
      </c>
      <c r="D932" t="s">
        <v>422</v>
      </c>
      <c r="E932" t="str">
        <f>PROPER(TRIM([1]raw_orders!E932))</f>
        <v>Sneha Kapoor</v>
      </c>
      <c r="F932" t="str">
        <f>PROPER(TRIM([1]raw_orders!F932))</f>
        <v>Small Business</v>
      </c>
      <c r="G932" t="str">
        <f>IF('[1]Cleaned Text Field'!G932="","Unknown",'[1]Cleaned Text Field'!G932)</f>
        <v>North</v>
      </c>
      <c r="H932" t="str">
        <f>PROPER(TRIM([1]raw_orders!H932))</f>
        <v>Punjab</v>
      </c>
      <c r="I932" t="str">
        <f>PROPER(TRIM([1]raw_orders!I932))</f>
        <v>Ludhiana</v>
      </c>
      <c r="J932" t="str">
        <f>PROPER(TRIM([1]raw_orders!J932))</f>
        <v>Technology</v>
      </c>
      <c r="K932" t="str">
        <f>PROPER(TRIM([1]raw_orders!K932))</f>
        <v>Copiers</v>
      </c>
      <c r="L932" t="s">
        <v>423</v>
      </c>
      <c r="M932" t="str">
        <f>IF('[1]Cleaned Text Field'!M932="","Unknown",'[1]Cleaned Text Field'!M932)</f>
        <v>Same Day</v>
      </c>
      <c r="N932">
        <f>IF('[1]Cleaned Text Field'!N932="",0,'[1]Cleaned Text Field'!N932)</f>
        <v>1</v>
      </c>
      <c r="O932">
        <v>634.13</v>
      </c>
      <c r="P932" s="5">
        <f>IF('[1]Cleaned Text Field'!P932="",0,'[1]Cleaned Text Field'!P932)</f>
        <v>0</v>
      </c>
      <c r="Q932">
        <v>808.67</v>
      </c>
      <c r="R932">
        <v>453.35</v>
      </c>
      <c r="S932">
        <v>180.78</v>
      </c>
      <c r="T932" t="str">
        <f>PROPER(TRIM([1]raw_orders!T932))</f>
        <v>Refunded</v>
      </c>
      <c r="U932" t="str">
        <f>PROPER(TRIM([1]raw_orders!U932))</f>
        <v>Returned</v>
      </c>
      <c r="V932" s="6">
        <f t="shared" si="112"/>
        <v>0.22355225246392227</v>
      </c>
      <c r="W932" t="str">
        <f t="shared" si="113"/>
        <v>May</v>
      </c>
      <c r="X932">
        <f t="shared" si="114"/>
        <v>2024</v>
      </c>
      <c r="Y932">
        <f t="shared" si="115"/>
        <v>1</v>
      </c>
      <c r="Z932" s="7">
        <f t="shared" si="116"/>
        <v>0</v>
      </c>
      <c r="AA932">
        <f t="shared" si="117"/>
        <v>634.13</v>
      </c>
      <c r="AB932">
        <f t="shared" si="118"/>
        <v>355.31999999999994</v>
      </c>
      <c r="AC932" t="str">
        <f t="shared" si="119"/>
        <v>Clean</v>
      </c>
    </row>
    <row r="933" spans="1:29">
      <c r="A933" t="s">
        <v>1051</v>
      </c>
      <c r="B933" s="4">
        <v>45824</v>
      </c>
      <c r="C933" s="4">
        <v>45826</v>
      </c>
      <c r="D933" t="s">
        <v>1052</v>
      </c>
      <c r="E933" t="str">
        <f>PROPER(TRIM([1]raw_orders!E933))</f>
        <v>Rahul Verma</v>
      </c>
      <c r="F933" t="str">
        <f>PROPER(TRIM([1]raw_orders!F933))</f>
        <v>Home Office</v>
      </c>
      <c r="G933" t="str">
        <f>IF('[1]Cleaned Text Field'!G933="","Unknown",'[1]Cleaned Text Field'!G933)</f>
        <v>West</v>
      </c>
      <c r="H933" t="str">
        <f>PROPER(TRIM([1]raw_orders!H933))</f>
        <v>Madhya Pradesh</v>
      </c>
      <c r="I933" t="str">
        <f>PROPER(TRIM([1]raw_orders!I933))</f>
        <v>Indore</v>
      </c>
      <c r="J933" t="str">
        <f>PROPER(TRIM([1]raw_orders!J933))</f>
        <v>Office Supplies</v>
      </c>
      <c r="K933" t="str">
        <f>PROPER(TRIM([1]raw_orders!K933))</f>
        <v>Paper</v>
      </c>
      <c r="L933" t="s">
        <v>1053</v>
      </c>
      <c r="M933" t="str">
        <f>IF('[1]Cleaned Text Field'!M933="","Unknown",'[1]Cleaned Text Field'!M933)</f>
        <v>First Class</v>
      </c>
      <c r="N933">
        <f>IF('[1]Cleaned Text Field'!N933="",0,'[1]Cleaned Text Field'!N933)</f>
        <v>3</v>
      </c>
      <c r="O933">
        <v>4289.37</v>
      </c>
      <c r="P933" s="5">
        <f>IF('[1]Cleaned Text Field'!P933="",0,'[1]Cleaned Text Field'!P933)</f>
        <v>0.1</v>
      </c>
      <c r="Q933">
        <v>11778.71</v>
      </c>
      <c r="R933">
        <v>6829.43</v>
      </c>
      <c r="S933">
        <v>4751.87</v>
      </c>
      <c r="T933" t="str">
        <f>PROPER(TRIM([1]raw_orders!T933))</f>
        <v>Paid</v>
      </c>
      <c r="U933" t="str">
        <f>PROPER(TRIM([1]raw_orders!U933))</f>
        <v>Returned</v>
      </c>
      <c r="V933" s="6">
        <f t="shared" si="112"/>
        <v>0.40342872861289564</v>
      </c>
      <c r="W933" t="str">
        <f t="shared" si="113"/>
        <v>June</v>
      </c>
      <c r="X933">
        <f t="shared" si="114"/>
        <v>2025</v>
      </c>
      <c r="Y933">
        <f t="shared" si="115"/>
        <v>2</v>
      </c>
      <c r="Z933" s="7">
        <f t="shared" si="116"/>
        <v>0.1</v>
      </c>
      <c r="AA933">
        <f t="shared" si="117"/>
        <v>11581.299000000001</v>
      </c>
      <c r="AB933">
        <f t="shared" si="118"/>
        <v>4949.2799999999988</v>
      </c>
      <c r="AC933" t="str">
        <f t="shared" si="119"/>
        <v>Clean</v>
      </c>
    </row>
  </sheetData>
  <conditionalFormatting sqref="G2:G113">
    <cfRule type="cellIs" dxfId="0" priority="1" operator="equal">
      <formula>""""""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opLeftCell="A14" workbookViewId="0">
      <selection activeCell="B28" sqref="B28"/>
    </sheetView>
  </sheetViews>
  <sheetFormatPr defaultRowHeight="14.5"/>
  <cols>
    <col min="1" max="1" width="11.1796875" customWidth="1"/>
    <col min="2" max="2" width="19.26953125" customWidth="1"/>
    <col min="3" max="3" width="18.726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f>COUNTIF(A2:A1000,"Unknown")</f>
        <v>0</v>
      </c>
    </row>
    <row r="3" spans="1:3">
      <c r="A3" t="s">
        <v>4</v>
      </c>
      <c r="B3">
        <v>0</v>
      </c>
    </row>
    <row r="4" spans="1:3">
      <c r="A4" t="s">
        <v>5</v>
      </c>
      <c r="B4">
        <v>0</v>
      </c>
    </row>
    <row r="5" spans="1:3">
      <c r="A5" t="s">
        <v>6</v>
      </c>
      <c r="B5">
        <v>0</v>
      </c>
    </row>
    <row r="6" spans="1:3">
      <c r="A6" t="s">
        <v>7</v>
      </c>
      <c r="B6">
        <v>0</v>
      </c>
    </row>
    <row r="7" spans="1:3">
      <c r="A7" t="s">
        <v>8</v>
      </c>
      <c r="B7">
        <v>0</v>
      </c>
    </row>
    <row r="8" spans="1:3">
      <c r="A8" t="s">
        <v>9</v>
      </c>
      <c r="B8">
        <f>COUNTIF(data!G2:G933,"Unknown")</f>
        <v>26</v>
      </c>
      <c r="C8" t="s">
        <v>10</v>
      </c>
    </row>
    <row r="9" spans="1:3">
      <c r="A9" t="s">
        <v>11</v>
      </c>
      <c r="B9">
        <v>0</v>
      </c>
    </row>
    <row r="10" spans="1:3">
      <c r="A10" t="s">
        <v>12</v>
      </c>
      <c r="B10">
        <v>0</v>
      </c>
    </row>
    <row r="11" spans="1:3">
      <c r="A11" t="s">
        <v>13</v>
      </c>
      <c r="B11">
        <v>0</v>
      </c>
    </row>
    <row r="12" spans="1:3">
      <c r="A12" t="s">
        <v>14</v>
      </c>
      <c r="B12">
        <v>0</v>
      </c>
    </row>
    <row r="13" spans="1:3">
      <c r="A13" t="s">
        <v>15</v>
      </c>
      <c r="B13">
        <v>0</v>
      </c>
    </row>
    <row r="14" spans="1:3">
      <c r="A14" t="s">
        <v>16</v>
      </c>
      <c r="B14">
        <f>COUNTIF(data!M2:M933,"Unknown")</f>
        <v>22</v>
      </c>
      <c r="C14" t="s">
        <v>10</v>
      </c>
    </row>
    <row r="15" spans="1:3">
      <c r="A15" t="s">
        <v>17</v>
      </c>
      <c r="B15">
        <v>0</v>
      </c>
    </row>
    <row r="16" spans="1:3">
      <c r="A16" t="s">
        <v>18</v>
      </c>
      <c r="B16">
        <v>0</v>
      </c>
    </row>
    <row r="17" spans="1:3">
      <c r="A17" t="s">
        <v>19</v>
      </c>
      <c r="B17">
        <f>COUNTIF(data!P2:P933,0)</f>
        <v>263</v>
      </c>
      <c r="C17" t="s">
        <v>2703</v>
      </c>
    </row>
    <row r="18" spans="1:3">
      <c r="A18" t="s">
        <v>21</v>
      </c>
      <c r="B18">
        <v>0</v>
      </c>
    </row>
    <row r="19" spans="1:3">
      <c r="A19" t="s">
        <v>22</v>
      </c>
      <c r="B19">
        <v>0</v>
      </c>
    </row>
    <row r="20" spans="1:3">
      <c r="A20" t="s">
        <v>23</v>
      </c>
      <c r="B20">
        <v>0</v>
      </c>
    </row>
    <row r="21" spans="1:3">
      <c r="A21" t="s">
        <v>24</v>
      </c>
      <c r="B21">
        <v>0</v>
      </c>
    </row>
    <row r="22" spans="1:3">
      <c r="A22" t="s">
        <v>25</v>
      </c>
      <c r="B22">
        <v>0</v>
      </c>
    </row>
    <row r="23" spans="1:3">
      <c r="A23" t="s">
        <v>26</v>
      </c>
      <c r="B23">
        <v>0</v>
      </c>
    </row>
    <row r="24" spans="1:3">
      <c r="A24" t="s">
        <v>27</v>
      </c>
      <c r="B24">
        <v>0</v>
      </c>
    </row>
    <row r="25" spans="1:3">
      <c r="A25" t="s">
        <v>28</v>
      </c>
      <c r="B25">
        <v>0</v>
      </c>
    </row>
    <row r="26" spans="1:3">
      <c r="A26" t="s">
        <v>29</v>
      </c>
      <c r="B26">
        <v>0</v>
      </c>
    </row>
    <row r="27" spans="1:3">
      <c r="A27" t="s">
        <v>30</v>
      </c>
      <c r="B27">
        <f>COUNTIF(data!Z2:Z933,0%)</f>
        <v>263</v>
      </c>
      <c r="C27" t="s">
        <v>20</v>
      </c>
    </row>
    <row r="28" spans="1:3">
      <c r="A28" t="s">
        <v>31</v>
      </c>
      <c r="B28">
        <v>0</v>
      </c>
    </row>
    <row r="29" spans="1:3">
      <c r="A29" t="s">
        <v>32</v>
      </c>
      <c r="B29">
        <v>0</v>
      </c>
    </row>
    <row r="30" spans="1:3">
      <c r="A30" t="s">
        <v>33</v>
      </c>
      <c r="B3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/>
  <cols>
    <col min="1" max="1" width="21" customWidth="1"/>
  </cols>
  <sheetData>
    <row r="1" spans="1:2">
      <c r="A1" s="1" t="s">
        <v>34</v>
      </c>
      <c r="B1" s="1" t="s">
        <v>35</v>
      </c>
    </row>
    <row r="2" spans="1:2">
      <c r="A2" t="s">
        <v>36</v>
      </c>
      <c r="B2">
        <v>20</v>
      </c>
    </row>
    <row r="3" spans="1:2">
      <c r="A3" t="s">
        <v>37</v>
      </c>
      <c r="B3">
        <v>31</v>
      </c>
    </row>
    <row r="4" spans="1:2">
      <c r="A4" t="s">
        <v>38</v>
      </c>
      <c r="B4">
        <v>20</v>
      </c>
    </row>
    <row r="5" spans="1:2">
      <c r="A5" t="s">
        <v>39</v>
      </c>
      <c r="B5">
        <v>31</v>
      </c>
    </row>
    <row r="6" spans="1:2">
      <c r="A6" t="s">
        <v>40</v>
      </c>
      <c r="B6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5" sqref="B5"/>
    </sheetView>
  </sheetViews>
  <sheetFormatPr defaultRowHeight="14.5"/>
  <cols>
    <col min="1" max="1" width="19.08984375" customWidth="1"/>
  </cols>
  <sheetData>
    <row r="1" spans="1:2">
      <c r="A1" s="1" t="s">
        <v>34</v>
      </c>
      <c r="B1" s="1" t="s">
        <v>42</v>
      </c>
    </row>
    <row r="2" spans="1:2">
      <c r="A2" t="s">
        <v>43</v>
      </c>
      <c r="B2">
        <f>COUNTIF(data!Z2:Z933,0%)</f>
        <v>263</v>
      </c>
    </row>
    <row r="3" spans="1:2">
      <c r="A3" t="s">
        <v>44</v>
      </c>
      <c r="B3">
        <f>COUNTIF(data!Z2:'data'!Z933,"&lt;0%")</f>
        <v>16</v>
      </c>
    </row>
    <row r="4" spans="1:2">
      <c r="A4" t="s">
        <v>45</v>
      </c>
      <c r="B4">
        <f>COUNTIF(data!Z3:'data'!Z934,"&gt;0%")</f>
        <v>652</v>
      </c>
    </row>
    <row r="5" spans="1:2">
      <c r="A5" t="s">
        <v>46</v>
      </c>
      <c r="B5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tabSelected="1" workbookViewId="0">
      <selection activeCell="B3" sqref="B3"/>
    </sheetView>
  </sheetViews>
  <sheetFormatPr defaultRowHeight="14.5"/>
  <cols>
    <col min="1" max="1" width="17.81640625" customWidth="1"/>
  </cols>
  <sheetData>
    <row r="1" spans="1:2">
      <c r="A1" s="1" t="s">
        <v>34</v>
      </c>
      <c r="B1" s="1" t="s">
        <v>42</v>
      </c>
    </row>
    <row r="2" spans="1:2">
      <c r="A2" t="s">
        <v>47</v>
      </c>
      <c r="B2">
        <f>COUNTIFS(data!Q2:Q933,data!AA2:AA933)</f>
        <v>1</v>
      </c>
    </row>
    <row r="3" spans="1:2">
      <c r="A3" t="s">
        <v>48</v>
      </c>
      <c r="B3">
        <f>COUNTIFS(data!S2:S933,data!AB2:AB933)</f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>
      <selection activeCell="B6" sqref="B6"/>
    </sheetView>
  </sheetViews>
  <sheetFormatPr defaultRowHeight="14.5"/>
  <sheetData>
    <row r="1" spans="1:2">
      <c r="A1" s="1" t="s">
        <v>34</v>
      </c>
      <c r="B1" s="1" t="s">
        <v>42</v>
      </c>
    </row>
    <row r="2" spans="1:2">
      <c r="A2" t="s">
        <v>49</v>
      </c>
      <c r="B2">
        <v>932</v>
      </c>
    </row>
    <row r="3" spans="1:2">
      <c r="A3" t="s">
        <v>50</v>
      </c>
      <c r="B3">
        <f>COUNTIF(data!AC2:AC933,"Clean")</f>
        <v>838</v>
      </c>
    </row>
    <row r="4" spans="1:2">
      <c r="A4" t="s">
        <v>51</v>
      </c>
      <c r="B4">
        <f>COUNTIF(data!AC2:AC933,"Warning")</f>
        <v>94</v>
      </c>
    </row>
    <row r="5" spans="1:2">
      <c r="A5" t="s">
        <v>52</v>
      </c>
      <c r="B5">
        <f>COUNTIF(data!AC2:AC933,"Invalid")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Missing_Value_Summary</vt:lpstr>
      <vt:lpstr>Duplicate_Summary</vt:lpstr>
      <vt:lpstr>Invalid_Discount_Summary</vt:lpstr>
      <vt:lpstr>Sales_Profit_Calculation_Mismat</vt:lpstr>
      <vt:lpstr>Final_Clean_vs_Flagged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T K</cp:lastModifiedBy>
  <dcterms:created xsi:type="dcterms:W3CDTF">2026-06-28T17:22:14Z</dcterms:created>
  <dcterms:modified xsi:type="dcterms:W3CDTF">2026-06-28T17:56:17Z</dcterms:modified>
</cp:coreProperties>
</file>